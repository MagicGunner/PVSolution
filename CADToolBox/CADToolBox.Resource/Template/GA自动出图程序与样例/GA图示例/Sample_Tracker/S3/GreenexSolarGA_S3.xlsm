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308C09C8-5BC0-43DC-9DF6-28F3EA0203DA}" xr6:coauthVersionLast="36" xr6:coauthVersionMax="36" xr10:uidLastSave="{00000000-0000-0000-0000-000000000000}"/>
  <bookViews>
    <workbookView xWindow="-110" yWindow="-110" windowWidth="38630" windowHeight="21230" firstSheet="2" activeTab="2" xr2:uid="{00000000-000D-0000-FFFF-FFFF00000000}"/>
  </bookViews>
  <sheets>
    <sheet name="基本参数输入" sheetId="9" state="veryHidden" r:id="rId1"/>
    <sheet name="GA-无MotorGap" sheetId="3" state="veryHidden" r:id="rId2"/>
    <sheet name="GA-有MotorGap" sheetId="6" r:id="rId3"/>
    <sheet name="实际尺寸" sheetId="7" state="veryHidden" r:id="rId4"/>
    <sheet name="规格表" sheetId="10" r:id="rId5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6" i="6" l="1"/>
  <c r="AX6" i="6" s="1"/>
  <c r="AI42" i="3"/>
  <c r="AI41" i="3"/>
  <c r="AI40" i="3"/>
  <c r="AI37" i="3"/>
  <c r="AI42" i="6"/>
  <c r="AI41" i="6"/>
  <c r="AI40" i="6"/>
  <c r="AO54" i="3" l="1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51" i="3"/>
  <c r="AO52" i="3"/>
  <c r="AO53" i="3"/>
  <c r="AO50" i="3"/>
  <c r="AO29" i="3"/>
  <c r="AO30" i="3"/>
  <c r="AO31" i="3"/>
  <c r="AO28" i="3"/>
  <c r="AM30" i="3" l="1"/>
  <c r="AM36" i="3"/>
  <c r="AM37" i="3"/>
  <c r="AM38" i="3"/>
  <c r="AM40" i="3"/>
  <c r="AM41" i="3"/>
  <c r="AM42" i="3"/>
  <c r="AM43" i="3"/>
  <c r="AM44" i="3"/>
  <c r="AM45" i="3"/>
  <c r="AM46" i="3"/>
  <c r="AM47" i="3"/>
  <c r="AM28" i="3"/>
  <c r="AM6" i="3"/>
  <c r="AN6" i="3" s="1"/>
  <c r="AM6" i="6"/>
  <c r="AN6" i="6" s="1"/>
  <c r="BD187" i="6" l="1"/>
  <c r="BE187" i="6" s="1"/>
  <c r="BF187" i="6" s="1"/>
  <c r="BD175" i="6"/>
  <c r="BE175" i="6" s="1"/>
  <c r="BF175" i="6" s="1"/>
  <c r="BD163" i="6"/>
  <c r="BE163" i="6" s="1"/>
  <c r="BF163" i="6" s="1"/>
  <c r="BD151" i="6"/>
  <c r="BE151" i="6" s="1"/>
  <c r="BF151" i="6" s="1"/>
  <c r="BD91" i="6"/>
  <c r="BD67" i="6"/>
  <c r="BD43" i="6"/>
  <c r="BD127" i="6"/>
  <c r="BD115" i="6"/>
  <c r="BD103" i="6"/>
  <c r="BD31" i="6"/>
  <c r="BD19" i="6"/>
  <c r="BD139" i="6"/>
  <c r="BE139" i="6" s="1"/>
  <c r="BF139" i="6" s="1"/>
  <c r="BD79" i="6"/>
  <c r="BD199" i="6"/>
  <c r="BE199" i="6" s="1"/>
  <c r="BF199" i="6" s="1"/>
  <c r="BD55" i="6"/>
  <c r="BD198" i="6"/>
  <c r="BE198" i="6" s="1"/>
  <c r="BG198" i="6" s="1"/>
  <c r="BD114" i="6"/>
  <c r="BD42" i="6"/>
  <c r="BD197" i="6"/>
  <c r="BE197" i="6" s="1"/>
  <c r="BF197" i="6" s="1"/>
  <c r="BD185" i="6"/>
  <c r="BE185" i="6" s="1"/>
  <c r="BF185" i="6" s="1"/>
  <c r="BD173" i="6"/>
  <c r="BE173" i="6" s="1"/>
  <c r="BF173" i="6" s="1"/>
  <c r="BD161" i="6"/>
  <c r="BE161" i="6" s="1"/>
  <c r="BF161" i="6" s="1"/>
  <c r="BD149" i="6"/>
  <c r="BE149" i="6" s="1"/>
  <c r="BF149" i="6" s="1"/>
  <c r="BD137" i="6"/>
  <c r="BD125" i="6"/>
  <c r="BD113" i="6"/>
  <c r="BD101" i="6"/>
  <c r="BD89" i="6"/>
  <c r="BD77" i="6"/>
  <c r="BD65" i="6"/>
  <c r="BD53" i="6"/>
  <c r="BD41" i="6"/>
  <c r="BD29" i="6"/>
  <c r="BD17" i="6"/>
  <c r="BD162" i="6"/>
  <c r="BE162" i="6" s="1"/>
  <c r="BF162" i="6" s="1"/>
  <c r="BD66" i="6"/>
  <c r="BD196" i="6"/>
  <c r="BE196" i="6" s="1"/>
  <c r="BF196" i="6" s="1"/>
  <c r="BD184" i="6"/>
  <c r="BE184" i="6" s="1"/>
  <c r="BF184" i="6" s="1"/>
  <c r="BD172" i="6"/>
  <c r="BE172" i="6" s="1"/>
  <c r="BF172" i="6" s="1"/>
  <c r="BD160" i="6"/>
  <c r="BE160" i="6" s="1"/>
  <c r="BF160" i="6" s="1"/>
  <c r="BD148" i="6"/>
  <c r="BE148" i="6" s="1"/>
  <c r="BF148" i="6" s="1"/>
  <c r="BD136" i="6"/>
  <c r="BD124" i="6"/>
  <c r="BD112" i="6"/>
  <c r="BD100" i="6"/>
  <c r="BD88" i="6"/>
  <c r="BD76" i="6"/>
  <c r="BD64" i="6"/>
  <c r="BD52" i="6"/>
  <c r="BD40" i="6"/>
  <c r="BD28" i="6"/>
  <c r="BD16" i="6"/>
  <c r="BD126" i="6"/>
  <c r="BD30" i="6"/>
  <c r="BD195" i="6"/>
  <c r="BE195" i="6" s="1"/>
  <c r="BF195" i="6" s="1"/>
  <c r="BD183" i="6"/>
  <c r="BE183" i="6" s="1"/>
  <c r="BF183" i="6" s="1"/>
  <c r="BD171" i="6"/>
  <c r="BE171" i="6" s="1"/>
  <c r="BF171" i="6" s="1"/>
  <c r="BD159" i="6"/>
  <c r="BE159" i="6" s="1"/>
  <c r="BF159" i="6" s="1"/>
  <c r="BD147" i="6"/>
  <c r="BE147" i="6" s="1"/>
  <c r="BF147" i="6" s="1"/>
  <c r="BD135" i="6"/>
  <c r="BD123" i="6"/>
  <c r="BD111" i="6"/>
  <c r="BD99" i="6"/>
  <c r="BD87" i="6"/>
  <c r="BD75" i="6"/>
  <c r="BD63" i="6"/>
  <c r="BD51" i="6"/>
  <c r="BD39" i="6"/>
  <c r="BD27" i="6"/>
  <c r="BD15" i="6"/>
  <c r="BD174" i="6"/>
  <c r="BE174" i="6" s="1"/>
  <c r="BF174" i="6" s="1"/>
  <c r="BD90" i="6"/>
  <c r="BD194" i="6"/>
  <c r="BE194" i="6" s="1"/>
  <c r="BF194" i="6" s="1"/>
  <c r="BD170" i="6"/>
  <c r="BE170" i="6" s="1"/>
  <c r="BF170" i="6" s="1"/>
  <c r="BD146" i="6"/>
  <c r="BE146" i="6" s="1"/>
  <c r="BF146" i="6" s="1"/>
  <c r="BD122" i="6"/>
  <c r="BD110" i="6"/>
  <c r="BD98" i="6"/>
  <c r="BD86" i="6"/>
  <c r="BD74" i="6"/>
  <c r="BD62" i="6"/>
  <c r="BD50" i="6"/>
  <c r="BD38" i="6"/>
  <c r="BD26" i="6"/>
  <c r="BD14" i="6"/>
  <c r="BD150" i="6"/>
  <c r="BE150" i="6" s="1"/>
  <c r="BF150" i="6" s="1"/>
  <c r="BD54" i="6"/>
  <c r="BD7" i="6"/>
  <c r="BD182" i="6"/>
  <c r="BE182" i="6" s="1"/>
  <c r="BF182" i="6" s="1"/>
  <c r="BD158" i="6"/>
  <c r="BE158" i="6" s="1"/>
  <c r="BF158" i="6" s="1"/>
  <c r="BD134" i="6"/>
  <c r="BD205" i="6"/>
  <c r="BE205" i="6" s="1"/>
  <c r="BF205" i="6" s="1"/>
  <c r="BD193" i="6"/>
  <c r="BE193" i="6" s="1"/>
  <c r="BF193" i="6" s="1"/>
  <c r="BD181" i="6"/>
  <c r="BE181" i="6" s="1"/>
  <c r="BF181" i="6" s="1"/>
  <c r="BD169" i="6"/>
  <c r="BE169" i="6" s="1"/>
  <c r="BF169" i="6" s="1"/>
  <c r="BD157" i="6"/>
  <c r="BE157" i="6" s="1"/>
  <c r="BF157" i="6" s="1"/>
  <c r="BD145" i="6"/>
  <c r="BE145" i="6" s="1"/>
  <c r="BF145" i="6" s="1"/>
  <c r="BD133" i="6"/>
  <c r="BD121" i="6"/>
  <c r="BD109" i="6"/>
  <c r="BD97" i="6"/>
  <c r="BD85" i="6"/>
  <c r="BD73" i="6"/>
  <c r="BD61" i="6"/>
  <c r="BD49" i="6"/>
  <c r="BD37" i="6"/>
  <c r="BD25" i="6"/>
  <c r="BD13" i="6"/>
  <c r="BD102" i="6"/>
  <c r="BD204" i="6"/>
  <c r="BE204" i="6" s="1"/>
  <c r="BF204" i="6" s="1"/>
  <c r="BD192" i="6"/>
  <c r="BE192" i="6" s="1"/>
  <c r="BF192" i="6" s="1"/>
  <c r="BD180" i="6"/>
  <c r="BE180" i="6" s="1"/>
  <c r="BF180" i="6" s="1"/>
  <c r="BD168" i="6"/>
  <c r="BE168" i="6" s="1"/>
  <c r="BF168" i="6" s="1"/>
  <c r="BD156" i="6"/>
  <c r="BE156" i="6" s="1"/>
  <c r="BF156" i="6" s="1"/>
  <c r="BD144" i="6"/>
  <c r="BE144" i="6" s="1"/>
  <c r="BF144" i="6" s="1"/>
  <c r="BD132" i="6"/>
  <c r="BD120" i="6"/>
  <c r="BD108" i="6"/>
  <c r="BD96" i="6"/>
  <c r="BD84" i="6"/>
  <c r="BD72" i="6"/>
  <c r="BD60" i="6"/>
  <c r="BD48" i="6"/>
  <c r="BD36" i="6"/>
  <c r="BD24" i="6"/>
  <c r="BD12" i="6"/>
  <c r="BD186" i="6"/>
  <c r="BE186" i="6" s="1"/>
  <c r="BF186" i="6" s="1"/>
  <c r="BD78" i="6"/>
  <c r="BD203" i="6"/>
  <c r="BE203" i="6" s="1"/>
  <c r="BF203" i="6" s="1"/>
  <c r="BD191" i="6"/>
  <c r="BE191" i="6" s="1"/>
  <c r="BF191" i="6" s="1"/>
  <c r="BD179" i="6"/>
  <c r="BE179" i="6" s="1"/>
  <c r="BF179" i="6" s="1"/>
  <c r="BD167" i="6"/>
  <c r="BE167" i="6" s="1"/>
  <c r="BF167" i="6" s="1"/>
  <c r="BD155" i="6"/>
  <c r="BE155" i="6" s="1"/>
  <c r="BF155" i="6" s="1"/>
  <c r="BD143" i="6"/>
  <c r="BE143" i="6" s="1"/>
  <c r="BF143" i="6" s="1"/>
  <c r="BD131" i="6"/>
  <c r="BD119" i="6"/>
  <c r="BD107" i="6"/>
  <c r="BD95" i="6"/>
  <c r="BD83" i="6"/>
  <c r="BD71" i="6"/>
  <c r="BD59" i="6"/>
  <c r="BD47" i="6"/>
  <c r="BD35" i="6"/>
  <c r="BD23" i="6"/>
  <c r="BD11" i="6"/>
  <c r="BD202" i="6"/>
  <c r="BE202" i="6" s="1"/>
  <c r="BF202" i="6" s="1"/>
  <c r="BD190" i="6"/>
  <c r="BE190" i="6" s="1"/>
  <c r="BF190" i="6" s="1"/>
  <c r="BD178" i="6"/>
  <c r="BE178" i="6" s="1"/>
  <c r="BF178" i="6" s="1"/>
  <c r="BD166" i="6"/>
  <c r="BE166" i="6" s="1"/>
  <c r="BF166" i="6" s="1"/>
  <c r="BD154" i="6"/>
  <c r="BE154" i="6" s="1"/>
  <c r="BF154" i="6" s="1"/>
  <c r="BD142" i="6"/>
  <c r="BE142" i="6" s="1"/>
  <c r="BF142" i="6" s="1"/>
  <c r="BD130" i="6"/>
  <c r="BD118" i="6"/>
  <c r="BD106" i="6"/>
  <c r="BD94" i="6"/>
  <c r="BD82" i="6"/>
  <c r="BD70" i="6"/>
  <c r="BD58" i="6"/>
  <c r="BD46" i="6"/>
  <c r="BD34" i="6"/>
  <c r="BD22" i="6"/>
  <c r="BD10" i="6"/>
  <c r="BD201" i="6"/>
  <c r="BE201" i="6" s="1"/>
  <c r="BF201" i="6" s="1"/>
  <c r="BD189" i="6"/>
  <c r="BE189" i="6" s="1"/>
  <c r="BF189" i="6" s="1"/>
  <c r="BD177" i="6"/>
  <c r="BE177" i="6" s="1"/>
  <c r="BF177" i="6" s="1"/>
  <c r="BD165" i="6"/>
  <c r="BE165" i="6" s="1"/>
  <c r="BF165" i="6" s="1"/>
  <c r="BD153" i="6"/>
  <c r="BE153" i="6" s="1"/>
  <c r="BF153" i="6" s="1"/>
  <c r="BD141" i="6"/>
  <c r="BE141" i="6" s="1"/>
  <c r="BF141" i="6" s="1"/>
  <c r="BD129" i="6"/>
  <c r="BD117" i="6"/>
  <c r="BD105" i="6"/>
  <c r="BD93" i="6"/>
  <c r="BD81" i="6"/>
  <c r="BD69" i="6"/>
  <c r="BD57" i="6"/>
  <c r="BD45" i="6"/>
  <c r="BD33" i="6"/>
  <c r="BD21" i="6"/>
  <c r="BD9" i="6"/>
  <c r="BD138" i="6"/>
  <c r="BD18" i="6"/>
  <c r="BD200" i="6"/>
  <c r="BE200" i="6" s="1"/>
  <c r="BF200" i="6" s="1"/>
  <c r="BD188" i="6"/>
  <c r="BE188" i="6" s="1"/>
  <c r="BF188" i="6" s="1"/>
  <c r="BD176" i="6"/>
  <c r="BE176" i="6" s="1"/>
  <c r="BF176" i="6" s="1"/>
  <c r="BD164" i="6"/>
  <c r="BE164" i="6" s="1"/>
  <c r="BF164" i="6" s="1"/>
  <c r="BD152" i="6"/>
  <c r="BE152" i="6" s="1"/>
  <c r="BF152" i="6" s="1"/>
  <c r="BD140" i="6"/>
  <c r="BE140" i="6" s="1"/>
  <c r="BF140" i="6" s="1"/>
  <c r="BD128" i="6"/>
  <c r="BD116" i="6"/>
  <c r="BD104" i="6"/>
  <c r="BD92" i="6"/>
  <c r="BD80" i="6"/>
  <c r="BD68" i="6"/>
  <c r="BD56" i="6"/>
  <c r="BD44" i="6"/>
  <c r="BD32" i="6"/>
  <c r="BD20" i="6"/>
  <c r="BD8" i="6"/>
  <c r="AI37" i="6"/>
  <c r="BF198" i="6" l="1"/>
  <c r="BG163" i="6"/>
  <c r="BG179" i="6"/>
  <c r="BG146" i="6"/>
  <c r="BG187" i="6"/>
  <c r="BG167" i="6"/>
  <c r="BG169" i="6"/>
  <c r="BG202" i="6"/>
  <c r="BG140" i="6"/>
  <c r="BG204" i="6"/>
  <c r="BG144" i="6"/>
  <c r="BG148" i="6"/>
  <c r="BG159" i="6"/>
  <c r="BG196" i="6"/>
  <c r="BG147" i="6"/>
  <c r="BG186" i="6"/>
  <c r="BG165" i="6"/>
  <c r="BG191" i="6"/>
  <c r="BG175" i="6"/>
  <c r="BG139" i="6"/>
  <c r="BG171" i="6"/>
  <c r="BG151" i="6"/>
  <c r="BG184" i="6"/>
  <c r="BG199" i="6"/>
  <c r="BG185" i="6"/>
  <c r="BG182" i="6"/>
  <c r="BG154" i="6"/>
  <c r="BG166" i="6"/>
  <c r="BG162" i="6"/>
  <c r="BG189" i="6"/>
  <c r="BG190" i="6"/>
  <c r="BG195" i="6"/>
  <c r="BG164" i="6"/>
  <c r="BG188" i="6"/>
  <c r="BG193" i="6"/>
  <c r="BG205" i="6"/>
  <c r="BG149" i="6"/>
  <c r="BG161" i="6"/>
  <c r="BG168" i="6"/>
  <c r="BG160" i="6"/>
  <c r="BG192" i="6"/>
  <c r="BG172" i="6"/>
  <c r="BG173" i="6"/>
  <c r="BG150" i="6"/>
  <c r="BG183" i="6"/>
  <c r="BG141" i="6"/>
  <c r="BG153" i="6"/>
  <c r="BG142" i="6"/>
  <c r="BG152" i="6"/>
  <c r="BG176" i="6"/>
  <c r="BG177" i="6"/>
  <c r="BG145" i="6"/>
  <c r="BG194" i="6"/>
  <c r="BG200" i="6"/>
  <c r="BG178" i="6"/>
  <c r="BG156" i="6"/>
  <c r="BG203" i="6"/>
  <c r="BG174" i="6"/>
  <c r="BG158" i="6"/>
  <c r="BG180" i="6"/>
  <c r="BG170" i="6"/>
  <c r="BG155" i="6"/>
  <c r="BG157" i="6"/>
  <c r="BG181" i="6"/>
  <c r="BG201" i="6"/>
  <c r="BG143" i="6"/>
  <c r="BG197" i="6"/>
  <c r="B434" i="10" l="1"/>
  <c r="C434" i="10" s="1"/>
  <c r="H6" i="9" l="1"/>
  <c r="H7" i="9" l="1"/>
  <c r="H5" i="9" l="1"/>
  <c r="AI36" i="6" l="1"/>
  <c r="AI36" i="3"/>
  <c r="AI18" i="3" l="1"/>
  <c r="AI19" i="3"/>
  <c r="AI19" i="6"/>
  <c r="AI18" i="6"/>
  <c r="AI5" i="3" l="1"/>
  <c r="AI6" i="3"/>
  <c r="C5" i="10" l="1"/>
  <c r="C7" i="10"/>
  <c r="C8" i="10"/>
  <c r="C10" i="10"/>
  <c r="C12" i="10"/>
  <c r="C13" i="10"/>
  <c r="C14" i="10"/>
  <c r="C17" i="10"/>
  <c r="C19" i="10"/>
  <c r="C20" i="10"/>
  <c r="C22" i="10"/>
  <c r="C24" i="10"/>
  <c r="C25" i="10"/>
  <c r="C26" i="10"/>
  <c r="C29" i="10"/>
  <c r="C31" i="10"/>
  <c r="C32" i="10"/>
  <c r="C34" i="10"/>
  <c r="C36" i="10"/>
  <c r="C37" i="10"/>
  <c r="C38" i="10"/>
  <c r="C41" i="10"/>
  <c r="C44" i="10"/>
  <c r="C46" i="10"/>
  <c r="C48" i="10"/>
  <c r="C49" i="10"/>
  <c r="C50" i="10"/>
  <c r="C53" i="10"/>
  <c r="C56" i="10"/>
  <c r="C58" i="10"/>
  <c r="C60" i="10"/>
  <c r="C61" i="10"/>
  <c r="C62" i="10"/>
  <c r="C68" i="10"/>
  <c r="C70" i="10"/>
  <c r="C72" i="10"/>
  <c r="C73" i="10"/>
  <c r="C74" i="10"/>
  <c r="C80" i="10"/>
  <c r="C82" i="10"/>
  <c r="C84" i="10"/>
  <c r="C85" i="10"/>
  <c r="C86" i="10"/>
  <c r="C92" i="10"/>
  <c r="C94" i="10"/>
  <c r="C96" i="10"/>
  <c r="C97" i="10"/>
  <c r="C98" i="10"/>
  <c r="C104" i="10"/>
  <c r="C106" i="10"/>
  <c r="C108" i="10"/>
  <c r="C109" i="10"/>
  <c r="C110" i="10"/>
  <c r="C116" i="10"/>
  <c r="C118" i="10"/>
  <c r="C120" i="10"/>
  <c r="C121" i="10"/>
  <c r="C122" i="10"/>
  <c r="C128" i="10"/>
  <c r="C130" i="10"/>
  <c r="C132" i="10"/>
  <c r="C133" i="10"/>
  <c r="C134" i="10"/>
  <c r="C140" i="10"/>
  <c r="C142" i="10"/>
  <c r="C144" i="10"/>
  <c r="C145" i="10"/>
  <c r="C146" i="10"/>
  <c r="C152" i="10"/>
  <c r="C154" i="10"/>
  <c r="C156" i="10"/>
  <c r="C157" i="10"/>
  <c r="C158" i="10"/>
  <c r="C164" i="10"/>
  <c r="C166" i="10"/>
  <c r="C168" i="10"/>
  <c r="C169" i="10"/>
  <c r="C170" i="10"/>
  <c r="C176" i="10"/>
  <c r="C178" i="10"/>
  <c r="C180" i="10"/>
  <c r="C181" i="10"/>
  <c r="C182" i="10"/>
  <c r="C188" i="10"/>
  <c r="C190" i="10"/>
  <c r="C192" i="10"/>
  <c r="C193" i="10"/>
  <c r="C194" i="10"/>
  <c r="C200" i="10"/>
  <c r="C202" i="10"/>
  <c r="C204" i="10"/>
  <c r="C205" i="10"/>
  <c r="C206" i="10"/>
  <c r="C212" i="10"/>
  <c r="C214" i="10"/>
  <c r="C216" i="10"/>
  <c r="C217" i="10"/>
  <c r="C218" i="10"/>
  <c r="C224" i="10"/>
  <c r="C226" i="10"/>
  <c r="C228" i="10"/>
  <c r="C229" i="10"/>
  <c r="C230" i="10"/>
  <c r="C236" i="10"/>
  <c r="C238" i="10"/>
  <c r="C240" i="10"/>
  <c r="C241" i="10"/>
  <c r="C242" i="10"/>
  <c r="C248" i="10"/>
  <c r="C250" i="10"/>
  <c r="C252" i="10"/>
  <c r="C253" i="10"/>
  <c r="C254" i="10"/>
  <c r="C260" i="10"/>
  <c r="C262" i="10"/>
  <c r="C264" i="10"/>
  <c r="C265" i="10"/>
  <c r="C266" i="10"/>
  <c r="C272" i="10"/>
  <c r="C274" i="10"/>
  <c r="C276" i="10"/>
  <c r="C277" i="10"/>
  <c r="C278" i="10"/>
  <c r="C284" i="10"/>
  <c r="C286" i="10"/>
  <c r="C288" i="10"/>
  <c r="C289" i="10"/>
  <c r="C290" i="10"/>
  <c r="C296" i="10"/>
  <c r="C298" i="10"/>
  <c r="C300" i="10"/>
  <c r="C301" i="10"/>
  <c r="C302" i="10"/>
  <c r="C308" i="10"/>
  <c r="C310" i="10"/>
  <c r="C312" i="10"/>
  <c r="C313" i="10"/>
  <c r="C314" i="10"/>
  <c r="C320" i="10"/>
  <c r="C322" i="10"/>
  <c r="C324" i="10"/>
  <c r="C325" i="10"/>
  <c r="C326" i="10"/>
  <c r="C332" i="10"/>
  <c r="C334" i="10"/>
  <c r="C336" i="10"/>
  <c r="C337" i="10"/>
  <c r="C338" i="10"/>
  <c r="C346" i="10"/>
  <c r="C348" i="10"/>
  <c r="C349" i="10"/>
  <c r="C350" i="10"/>
  <c r="C356" i="10"/>
  <c r="C358" i="10"/>
  <c r="C361" i="10"/>
  <c r="C362" i="10"/>
  <c r="C368" i="10"/>
  <c r="C370" i="10"/>
  <c r="C372" i="10"/>
  <c r="C373" i="10"/>
  <c r="C374" i="10"/>
  <c r="C380" i="10"/>
  <c r="C382" i="10"/>
  <c r="C384" i="10"/>
  <c r="C385" i="10"/>
  <c r="C386" i="10"/>
  <c r="C392" i="10"/>
  <c r="C394" i="10"/>
  <c r="C396" i="10"/>
  <c r="C397" i="10"/>
  <c r="C398" i="10"/>
  <c r="C404" i="10"/>
  <c r="C406" i="10"/>
  <c r="C409" i="10"/>
  <c r="C410" i="10"/>
  <c r="C416" i="10"/>
  <c r="C420" i="10"/>
  <c r="C421" i="10"/>
  <c r="C422" i="10"/>
  <c r="C428" i="10"/>
  <c r="C432" i="10"/>
  <c r="C433" i="10"/>
  <c r="C3" i="10"/>
  <c r="B4" i="10"/>
  <c r="C4" i="10" s="1"/>
  <c r="B5" i="10"/>
  <c r="B6" i="10"/>
  <c r="C6" i="10" s="1"/>
  <c r="B7" i="10"/>
  <c r="B8" i="10"/>
  <c r="B9" i="10"/>
  <c r="C9" i="10" s="1"/>
  <c r="B10" i="10"/>
  <c r="B11" i="10"/>
  <c r="C11" i="10" s="1"/>
  <c r="B12" i="10"/>
  <c r="B13" i="10"/>
  <c r="B14" i="10"/>
  <c r="B15" i="10"/>
  <c r="C15" i="10" s="1"/>
  <c r="B16" i="10"/>
  <c r="C16" i="10" s="1"/>
  <c r="B17" i="10"/>
  <c r="B18" i="10"/>
  <c r="C18" i="10" s="1"/>
  <c r="B19" i="10"/>
  <c r="B20" i="10"/>
  <c r="B21" i="10"/>
  <c r="C21" i="10" s="1"/>
  <c r="B22" i="10"/>
  <c r="B23" i="10"/>
  <c r="C23" i="10" s="1"/>
  <c r="B24" i="10"/>
  <c r="B25" i="10"/>
  <c r="B26" i="10"/>
  <c r="B27" i="10"/>
  <c r="C27" i="10" s="1"/>
  <c r="B28" i="10"/>
  <c r="C28" i="10" s="1"/>
  <c r="B29" i="10"/>
  <c r="B30" i="10"/>
  <c r="C30" i="10" s="1"/>
  <c r="B31" i="10"/>
  <c r="B32" i="10"/>
  <c r="B33" i="10"/>
  <c r="C33" i="10" s="1"/>
  <c r="B34" i="10"/>
  <c r="B35" i="10"/>
  <c r="C35" i="10" s="1"/>
  <c r="B36" i="10"/>
  <c r="B37" i="10"/>
  <c r="B38" i="10"/>
  <c r="B39" i="10"/>
  <c r="C39" i="10" s="1"/>
  <c r="B40" i="10"/>
  <c r="C40" i="10" s="1"/>
  <c r="B41" i="10"/>
  <c r="B42" i="10"/>
  <c r="C42" i="10" s="1"/>
  <c r="B43" i="10"/>
  <c r="C43" i="10" s="1"/>
  <c r="B44" i="10"/>
  <c r="B45" i="10"/>
  <c r="C45" i="10" s="1"/>
  <c r="B46" i="10"/>
  <c r="B47" i="10"/>
  <c r="C47" i="10" s="1"/>
  <c r="B48" i="10"/>
  <c r="B49" i="10"/>
  <c r="B50" i="10"/>
  <c r="B51" i="10"/>
  <c r="C51" i="10" s="1"/>
  <c r="B52" i="10"/>
  <c r="C52" i="10" s="1"/>
  <c r="B53" i="10"/>
  <c r="B54" i="10"/>
  <c r="C54" i="10" s="1"/>
  <c r="B55" i="10"/>
  <c r="C55" i="10" s="1"/>
  <c r="B56" i="10"/>
  <c r="B57" i="10"/>
  <c r="C57" i="10" s="1"/>
  <c r="B58" i="10"/>
  <c r="B59" i="10"/>
  <c r="C59" i="10" s="1"/>
  <c r="B60" i="10"/>
  <c r="B61" i="10"/>
  <c r="B62" i="10"/>
  <c r="B63" i="10"/>
  <c r="C63" i="10" s="1"/>
  <c r="B64" i="10"/>
  <c r="C64" i="10" s="1"/>
  <c r="B65" i="10"/>
  <c r="C65" i="10" s="1"/>
  <c r="B66" i="10"/>
  <c r="C66" i="10" s="1"/>
  <c r="B67" i="10"/>
  <c r="C67" i="10" s="1"/>
  <c r="B68" i="10"/>
  <c r="B69" i="10"/>
  <c r="C69" i="10" s="1"/>
  <c r="B70" i="10"/>
  <c r="B71" i="10"/>
  <c r="C71" i="10" s="1"/>
  <c r="B72" i="10"/>
  <c r="B73" i="10"/>
  <c r="B74" i="10"/>
  <c r="B75" i="10"/>
  <c r="C75" i="10" s="1"/>
  <c r="B76" i="10"/>
  <c r="C76" i="10" s="1"/>
  <c r="B77" i="10"/>
  <c r="C77" i="10" s="1"/>
  <c r="B78" i="10"/>
  <c r="C78" i="10" s="1"/>
  <c r="B79" i="10"/>
  <c r="C79" i="10" s="1"/>
  <c r="B80" i="10"/>
  <c r="B81" i="10"/>
  <c r="C81" i="10" s="1"/>
  <c r="B82" i="10"/>
  <c r="B83" i="10"/>
  <c r="C83" i="10" s="1"/>
  <c r="B84" i="10"/>
  <c r="B85" i="10"/>
  <c r="B86" i="10"/>
  <c r="B87" i="10"/>
  <c r="C87" i="10" s="1"/>
  <c r="B88" i="10"/>
  <c r="C88" i="10" s="1"/>
  <c r="B89" i="10"/>
  <c r="C89" i="10" s="1"/>
  <c r="B90" i="10"/>
  <c r="C90" i="10" s="1"/>
  <c r="B91" i="10"/>
  <c r="C91" i="10" s="1"/>
  <c r="B92" i="10"/>
  <c r="B93" i="10"/>
  <c r="C93" i="10" s="1"/>
  <c r="B94" i="10"/>
  <c r="B95" i="10"/>
  <c r="C95" i="10" s="1"/>
  <c r="B96" i="10"/>
  <c r="B97" i="10"/>
  <c r="B98" i="10"/>
  <c r="B99" i="10"/>
  <c r="C99" i="10" s="1"/>
  <c r="B100" i="10"/>
  <c r="C100" i="10" s="1"/>
  <c r="B101" i="10"/>
  <c r="C101" i="10" s="1"/>
  <c r="B102" i="10"/>
  <c r="C102" i="10" s="1"/>
  <c r="B103" i="10"/>
  <c r="C103" i="10" s="1"/>
  <c r="B104" i="10"/>
  <c r="B105" i="10"/>
  <c r="C105" i="10" s="1"/>
  <c r="B106" i="10"/>
  <c r="B107" i="10"/>
  <c r="C107" i="10" s="1"/>
  <c r="B108" i="10"/>
  <c r="B109" i="10"/>
  <c r="B110" i="10"/>
  <c r="B111" i="10"/>
  <c r="C111" i="10" s="1"/>
  <c r="B112" i="10"/>
  <c r="C112" i="10" s="1"/>
  <c r="B113" i="10"/>
  <c r="C113" i="10" s="1"/>
  <c r="B114" i="10"/>
  <c r="C114" i="10" s="1"/>
  <c r="B115" i="10"/>
  <c r="C115" i="10" s="1"/>
  <c r="B116" i="10"/>
  <c r="B117" i="10"/>
  <c r="C117" i="10" s="1"/>
  <c r="B118" i="10"/>
  <c r="B119" i="10"/>
  <c r="C119" i="10" s="1"/>
  <c r="B120" i="10"/>
  <c r="B121" i="10"/>
  <c r="B122" i="10"/>
  <c r="B123" i="10"/>
  <c r="C123" i="10" s="1"/>
  <c r="B124" i="10"/>
  <c r="C124" i="10" s="1"/>
  <c r="B125" i="10"/>
  <c r="C125" i="10" s="1"/>
  <c r="B126" i="10"/>
  <c r="C126" i="10" s="1"/>
  <c r="B127" i="10"/>
  <c r="C127" i="10" s="1"/>
  <c r="B128" i="10"/>
  <c r="B129" i="10"/>
  <c r="C129" i="10" s="1"/>
  <c r="B130" i="10"/>
  <c r="B131" i="10"/>
  <c r="C131" i="10" s="1"/>
  <c r="B132" i="10"/>
  <c r="B133" i="10"/>
  <c r="B134" i="10"/>
  <c r="B135" i="10"/>
  <c r="C135" i="10" s="1"/>
  <c r="B136" i="10"/>
  <c r="C136" i="10" s="1"/>
  <c r="B137" i="10"/>
  <c r="C137" i="10" s="1"/>
  <c r="B138" i="10"/>
  <c r="C138" i="10" s="1"/>
  <c r="B139" i="10"/>
  <c r="C139" i="10" s="1"/>
  <c r="B140" i="10"/>
  <c r="B141" i="10"/>
  <c r="C141" i="10" s="1"/>
  <c r="B142" i="10"/>
  <c r="B143" i="10"/>
  <c r="C143" i="10" s="1"/>
  <c r="B144" i="10"/>
  <c r="B145" i="10"/>
  <c r="B146" i="10"/>
  <c r="B147" i="10"/>
  <c r="C147" i="10" s="1"/>
  <c r="B148" i="10"/>
  <c r="C148" i="10" s="1"/>
  <c r="B149" i="10"/>
  <c r="C149" i="10" s="1"/>
  <c r="B150" i="10"/>
  <c r="C150" i="10" s="1"/>
  <c r="B151" i="10"/>
  <c r="C151" i="10" s="1"/>
  <c r="B152" i="10"/>
  <c r="B153" i="10"/>
  <c r="C153" i="10" s="1"/>
  <c r="B154" i="10"/>
  <c r="B155" i="10"/>
  <c r="C155" i="10" s="1"/>
  <c r="B156" i="10"/>
  <c r="B157" i="10"/>
  <c r="B158" i="10"/>
  <c r="B159" i="10"/>
  <c r="C159" i="10" s="1"/>
  <c r="B160" i="10"/>
  <c r="C160" i="10" s="1"/>
  <c r="B161" i="10"/>
  <c r="C161" i="10" s="1"/>
  <c r="B162" i="10"/>
  <c r="C162" i="10" s="1"/>
  <c r="B163" i="10"/>
  <c r="C163" i="10" s="1"/>
  <c r="B164" i="10"/>
  <c r="B165" i="10"/>
  <c r="C165" i="10" s="1"/>
  <c r="B166" i="10"/>
  <c r="B167" i="10"/>
  <c r="C167" i="10" s="1"/>
  <c r="B168" i="10"/>
  <c r="B169" i="10"/>
  <c r="B170" i="10"/>
  <c r="B171" i="10"/>
  <c r="C171" i="10" s="1"/>
  <c r="B172" i="10"/>
  <c r="C172" i="10" s="1"/>
  <c r="B173" i="10"/>
  <c r="C173" i="10" s="1"/>
  <c r="B174" i="10"/>
  <c r="C174" i="10" s="1"/>
  <c r="B175" i="10"/>
  <c r="C175" i="10" s="1"/>
  <c r="B176" i="10"/>
  <c r="B177" i="10"/>
  <c r="C177" i="10" s="1"/>
  <c r="B178" i="10"/>
  <c r="B179" i="10"/>
  <c r="C179" i="10" s="1"/>
  <c r="B180" i="10"/>
  <c r="B181" i="10"/>
  <c r="B182" i="10"/>
  <c r="B183" i="10"/>
  <c r="C183" i="10" s="1"/>
  <c r="B184" i="10"/>
  <c r="C184" i="10" s="1"/>
  <c r="B185" i="10"/>
  <c r="C185" i="10" s="1"/>
  <c r="B186" i="10"/>
  <c r="C186" i="10" s="1"/>
  <c r="B187" i="10"/>
  <c r="C187" i="10" s="1"/>
  <c r="B188" i="10"/>
  <c r="B189" i="10"/>
  <c r="C189" i="10" s="1"/>
  <c r="B190" i="10"/>
  <c r="B191" i="10"/>
  <c r="C191" i="10" s="1"/>
  <c r="B192" i="10"/>
  <c r="B193" i="10"/>
  <c r="B194" i="10"/>
  <c r="B195" i="10"/>
  <c r="C195" i="10" s="1"/>
  <c r="B196" i="10"/>
  <c r="C196" i="10" s="1"/>
  <c r="B197" i="10"/>
  <c r="C197" i="10" s="1"/>
  <c r="B198" i="10"/>
  <c r="C198" i="10" s="1"/>
  <c r="B199" i="10"/>
  <c r="C199" i="10" s="1"/>
  <c r="B200" i="10"/>
  <c r="B201" i="10"/>
  <c r="C201" i="10" s="1"/>
  <c r="B202" i="10"/>
  <c r="B203" i="10"/>
  <c r="C203" i="10" s="1"/>
  <c r="B204" i="10"/>
  <c r="B205" i="10"/>
  <c r="B206" i="10"/>
  <c r="B207" i="10"/>
  <c r="C207" i="10" s="1"/>
  <c r="B208" i="10"/>
  <c r="C208" i="10" s="1"/>
  <c r="B209" i="10"/>
  <c r="C209" i="10" s="1"/>
  <c r="B210" i="10"/>
  <c r="C210" i="10" s="1"/>
  <c r="B211" i="10"/>
  <c r="C211" i="10" s="1"/>
  <c r="B212" i="10"/>
  <c r="B213" i="10"/>
  <c r="C213" i="10" s="1"/>
  <c r="B214" i="10"/>
  <c r="B215" i="10"/>
  <c r="C215" i="10" s="1"/>
  <c r="B216" i="10"/>
  <c r="B217" i="10"/>
  <c r="B218" i="10"/>
  <c r="B219" i="10"/>
  <c r="C219" i="10" s="1"/>
  <c r="B220" i="10"/>
  <c r="C220" i="10" s="1"/>
  <c r="B221" i="10"/>
  <c r="C221" i="10" s="1"/>
  <c r="B222" i="10"/>
  <c r="C222" i="10" s="1"/>
  <c r="B223" i="10"/>
  <c r="C223" i="10" s="1"/>
  <c r="B224" i="10"/>
  <c r="B225" i="10"/>
  <c r="C225" i="10" s="1"/>
  <c r="B226" i="10"/>
  <c r="B227" i="10"/>
  <c r="C227" i="10" s="1"/>
  <c r="B228" i="10"/>
  <c r="B229" i="10"/>
  <c r="B230" i="10"/>
  <c r="B231" i="10"/>
  <c r="C231" i="10" s="1"/>
  <c r="B232" i="10"/>
  <c r="C232" i="10" s="1"/>
  <c r="B233" i="10"/>
  <c r="C233" i="10" s="1"/>
  <c r="B234" i="10"/>
  <c r="C234" i="10" s="1"/>
  <c r="B235" i="10"/>
  <c r="C235" i="10" s="1"/>
  <c r="B236" i="10"/>
  <c r="B237" i="10"/>
  <c r="C237" i="10" s="1"/>
  <c r="B238" i="10"/>
  <c r="B239" i="10"/>
  <c r="C239" i="10" s="1"/>
  <c r="B240" i="10"/>
  <c r="B241" i="10"/>
  <c r="B242" i="10"/>
  <c r="B243" i="10"/>
  <c r="C243" i="10" s="1"/>
  <c r="B244" i="10"/>
  <c r="C244" i="10" s="1"/>
  <c r="B245" i="10"/>
  <c r="C245" i="10" s="1"/>
  <c r="B246" i="10"/>
  <c r="C246" i="10" s="1"/>
  <c r="B247" i="10"/>
  <c r="C247" i="10" s="1"/>
  <c r="B248" i="10"/>
  <c r="B249" i="10"/>
  <c r="C249" i="10" s="1"/>
  <c r="B250" i="10"/>
  <c r="B251" i="10"/>
  <c r="C251" i="10" s="1"/>
  <c r="B252" i="10"/>
  <c r="B253" i="10"/>
  <c r="B254" i="10"/>
  <c r="B255" i="10"/>
  <c r="C255" i="10" s="1"/>
  <c r="B256" i="10"/>
  <c r="C256" i="10" s="1"/>
  <c r="B257" i="10"/>
  <c r="C257" i="10" s="1"/>
  <c r="B258" i="10"/>
  <c r="C258" i="10" s="1"/>
  <c r="B259" i="10"/>
  <c r="C259" i="10" s="1"/>
  <c r="B260" i="10"/>
  <c r="B261" i="10"/>
  <c r="C261" i="10" s="1"/>
  <c r="B262" i="10"/>
  <c r="B263" i="10"/>
  <c r="C263" i="10" s="1"/>
  <c r="B264" i="10"/>
  <c r="B265" i="10"/>
  <c r="B266" i="10"/>
  <c r="B267" i="10"/>
  <c r="C267" i="10" s="1"/>
  <c r="B268" i="10"/>
  <c r="C268" i="10" s="1"/>
  <c r="B269" i="10"/>
  <c r="C269" i="10" s="1"/>
  <c r="B270" i="10"/>
  <c r="C270" i="10" s="1"/>
  <c r="B271" i="10"/>
  <c r="C271" i="10" s="1"/>
  <c r="B272" i="10"/>
  <c r="B273" i="10"/>
  <c r="C273" i="10" s="1"/>
  <c r="B274" i="10"/>
  <c r="B275" i="10"/>
  <c r="C275" i="10" s="1"/>
  <c r="B276" i="10"/>
  <c r="B277" i="10"/>
  <c r="B278" i="10"/>
  <c r="B279" i="10"/>
  <c r="C279" i="10" s="1"/>
  <c r="B280" i="10"/>
  <c r="C280" i="10" s="1"/>
  <c r="B281" i="10"/>
  <c r="C281" i="10" s="1"/>
  <c r="B282" i="10"/>
  <c r="C282" i="10" s="1"/>
  <c r="B283" i="10"/>
  <c r="C283" i="10" s="1"/>
  <c r="B284" i="10"/>
  <c r="B285" i="10"/>
  <c r="C285" i="10" s="1"/>
  <c r="B286" i="10"/>
  <c r="B287" i="10"/>
  <c r="C287" i="10" s="1"/>
  <c r="B288" i="10"/>
  <c r="B289" i="10"/>
  <c r="B290" i="10"/>
  <c r="B291" i="10"/>
  <c r="C291" i="10" s="1"/>
  <c r="B292" i="10"/>
  <c r="C292" i="10" s="1"/>
  <c r="B293" i="10"/>
  <c r="C293" i="10" s="1"/>
  <c r="B294" i="10"/>
  <c r="C294" i="10" s="1"/>
  <c r="B295" i="10"/>
  <c r="C295" i="10" s="1"/>
  <c r="B296" i="10"/>
  <c r="B297" i="10"/>
  <c r="C297" i="10" s="1"/>
  <c r="B298" i="10"/>
  <c r="B299" i="10"/>
  <c r="C299" i="10" s="1"/>
  <c r="B300" i="10"/>
  <c r="B301" i="10"/>
  <c r="B302" i="10"/>
  <c r="B303" i="10"/>
  <c r="C303" i="10" s="1"/>
  <c r="B304" i="10"/>
  <c r="C304" i="10" s="1"/>
  <c r="B305" i="10"/>
  <c r="C305" i="10" s="1"/>
  <c r="B306" i="10"/>
  <c r="C306" i="10" s="1"/>
  <c r="B307" i="10"/>
  <c r="C307" i="10" s="1"/>
  <c r="B308" i="10"/>
  <c r="B309" i="10"/>
  <c r="C309" i="10" s="1"/>
  <c r="B310" i="10"/>
  <c r="B311" i="10"/>
  <c r="C311" i="10" s="1"/>
  <c r="B312" i="10"/>
  <c r="B313" i="10"/>
  <c r="B314" i="10"/>
  <c r="B315" i="10"/>
  <c r="C315" i="10" s="1"/>
  <c r="B316" i="10"/>
  <c r="C316" i="10" s="1"/>
  <c r="B317" i="10"/>
  <c r="C317" i="10" s="1"/>
  <c r="B318" i="10"/>
  <c r="C318" i="10" s="1"/>
  <c r="B319" i="10"/>
  <c r="C319" i="10" s="1"/>
  <c r="B320" i="10"/>
  <c r="B321" i="10"/>
  <c r="C321" i="10" s="1"/>
  <c r="B322" i="10"/>
  <c r="B323" i="10"/>
  <c r="C323" i="10" s="1"/>
  <c r="B324" i="10"/>
  <c r="B325" i="10"/>
  <c r="B326" i="10"/>
  <c r="B327" i="10"/>
  <c r="C327" i="10" s="1"/>
  <c r="B328" i="10"/>
  <c r="C328" i="10" s="1"/>
  <c r="B329" i="10"/>
  <c r="C329" i="10" s="1"/>
  <c r="B330" i="10"/>
  <c r="C330" i="10" s="1"/>
  <c r="B331" i="10"/>
  <c r="C331" i="10" s="1"/>
  <c r="B332" i="10"/>
  <c r="B333" i="10"/>
  <c r="C333" i="10" s="1"/>
  <c r="B334" i="10"/>
  <c r="B335" i="10"/>
  <c r="C335" i="10" s="1"/>
  <c r="B336" i="10"/>
  <c r="B337" i="10"/>
  <c r="B338" i="10"/>
  <c r="B339" i="10"/>
  <c r="C339" i="10" s="1"/>
  <c r="B340" i="10"/>
  <c r="C340" i="10" s="1"/>
  <c r="B341" i="10"/>
  <c r="C341" i="10" s="1"/>
  <c r="B342" i="10"/>
  <c r="C342" i="10" s="1"/>
  <c r="B343" i="10"/>
  <c r="C343" i="10" s="1"/>
  <c r="B344" i="10"/>
  <c r="C344" i="10" s="1"/>
  <c r="B345" i="10"/>
  <c r="C345" i="10" s="1"/>
  <c r="B346" i="10"/>
  <c r="B347" i="10"/>
  <c r="C347" i="10" s="1"/>
  <c r="B348" i="10"/>
  <c r="B349" i="10"/>
  <c r="B350" i="10"/>
  <c r="B351" i="10"/>
  <c r="C351" i="10" s="1"/>
  <c r="B352" i="10"/>
  <c r="C352" i="10" s="1"/>
  <c r="B353" i="10"/>
  <c r="C353" i="10" s="1"/>
  <c r="B354" i="10"/>
  <c r="C354" i="10" s="1"/>
  <c r="B355" i="10"/>
  <c r="C355" i="10" s="1"/>
  <c r="B356" i="10"/>
  <c r="B357" i="10"/>
  <c r="C357" i="10" s="1"/>
  <c r="B358" i="10"/>
  <c r="B359" i="10"/>
  <c r="C359" i="10" s="1"/>
  <c r="B360" i="10"/>
  <c r="C360" i="10" s="1"/>
  <c r="B361" i="10"/>
  <c r="B362" i="10"/>
  <c r="B363" i="10"/>
  <c r="C363" i="10" s="1"/>
  <c r="B364" i="10"/>
  <c r="C364" i="10" s="1"/>
  <c r="B365" i="10"/>
  <c r="C365" i="10" s="1"/>
  <c r="B366" i="10"/>
  <c r="C366" i="10" s="1"/>
  <c r="B367" i="10"/>
  <c r="C367" i="10" s="1"/>
  <c r="B368" i="10"/>
  <c r="B369" i="10"/>
  <c r="C369" i="10" s="1"/>
  <c r="B370" i="10"/>
  <c r="B371" i="10"/>
  <c r="C371" i="10" s="1"/>
  <c r="B372" i="10"/>
  <c r="B373" i="10"/>
  <c r="B374" i="10"/>
  <c r="B375" i="10"/>
  <c r="C375" i="10" s="1"/>
  <c r="B376" i="10"/>
  <c r="C376" i="10" s="1"/>
  <c r="B377" i="10"/>
  <c r="C377" i="10" s="1"/>
  <c r="B378" i="10"/>
  <c r="C378" i="10" s="1"/>
  <c r="B379" i="10"/>
  <c r="C379" i="10" s="1"/>
  <c r="B380" i="10"/>
  <c r="B381" i="10"/>
  <c r="C381" i="10" s="1"/>
  <c r="B382" i="10"/>
  <c r="B383" i="10"/>
  <c r="C383" i="10" s="1"/>
  <c r="B384" i="10"/>
  <c r="B385" i="10"/>
  <c r="B386" i="10"/>
  <c r="B387" i="10"/>
  <c r="C387" i="10" s="1"/>
  <c r="B388" i="10"/>
  <c r="C388" i="10" s="1"/>
  <c r="B389" i="10"/>
  <c r="C389" i="10" s="1"/>
  <c r="B390" i="10"/>
  <c r="C390" i="10" s="1"/>
  <c r="B391" i="10"/>
  <c r="C391" i="10" s="1"/>
  <c r="B392" i="10"/>
  <c r="B393" i="10"/>
  <c r="C393" i="10" s="1"/>
  <c r="B394" i="10"/>
  <c r="B395" i="10"/>
  <c r="C395" i="10" s="1"/>
  <c r="B396" i="10"/>
  <c r="B397" i="10"/>
  <c r="B398" i="10"/>
  <c r="B399" i="10"/>
  <c r="C399" i="10" s="1"/>
  <c r="B400" i="10"/>
  <c r="C400" i="10" s="1"/>
  <c r="B401" i="10"/>
  <c r="C401" i="10" s="1"/>
  <c r="B402" i="10"/>
  <c r="C402" i="10" s="1"/>
  <c r="B403" i="10"/>
  <c r="C403" i="10" s="1"/>
  <c r="B404" i="10"/>
  <c r="B405" i="10"/>
  <c r="C405" i="10" s="1"/>
  <c r="B406" i="10"/>
  <c r="B407" i="10"/>
  <c r="C407" i="10" s="1"/>
  <c r="B408" i="10"/>
  <c r="C408" i="10" s="1"/>
  <c r="B409" i="10"/>
  <c r="B410" i="10"/>
  <c r="B411" i="10"/>
  <c r="C411" i="10" s="1"/>
  <c r="B412" i="10"/>
  <c r="C412" i="10" s="1"/>
  <c r="B413" i="10"/>
  <c r="C413" i="10" s="1"/>
  <c r="B414" i="10"/>
  <c r="C414" i="10" s="1"/>
  <c r="B415" i="10"/>
  <c r="C415" i="10" s="1"/>
  <c r="B416" i="10"/>
  <c r="B417" i="10"/>
  <c r="C417" i="10" s="1"/>
  <c r="B418" i="10"/>
  <c r="C418" i="10" s="1"/>
  <c r="B419" i="10"/>
  <c r="C419" i="10" s="1"/>
  <c r="B420" i="10"/>
  <c r="B421" i="10"/>
  <c r="B422" i="10"/>
  <c r="B423" i="10"/>
  <c r="C423" i="10" s="1"/>
  <c r="B424" i="10"/>
  <c r="C424" i="10" s="1"/>
  <c r="B425" i="10"/>
  <c r="C425" i="10" s="1"/>
  <c r="B426" i="10"/>
  <c r="C426" i="10" s="1"/>
  <c r="B427" i="10"/>
  <c r="C427" i="10" s="1"/>
  <c r="B428" i="10"/>
  <c r="B429" i="10"/>
  <c r="C429" i="10" s="1"/>
  <c r="B430" i="10"/>
  <c r="C430" i="10" s="1"/>
  <c r="B431" i="10"/>
  <c r="C431" i="10" s="1"/>
  <c r="B432" i="10"/>
  <c r="B433" i="10"/>
  <c r="B3" i="10"/>
  <c r="AI35" i="3"/>
  <c r="AI31" i="3"/>
  <c r="AI27" i="3"/>
  <c r="AI24" i="3"/>
  <c r="AI27" i="6" l="1"/>
  <c r="AI24" i="6" l="1"/>
  <c r="AI35" i="6" l="1"/>
  <c r="AI34" i="6"/>
  <c r="AI31" i="6"/>
  <c r="AI30" i="6"/>
  <c r="AI29" i="6"/>
  <c r="AI28" i="6"/>
  <c r="AI26" i="6"/>
  <c r="AI23" i="6"/>
  <c r="AI13" i="6"/>
  <c r="AI12" i="6"/>
  <c r="AI11" i="6"/>
  <c r="BA6" i="6" s="1"/>
  <c r="AI8" i="6"/>
  <c r="AI7" i="6"/>
  <c r="AI6" i="6"/>
  <c r="AI5" i="6"/>
  <c r="AI4" i="6"/>
  <c r="AI30" i="3"/>
  <c r="AI29" i="3"/>
  <c r="AI28" i="3"/>
  <c r="AI26" i="3"/>
  <c r="AI23" i="3"/>
  <c r="AI12" i="3"/>
  <c r="AI11" i="3"/>
  <c r="AX6" i="3" s="1"/>
  <c r="BB6" i="3" s="1"/>
  <c r="AI8" i="3"/>
  <c r="AI7" i="3"/>
  <c r="AI4" i="3"/>
  <c r="AP57" i="3" l="1"/>
  <c r="AP69" i="3"/>
  <c r="AP58" i="3"/>
  <c r="AP59" i="3"/>
  <c r="AP60" i="3"/>
  <c r="AP61" i="3"/>
  <c r="AP62" i="3"/>
  <c r="AP63" i="3"/>
  <c r="AP64" i="3"/>
  <c r="AP53" i="3"/>
  <c r="AP65" i="3"/>
  <c r="AP54" i="3"/>
  <c r="AP66" i="3"/>
  <c r="AP55" i="3"/>
  <c r="AP68" i="3"/>
  <c r="AP67" i="3"/>
  <c r="AP51" i="3"/>
  <c r="AP52" i="3"/>
  <c r="AP56" i="3"/>
  <c r="AP50" i="3"/>
  <c r="AP29" i="3"/>
  <c r="AP30" i="3"/>
  <c r="AP31" i="3"/>
  <c r="AP28" i="3"/>
  <c r="AI39" i="3"/>
  <c r="AI38" i="3"/>
  <c r="AI16" i="6"/>
  <c r="AP7" i="6" s="1"/>
  <c r="AR7" i="6" s="1"/>
  <c r="AI38" i="6"/>
  <c r="AI39" i="6"/>
  <c r="D6" i="6"/>
  <c r="D7" i="6" s="1"/>
  <c r="AI16" i="3"/>
  <c r="AI34" i="3"/>
  <c r="H2" i="9"/>
  <c r="AP7" i="3" l="1"/>
  <c r="AR7" i="3" s="1"/>
  <c r="AO7" i="3"/>
  <c r="AQ7" i="3" s="1"/>
  <c r="AO7" i="6"/>
  <c r="AQ7" i="6" s="1"/>
  <c r="AI9" i="6"/>
  <c r="H4" i="9"/>
  <c r="H3" i="9"/>
  <c r="AI32" i="3"/>
  <c r="AI32" i="6"/>
  <c r="AI9" i="3"/>
  <c r="AX4" i="3" s="1"/>
  <c r="AZ206" i="3" l="1"/>
  <c r="AZ218" i="3"/>
  <c r="AZ230" i="3"/>
  <c r="AZ239" i="3"/>
  <c r="AZ249" i="3"/>
  <c r="AZ270" i="3"/>
  <c r="AZ282" i="3"/>
  <c r="AZ294" i="3"/>
  <c r="AZ306" i="3"/>
  <c r="AZ318" i="3"/>
  <c r="AZ330" i="3"/>
  <c r="AZ342" i="3"/>
  <c r="AZ354" i="3"/>
  <c r="BA354" i="3" s="1"/>
  <c r="AZ366" i="3"/>
  <c r="BA366" i="3" s="1"/>
  <c r="AZ378" i="3"/>
  <c r="BA378" i="3" s="1"/>
  <c r="AZ390" i="3"/>
  <c r="BA390" i="3" s="1"/>
  <c r="AZ402" i="3"/>
  <c r="BA402" i="3" s="1"/>
  <c r="AZ233" i="3"/>
  <c r="AZ241" i="3"/>
  <c r="AZ252" i="3"/>
  <c r="AZ285" i="3"/>
  <c r="AZ309" i="3"/>
  <c r="AZ345" i="3"/>
  <c r="BA345" i="3" s="1"/>
  <c r="AZ381" i="3"/>
  <c r="BA381" i="3" s="1"/>
  <c r="AZ405" i="3"/>
  <c r="BA405" i="3" s="1"/>
  <c r="AZ234" i="3"/>
  <c r="AZ262" i="3"/>
  <c r="AZ298" i="3"/>
  <c r="AZ334" i="3"/>
  <c r="AZ370" i="3"/>
  <c r="BA370" i="3" s="1"/>
  <c r="AZ394" i="3"/>
  <c r="BA394" i="3" s="1"/>
  <c r="AZ213" i="3"/>
  <c r="AZ265" i="3"/>
  <c r="AZ301" i="3"/>
  <c r="AZ337" i="3"/>
  <c r="AZ397" i="3"/>
  <c r="BA397" i="3" s="1"/>
  <c r="AZ216" i="3"/>
  <c r="AZ304" i="3"/>
  <c r="AZ376" i="3"/>
  <c r="BA376" i="3" s="1"/>
  <c r="AZ269" i="3"/>
  <c r="AZ329" i="3"/>
  <c r="AZ389" i="3"/>
  <c r="BA389" i="3" s="1"/>
  <c r="AZ207" i="3"/>
  <c r="AZ219" i="3"/>
  <c r="AZ231" i="3"/>
  <c r="AZ240" i="3"/>
  <c r="AZ250" i="3"/>
  <c r="AZ259" i="3"/>
  <c r="AZ271" i="3"/>
  <c r="AZ283" i="3"/>
  <c r="AZ295" i="3"/>
  <c r="AZ307" i="3"/>
  <c r="AZ319" i="3"/>
  <c r="AZ331" i="3"/>
  <c r="AZ343" i="3"/>
  <c r="BA343" i="3" s="1"/>
  <c r="AZ355" i="3"/>
  <c r="BA355" i="3" s="1"/>
  <c r="AZ367" i="3"/>
  <c r="BA367" i="3" s="1"/>
  <c r="AZ379" i="3"/>
  <c r="BA379" i="3" s="1"/>
  <c r="AZ391" i="3"/>
  <c r="BA391" i="3" s="1"/>
  <c r="AZ403" i="3"/>
  <c r="BA403" i="3" s="1"/>
  <c r="AZ221" i="3"/>
  <c r="AZ261" i="3"/>
  <c r="AZ297" i="3"/>
  <c r="AZ321" i="3"/>
  <c r="AZ357" i="3"/>
  <c r="BA357" i="3" s="1"/>
  <c r="AZ393" i="3"/>
  <c r="BA393" i="3" s="1"/>
  <c r="AZ210" i="3"/>
  <c r="AZ242" i="3"/>
  <c r="AZ286" i="3"/>
  <c r="AZ310" i="3"/>
  <c r="AZ346" i="3"/>
  <c r="BA346" i="3" s="1"/>
  <c r="AZ382" i="3"/>
  <c r="BA382" i="3" s="1"/>
  <c r="AZ396" i="3"/>
  <c r="BA396" i="3" s="1"/>
  <c r="AZ277" i="3"/>
  <c r="AZ313" i="3"/>
  <c r="AZ349" i="3"/>
  <c r="BA349" i="3" s="1"/>
  <c r="AZ385" i="3"/>
  <c r="BA385" i="3" s="1"/>
  <c r="AZ399" i="3"/>
  <c r="BA399" i="3" s="1"/>
  <c r="AZ238" i="3"/>
  <c r="AZ292" i="3"/>
  <c r="AZ328" i="3"/>
  <c r="AZ364" i="3"/>
  <c r="BA364" i="3" s="1"/>
  <c r="AZ217" i="3"/>
  <c r="AZ293" i="3"/>
  <c r="AZ377" i="3"/>
  <c r="BA377" i="3" s="1"/>
  <c r="AZ208" i="3"/>
  <c r="AZ220" i="3"/>
  <c r="AZ232" i="3"/>
  <c r="AZ251" i="3"/>
  <c r="AZ260" i="3"/>
  <c r="AZ272" i="3"/>
  <c r="AZ284" i="3"/>
  <c r="AZ296" i="3"/>
  <c r="AZ308" i="3"/>
  <c r="AZ320" i="3"/>
  <c r="AZ332" i="3"/>
  <c r="AZ344" i="3"/>
  <c r="BA344" i="3" s="1"/>
  <c r="AZ356" i="3"/>
  <c r="BA356" i="3" s="1"/>
  <c r="AZ368" i="3"/>
  <c r="BA368" i="3" s="1"/>
  <c r="AZ380" i="3"/>
  <c r="BA380" i="3" s="1"/>
  <c r="AZ392" i="3"/>
  <c r="BA392" i="3" s="1"/>
  <c r="AZ404" i="3"/>
  <c r="BA404" i="3" s="1"/>
  <c r="AZ209" i="3"/>
  <c r="AZ273" i="3"/>
  <c r="AZ333" i="3"/>
  <c r="AZ369" i="3"/>
  <c r="BA369" i="3" s="1"/>
  <c r="AZ222" i="3"/>
  <c r="AZ274" i="3"/>
  <c r="AZ322" i="3"/>
  <c r="AZ358" i="3"/>
  <c r="BA358" i="3" s="1"/>
  <c r="AZ406" i="3"/>
  <c r="BA406" i="3" s="1"/>
  <c r="AZ245" i="3"/>
  <c r="AZ289" i="3"/>
  <c r="AZ361" i="3"/>
  <c r="BA361" i="3" s="1"/>
  <c r="AZ228" i="3"/>
  <c r="AZ316" i="3"/>
  <c r="AZ248" i="3"/>
  <c r="AZ317" i="3"/>
  <c r="AZ401" i="3"/>
  <c r="BA401" i="3" s="1"/>
  <c r="AZ211" i="3"/>
  <c r="AZ223" i="3"/>
  <c r="AZ243" i="3"/>
  <c r="AZ253" i="3"/>
  <c r="AZ263" i="3"/>
  <c r="AZ275" i="3"/>
  <c r="AZ287" i="3"/>
  <c r="AZ299" i="3"/>
  <c r="AZ311" i="3"/>
  <c r="AZ323" i="3"/>
  <c r="AZ335" i="3"/>
  <c r="AZ347" i="3"/>
  <c r="BA347" i="3" s="1"/>
  <c r="AZ359" i="3"/>
  <c r="BA359" i="3" s="1"/>
  <c r="AZ371" i="3"/>
  <c r="BA371" i="3" s="1"/>
  <c r="AZ383" i="3"/>
  <c r="BA383" i="3" s="1"/>
  <c r="AZ395" i="3"/>
  <c r="BA395" i="3" s="1"/>
  <c r="AZ407" i="3"/>
  <c r="BA407" i="3" s="1"/>
  <c r="AZ212" i="3"/>
  <c r="AZ224" i="3"/>
  <c r="AZ235" i="3"/>
  <c r="AZ244" i="3"/>
  <c r="AZ264" i="3"/>
  <c r="AZ276" i="3"/>
  <c r="AZ288" i="3"/>
  <c r="AZ300" i="3"/>
  <c r="AZ312" i="3"/>
  <c r="AZ324" i="3"/>
  <c r="AZ336" i="3"/>
  <c r="AZ348" i="3"/>
  <c r="BA348" i="3" s="1"/>
  <c r="AZ360" i="3"/>
  <c r="BA360" i="3" s="1"/>
  <c r="AZ384" i="3"/>
  <c r="BA384" i="3" s="1"/>
  <c r="AZ225" i="3"/>
  <c r="AZ254" i="3"/>
  <c r="AZ325" i="3"/>
  <c r="AZ373" i="3"/>
  <c r="BA373" i="3" s="1"/>
  <c r="AZ387" i="3"/>
  <c r="BA387" i="3" s="1"/>
  <c r="AZ247" i="3"/>
  <c r="AZ280" i="3"/>
  <c r="AZ340" i="3"/>
  <c r="AZ388" i="3"/>
  <c r="BA388" i="3" s="1"/>
  <c r="AZ229" i="3"/>
  <c r="AZ305" i="3"/>
  <c r="AZ353" i="3"/>
  <c r="BA353" i="3" s="1"/>
  <c r="AZ372" i="3"/>
  <c r="BA372" i="3" s="1"/>
  <c r="AZ268" i="3"/>
  <c r="AZ400" i="3"/>
  <c r="BA400" i="3" s="1"/>
  <c r="AZ281" i="3"/>
  <c r="AZ365" i="3"/>
  <c r="BA365" i="3" s="1"/>
  <c r="AZ214" i="3"/>
  <c r="AZ226" i="3"/>
  <c r="AZ236" i="3"/>
  <c r="AZ246" i="3"/>
  <c r="AZ255" i="3"/>
  <c r="AZ266" i="3"/>
  <c r="AZ278" i="3"/>
  <c r="AZ290" i="3"/>
  <c r="AZ302" i="3"/>
  <c r="AZ314" i="3"/>
  <c r="AZ326" i="3"/>
  <c r="AZ338" i="3"/>
  <c r="AZ350" i="3"/>
  <c r="BA350" i="3" s="1"/>
  <c r="AZ362" i="3"/>
  <c r="BA362" i="3" s="1"/>
  <c r="AZ374" i="3"/>
  <c r="BA374" i="3" s="1"/>
  <c r="AZ386" i="3"/>
  <c r="BA386" i="3" s="1"/>
  <c r="AZ398" i="3"/>
  <c r="BA398" i="3" s="1"/>
  <c r="AZ215" i="3"/>
  <c r="AZ227" i="3"/>
  <c r="AZ237" i="3"/>
  <c r="AZ256" i="3"/>
  <c r="AZ267" i="3"/>
  <c r="AZ279" i="3"/>
  <c r="AZ291" i="3"/>
  <c r="AZ303" i="3"/>
  <c r="AZ315" i="3"/>
  <c r="AZ327" i="3"/>
  <c r="AZ339" i="3"/>
  <c r="AZ351" i="3"/>
  <c r="BA351" i="3" s="1"/>
  <c r="AZ363" i="3"/>
  <c r="BA363" i="3" s="1"/>
  <c r="AZ375" i="3"/>
  <c r="BA375" i="3" s="1"/>
  <c r="AZ257" i="3"/>
  <c r="AZ352" i="3"/>
  <c r="BA352" i="3" s="1"/>
  <c r="AZ258" i="3"/>
  <c r="AZ341" i="3"/>
  <c r="H8" i="9"/>
  <c r="H10" i="9" s="1"/>
  <c r="AI22" i="3" s="1"/>
  <c r="H9" i="9"/>
  <c r="AZ188" i="3"/>
  <c r="AZ9" i="3"/>
  <c r="AZ21" i="3"/>
  <c r="AZ33" i="3"/>
  <c r="AZ45" i="3"/>
  <c r="AZ57" i="3"/>
  <c r="AZ69" i="3"/>
  <c r="AZ81" i="3"/>
  <c r="AZ93" i="3"/>
  <c r="AZ105" i="3"/>
  <c r="AZ117" i="3"/>
  <c r="AZ129" i="3"/>
  <c r="AZ141" i="3"/>
  <c r="AZ153" i="3"/>
  <c r="AZ165" i="3"/>
  <c r="AZ177" i="3"/>
  <c r="AZ189" i="3"/>
  <c r="AZ201" i="3"/>
  <c r="AZ11" i="3"/>
  <c r="AZ35" i="3"/>
  <c r="AZ59" i="3"/>
  <c r="AZ83" i="3"/>
  <c r="AZ107" i="3"/>
  <c r="AZ131" i="3"/>
  <c r="AZ155" i="3"/>
  <c r="AZ179" i="3"/>
  <c r="AZ203" i="3"/>
  <c r="AZ108" i="3"/>
  <c r="AZ156" i="3"/>
  <c r="AZ192" i="3"/>
  <c r="AZ10" i="3"/>
  <c r="AZ22" i="3"/>
  <c r="AZ34" i="3"/>
  <c r="AZ46" i="3"/>
  <c r="AZ58" i="3"/>
  <c r="AZ70" i="3"/>
  <c r="AZ82" i="3"/>
  <c r="AZ94" i="3"/>
  <c r="AZ106" i="3"/>
  <c r="AZ118" i="3"/>
  <c r="AZ130" i="3"/>
  <c r="AZ142" i="3"/>
  <c r="AZ154" i="3"/>
  <c r="AZ166" i="3"/>
  <c r="AZ178" i="3"/>
  <c r="AZ190" i="3"/>
  <c r="AZ202" i="3"/>
  <c r="AZ23" i="3"/>
  <c r="AZ47" i="3"/>
  <c r="AZ71" i="3"/>
  <c r="AZ95" i="3"/>
  <c r="AZ119" i="3"/>
  <c r="AZ143" i="3"/>
  <c r="AZ167" i="3"/>
  <c r="AZ191" i="3"/>
  <c r="AZ96" i="3"/>
  <c r="AZ144" i="3"/>
  <c r="AZ180" i="3"/>
  <c r="AZ12" i="3"/>
  <c r="AZ24" i="3"/>
  <c r="AZ36" i="3"/>
  <c r="AZ48" i="3"/>
  <c r="AZ60" i="3"/>
  <c r="AZ72" i="3"/>
  <c r="AZ84" i="3"/>
  <c r="AZ120" i="3"/>
  <c r="AZ132" i="3"/>
  <c r="AZ168" i="3"/>
  <c r="AZ204" i="3"/>
  <c r="AZ13" i="3"/>
  <c r="AZ25" i="3"/>
  <c r="AZ37" i="3"/>
  <c r="AZ49" i="3"/>
  <c r="AZ61" i="3"/>
  <c r="AZ73" i="3"/>
  <c r="AZ85" i="3"/>
  <c r="AZ97" i="3"/>
  <c r="AZ109" i="3"/>
  <c r="AZ121" i="3"/>
  <c r="AZ133" i="3"/>
  <c r="AZ145" i="3"/>
  <c r="AZ157" i="3"/>
  <c r="AZ169" i="3"/>
  <c r="AZ181" i="3"/>
  <c r="AZ193" i="3"/>
  <c r="AZ205" i="3"/>
  <c r="AZ125" i="3"/>
  <c r="AZ54" i="3"/>
  <c r="AZ198" i="3"/>
  <c r="AZ14" i="3"/>
  <c r="AZ26" i="3"/>
  <c r="AZ38" i="3"/>
  <c r="AZ50" i="3"/>
  <c r="AZ62" i="3"/>
  <c r="AZ74" i="3"/>
  <c r="AZ86" i="3"/>
  <c r="AZ98" i="3"/>
  <c r="AZ110" i="3"/>
  <c r="AZ122" i="3"/>
  <c r="AZ134" i="3"/>
  <c r="AZ146" i="3"/>
  <c r="AZ158" i="3"/>
  <c r="AZ170" i="3"/>
  <c r="AZ182" i="3"/>
  <c r="AZ194" i="3"/>
  <c r="AZ7" i="3"/>
  <c r="AZ41" i="3"/>
  <c r="AZ77" i="3"/>
  <c r="AZ113" i="3"/>
  <c r="AZ161" i="3"/>
  <c r="AZ197" i="3"/>
  <c r="AZ42" i="3"/>
  <c r="AZ102" i="3"/>
  <c r="AZ126" i="3"/>
  <c r="AZ162" i="3"/>
  <c r="AZ15" i="3"/>
  <c r="AZ27" i="3"/>
  <c r="AZ39" i="3"/>
  <c r="AZ51" i="3"/>
  <c r="AZ63" i="3"/>
  <c r="AZ75" i="3"/>
  <c r="AZ87" i="3"/>
  <c r="AZ99" i="3"/>
  <c r="AZ111" i="3"/>
  <c r="AZ123" i="3"/>
  <c r="AZ135" i="3"/>
  <c r="AZ147" i="3"/>
  <c r="AZ159" i="3"/>
  <c r="AZ171" i="3"/>
  <c r="AZ183" i="3"/>
  <c r="AZ195" i="3"/>
  <c r="AZ29" i="3"/>
  <c r="AZ65" i="3"/>
  <c r="AZ101" i="3"/>
  <c r="AZ149" i="3"/>
  <c r="AZ185" i="3"/>
  <c r="AZ18" i="3"/>
  <c r="AZ66" i="3"/>
  <c r="AZ114" i="3"/>
  <c r="AZ150" i="3"/>
  <c r="AZ186" i="3"/>
  <c r="AZ16" i="3"/>
  <c r="AZ28" i="3"/>
  <c r="AZ40" i="3"/>
  <c r="AZ52" i="3"/>
  <c r="AZ64" i="3"/>
  <c r="AZ76" i="3"/>
  <c r="AZ88" i="3"/>
  <c r="AZ100" i="3"/>
  <c r="AZ112" i="3"/>
  <c r="AZ124" i="3"/>
  <c r="AZ136" i="3"/>
  <c r="AZ148" i="3"/>
  <c r="AZ160" i="3"/>
  <c r="AZ172" i="3"/>
  <c r="AZ184" i="3"/>
  <c r="AZ196" i="3"/>
  <c r="AZ17" i="3"/>
  <c r="AZ53" i="3"/>
  <c r="AZ89" i="3"/>
  <c r="AZ137" i="3"/>
  <c r="AZ173" i="3"/>
  <c r="AZ30" i="3"/>
  <c r="AZ90" i="3"/>
  <c r="AZ138" i="3"/>
  <c r="AZ174" i="3"/>
  <c r="AZ78" i="3"/>
  <c r="AZ19" i="3"/>
  <c r="AZ31" i="3"/>
  <c r="AZ43" i="3"/>
  <c r="AZ55" i="3"/>
  <c r="AZ67" i="3"/>
  <c r="AZ79" i="3"/>
  <c r="AZ91" i="3"/>
  <c r="AZ103" i="3"/>
  <c r="AZ115" i="3"/>
  <c r="AZ127" i="3"/>
  <c r="AZ139" i="3"/>
  <c r="AZ151" i="3"/>
  <c r="AZ163" i="3"/>
  <c r="AZ175" i="3"/>
  <c r="AZ187" i="3"/>
  <c r="AZ199" i="3"/>
  <c r="AZ8" i="3"/>
  <c r="AZ20" i="3"/>
  <c r="AZ32" i="3"/>
  <c r="AZ44" i="3"/>
  <c r="AZ56" i="3"/>
  <c r="AZ68" i="3"/>
  <c r="AZ80" i="3"/>
  <c r="AZ92" i="3"/>
  <c r="AZ104" i="3"/>
  <c r="AZ116" i="3"/>
  <c r="AZ128" i="3"/>
  <c r="AZ140" i="3"/>
  <c r="AZ152" i="3"/>
  <c r="AZ164" i="3"/>
  <c r="AZ176" i="3"/>
  <c r="AZ200" i="3"/>
  <c r="AX128" i="3"/>
  <c r="AX140" i="3"/>
  <c r="AX152" i="3"/>
  <c r="AX164" i="3"/>
  <c r="AX176" i="3"/>
  <c r="AX188" i="3"/>
  <c r="AX200" i="3"/>
  <c r="AX122" i="3"/>
  <c r="AX170" i="3"/>
  <c r="AX7" i="3"/>
  <c r="AX8" i="3" s="1"/>
  <c r="AX9" i="3" s="1"/>
  <c r="AX10" i="3" s="1"/>
  <c r="AX11" i="3" s="1"/>
  <c r="AX12" i="3" s="1"/>
  <c r="AX13" i="3" s="1"/>
  <c r="AX14" i="3" s="1"/>
  <c r="AX15" i="3" s="1"/>
  <c r="AX16" i="3" s="1"/>
  <c r="AX17" i="3" s="1"/>
  <c r="AX18" i="3" s="1"/>
  <c r="AX19" i="3" s="1"/>
  <c r="AX20" i="3" s="1"/>
  <c r="AX21" i="3" s="1"/>
  <c r="AX22" i="3" s="1"/>
  <c r="AX23" i="3" s="1"/>
  <c r="AX24" i="3" s="1"/>
  <c r="AX25" i="3" s="1"/>
  <c r="AX26" i="3" s="1"/>
  <c r="AX197" i="3"/>
  <c r="AX151" i="3"/>
  <c r="AX199" i="3"/>
  <c r="AX129" i="3"/>
  <c r="AX141" i="3"/>
  <c r="AX153" i="3"/>
  <c r="AX165" i="3"/>
  <c r="AX177" i="3"/>
  <c r="AX189" i="3"/>
  <c r="AX201" i="3"/>
  <c r="AX146" i="3"/>
  <c r="AX150" i="3"/>
  <c r="AX139" i="3"/>
  <c r="AX130" i="3"/>
  <c r="AX142" i="3"/>
  <c r="AX154" i="3"/>
  <c r="AX166" i="3"/>
  <c r="AX178" i="3"/>
  <c r="AX190" i="3"/>
  <c r="AX202" i="3"/>
  <c r="AX158" i="3"/>
  <c r="AX174" i="3"/>
  <c r="AX163" i="3"/>
  <c r="AX119" i="3"/>
  <c r="AX131" i="3"/>
  <c r="AX143" i="3"/>
  <c r="AX155" i="3"/>
  <c r="AX167" i="3"/>
  <c r="AX179" i="3"/>
  <c r="AX191" i="3"/>
  <c r="AX203" i="3"/>
  <c r="AX134" i="3"/>
  <c r="AX162" i="3"/>
  <c r="AX175" i="3"/>
  <c r="AX120" i="3"/>
  <c r="AX132" i="3"/>
  <c r="AX144" i="3"/>
  <c r="AX156" i="3"/>
  <c r="AX168" i="3"/>
  <c r="AX180" i="3"/>
  <c r="AX192" i="3"/>
  <c r="AX204" i="3"/>
  <c r="AX194" i="3"/>
  <c r="AX173" i="3"/>
  <c r="AX138" i="3"/>
  <c r="AX198" i="3"/>
  <c r="AX127" i="3"/>
  <c r="AX121" i="3"/>
  <c r="AX133" i="3"/>
  <c r="AX145" i="3"/>
  <c r="AX157" i="3"/>
  <c r="AX169" i="3"/>
  <c r="AX181" i="3"/>
  <c r="AX193" i="3"/>
  <c r="AX205" i="3"/>
  <c r="AX182" i="3"/>
  <c r="AX186" i="3"/>
  <c r="AX187" i="3"/>
  <c r="AX123" i="3"/>
  <c r="AX135" i="3"/>
  <c r="AX147" i="3"/>
  <c r="AX159" i="3"/>
  <c r="AX171" i="3"/>
  <c r="AX183" i="3"/>
  <c r="AX195" i="3"/>
  <c r="AX149" i="3"/>
  <c r="AX185" i="3"/>
  <c r="AX126" i="3"/>
  <c r="AX124" i="3"/>
  <c r="AX136" i="3"/>
  <c r="AX148" i="3"/>
  <c r="AX160" i="3"/>
  <c r="AX172" i="3"/>
  <c r="AX184" i="3"/>
  <c r="AX196" i="3"/>
  <c r="AX125" i="3"/>
  <c r="AX137" i="3"/>
  <c r="AX161" i="3"/>
  <c r="AI33" i="3"/>
  <c r="AI33" i="6"/>
  <c r="AI10" i="3"/>
  <c r="AI10" i="6"/>
  <c r="BB350" i="3" l="1"/>
  <c r="BC350" i="3"/>
  <c r="BB359" i="3"/>
  <c r="BC359" i="3"/>
  <c r="BB382" i="3"/>
  <c r="BC382" i="3"/>
  <c r="BB403" i="3"/>
  <c r="BC403" i="3"/>
  <c r="BB397" i="3"/>
  <c r="BC397" i="3"/>
  <c r="BC381" i="3"/>
  <c r="BB381" i="3"/>
  <c r="BB346" i="3"/>
  <c r="BC346" i="3"/>
  <c r="BB391" i="3"/>
  <c r="BC391" i="3"/>
  <c r="BC345" i="3"/>
  <c r="BB345" i="3"/>
  <c r="BB373" i="3"/>
  <c r="BC373" i="3"/>
  <c r="BC369" i="3"/>
  <c r="BB369" i="3"/>
  <c r="BB364" i="3"/>
  <c r="BC364" i="3"/>
  <c r="BB379" i="3"/>
  <c r="BC379" i="3"/>
  <c r="BB400" i="3"/>
  <c r="BC400" i="3"/>
  <c r="BB367" i="3"/>
  <c r="BC367" i="3"/>
  <c r="BB352" i="3"/>
  <c r="BC352" i="3"/>
  <c r="BB355" i="3"/>
  <c r="BC355" i="3"/>
  <c r="BC401" i="3"/>
  <c r="BB401" i="3"/>
  <c r="BC372" i="3"/>
  <c r="BB372" i="3"/>
  <c r="BB343" i="3"/>
  <c r="BC343" i="3"/>
  <c r="BB394" i="3"/>
  <c r="BC394" i="3"/>
  <c r="BC375" i="3"/>
  <c r="BB375" i="3"/>
  <c r="BB353" i="3"/>
  <c r="BC353" i="3"/>
  <c r="BC384" i="3"/>
  <c r="BB384" i="3"/>
  <c r="BB361" i="3"/>
  <c r="BC361" i="3"/>
  <c r="BB404" i="3"/>
  <c r="BC404" i="3"/>
  <c r="BC399" i="3"/>
  <c r="BB399" i="3"/>
  <c r="BC393" i="3"/>
  <c r="BB393" i="3"/>
  <c r="BB389" i="3"/>
  <c r="BC389" i="3"/>
  <c r="BB370" i="3"/>
  <c r="BC370" i="3"/>
  <c r="BC363" i="3"/>
  <c r="BB363" i="3"/>
  <c r="BC360" i="3"/>
  <c r="BB360" i="3"/>
  <c r="BB392" i="3"/>
  <c r="BC392" i="3"/>
  <c r="BB385" i="3"/>
  <c r="BC385" i="3"/>
  <c r="BC357" i="3"/>
  <c r="BB357" i="3"/>
  <c r="BC402" i="3"/>
  <c r="BB402" i="3"/>
  <c r="BC387" i="3"/>
  <c r="BB387" i="3"/>
  <c r="BC351" i="3"/>
  <c r="BB351" i="3"/>
  <c r="BC348" i="3"/>
  <c r="BB348" i="3"/>
  <c r="BB407" i="3"/>
  <c r="BC407" i="3"/>
  <c r="BB380" i="3"/>
  <c r="BC380" i="3"/>
  <c r="BB349" i="3"/>
  <c r="BC349" i="3"/>
  <c r="BC390" i="3"/>
  <c r="BB390" i="3"/>
  <c r="BB365" i="3"/>
  <c r="BC365" i="3"/>
  <c r="BC386" i="3"/>
  <c r="BB386" i="3"/>
  <c r="BB388" i="3"/>
  <c r="BC388" i="3"/>
  <c r="BB395" i="3"/>
  <c r="BC395" i="3"/>
  <c r="BB406" i="3"/>
  <c r="BC406" i="3"/>
  <c r="BB368" i="3"/>
  <c r="BC368" i="3"/>
  <c r="BB376" i="3"/>
  <c r="BC376" i="3"/>
  <c r="BC378" i="3"/>
  <c r="BB378" i="3"/>
  <c r="BB398" i="3"/>
  <c r="BC398" i="3"/>
  <c r="BB374" i="3"/>
  <c r="BC374" i="3"/>
  <c r="BC383" i="3"/>
  <c r="BB383" i="3"/>
  <c r="BB358" i="3"/>
  <c r="BC358" i="3"/>
  <c r="BC356" i="3"/>
  <c r="BB356" i="3"/>
  <c r="BC366" i="3"/>
  <c r="BB366" i="3"/>
  <c r="BB347" i="3"/>
  <c r="BC347" i="3"/>
  <c r="BC362" i="3"/>
  <c r="BB362" i="3"/>
  <c r="BB371" i="3"/>
  <c r="BC371" i="3"/>
  <c r="BB344" i="3"/>
  <c r="BC344" i="3"/>
  <c r="BB377" i="3"/>
  <c r="BC377" i="3"/>
  <c r="BC396" i="3"/>
  <c r="BB396" i="3"/>
  <c r="BC405" i="3"/>
  <c r="BB405" i="3"/>
  <c r="BC354" i="3"/>
  <c r="BB354" i="3"/>
  <c r="BA13" i="3"/>
  <c r="BA19" i="3"/>
  <c r="BA40" i="3"/>
  <c r="BA29" i="3"/>
  <c r="BA63" i="3"/>
  <c r="BA37" i="3"/>
  <c r="BA24" i="3"/>
  <c r="BA23" i="3"/>
  <c r="BA58" i="3"/>
  <c r="BA46" i="3"/>
  <c r="BA27" i="3"/>
  <c r="BA50" i="3"/>
  <c r="BA34" i="3"/>
  <c r="BA59" i="3"/>
  <c r="BA51" i="3"/>
  <c r="BA7" i="3"/>
  <c r="BA56" i="3"/>
  <c r="BA15" i="3"/>
  <c r="BA38" i="3"/>
  <c r="BA22" i="3"/>
  <c r="BA35" i="3"/>
  <c r="BA44" i="3"/>
  <c r="BA30" i="3"/>
  <c r="BA26" i="3"/>
  <c r="BA10" i="3"/>
  <c r="BA11" i="3"/>
  <c r="BA28" i="3"/>
  <c r="BA25" i="3"/>
  <c r="BA57" i="3"/>
  <c r="BA41" i="3"/>
  <c r="BA62" i="3"/>
  <c r="BA14" i="3"/>
  <c r="AQ60" i="3"/>
  <c r="AQ61" i="3"/>
  <c r="AQ50" i="3"/>
  <c r="AQ62" i="3"/>
  <c r="AQ51" i="3"/>
  <c r="AQ63" i="3"/>
  <c r="AQ29" i="3"/>
  <c r="AQ52" i="3"/>
  <c r="AQ64" i="3"/>
  <c r="AQ30" i="3"/>
  <c r="AQ56" i="3"/>
  <c r="AQ57" i="3"/>
  <c r="AQ53" i="3"/>
  <c r="AQ65" i="3"/>
  <c r="AQ31" i="3"/>
  <c r="AQ54" i="3"/>
  <c r="AQ66" i="3"/>
  <c r="AQ28" i="3"/>
  <c r="AQ55" i="3"/>
  <c r="AQ67" i="3"/>
  <c r="AQ68" i="3"/>
  <c r="AQ69" i="3"/>
  <c r="AQ58" i="3"/>
  <c r="BC6" i="3"/>
  <c r="AQ59" i="3"/>
  <c r="BA20" i="3"/>
  <c r="BA18" i="3"/>
  <c r="BA45" i="3"/>
  <c r="BA8" i="3"/>
  <c r="BA42" i="3"/>
  <c r="BA54" i="3"/>
  <c r="BA33" i="3"/>
  <c r="BA55" i="3"/>
  <c r="BA53" i="3"/>
  <c r="BA60" i="3"/>
  <c r="BA21" i="3"/>
  <c r="BA12" i="3"/>
  <c r="BA39" i="3"/>
  <c r="BA32" i="3"/>
  <c r="BA43" i="3"/>
  <c r="BA17" i="3"/>
  <c r="BA61" i="3"/>
  <c r="BA48" i="3"/>
  <c r="BA9" i="3"/>
  <c r="BA16" i="3"/>
  <c r="BA31" i="3"/>
  <c r="BA52" i="3"/>
  <c r="BA49" i="3"/>
  <c r="BA36" i="3"/>
  <c r="BA47" i="3"/>
  <c r="AX27" i="3"/>
  <c r="BA64" i="3"/>
  <c r="BA66" i="3"/>
  <c r="BA65" i="3"/>
  <c r="AI22" i="6"/>
  <c r="CX55" i="6"/>
  <c r="CW55" i="6"/>
  <c r="X35" i="6"/>
  <c r="CL55" i="6" s="1"/>
  <c r="X34" i="6"/>
  <c r="D26" i="6"/>
  <c r="BB48" i="3" l="1"/>
  <c r="BC48" i="3"/>
  <c r="BB42" i="3"/>
  <c r="BC42" i="3"/>
  <c r="BB28" i="3"/>
  <c r="BC28" i="3"/>
  <c r="BB35" i="3"/>
  <c r="BC35" i="3"/>
  <c r="BB34" i="3"/>
  <c r="BC34" i="3"/>
  <c r="BB23" i="3"/>
  <c r="BC23" i="3"/>
  <c r="BB22" i="3"/>
  <c r="BC22" i="3"/>
  <c r="BB14" i="3"/>
  <c r="BC14" i="3"/>
  <c r="BB37" i="3"/>
  <c r="BC37" i="3"/>
  <c r="BB31" i="3"/>
  <c r="BC31" i="3"/>
  <c r="BB53" i="3"/>
  <c r="BC53" i="3"/>
  <c r="BB50" i="3"/>
  <c r="BC50" i="3"/>
  <c r="BB61" i="3"/>
  <c r="BC61" i="3"/>
  <c r="BB62" i="3"/>
  <c r="BC62" i="3"/>
  <c r="BB38" i="3"/>
  <c r="BC38" i="3"/>
  <c r="BB63" i="3"/>
  <c r="BC63" i="3"/>
  <c r="BB11" i="3"/>
  <c r="BC11" i="3"/>
  <c r="BB26" i="3"/>
  <c r="BC26" i="3"/>
  <c r="BB27" i="3"/>
  <c r="BC27" i="3"/>
  <c r="BB29" i="3"/>
  <c r="BC29" i="3"/>
  <c r="BB60" i="3"/>
  <c r="BC60" i="3"/>
  <c r="BB8" i="3"/>
  <c r="BC8" i="3"/>
  <c r="BB16" i="3"/>
  <c r="BC16" i="3"/>
  <c r="BB15" i="3"/>
  <c r="BC15" i="3"/>
  <c r="BB40" i="3"/>
  <c r="BC40" i="3"/>
  <c r="BB52" i="3"/>
  <c r="BC52" i="3"/>
  <c r="BB17" i="3"/>
  <c r="BC17" i="3"/>
  <c r="BB45" i="3"/>
  <c r="BC45" i="3"/>
  <c r="BB32" i="3"/>
  <c r="BC32" i="3"/>
  <c r="BB57" i="3"/>
  <c r="BC57" i="3"/>
  <c r="BB43" i="3"/>
  <c r="BC43" i="3"/>
  <c r="BB39" i="3"/>
  <c r="BC39" i="3"/>
  <c r="BB30" i="3"/>
  <c r="BC30" i="3"/>
  <c r="BB56" i="3"/>
  <c r="BC56" i="3"/>
  <c r="BB46" i="3"/>
  <c r="BC46" i="3"/>
  <c r="BB19" i="3"/>
  <c r="BC19" i="3"/>
  <c r="BB10" i="3"/>
  <c r="BC10" i="3"/>
  <c r="BB55" i="3"/>
  <c r="BC55" i="3"/>
  <c r="BB41" i="3"/>
  <c r="BC41" i="3"/>
  <c r="BB47" i="3"/>
  <c r="BC47" i="3"/>
  <c r="BB9" i="3"/>
  <c r="BC9" i="3"/>
  <c r="BB12" i="3"/>
  <c r="BC12" i="3"/>
  <c r="BB33" i="3"/>
  <c r="BC33" i="3"/>
  <c r="BB44" i="3"/>
  <c r="BC44" i="3"/>
  <c r="BB7" i="3"/>
  <c r="BC7" i="3"/>
  <c r="BB13" i="3"/>
  <c r="BC13" i="3"/>
  <c r="BB24" i="3"/>
  <c r="BC24" i="3"/>
  <c r="BB36" i="3"/>
  <c r="BC36" i="3"/>
  <c r="BB21" i="3"/>
  <c r="BC21" i="3"/>
  <c r="BB18" i="3"/>
  <c r="BC18" i="3"/>
  <c r="BB51" i="3"/>
  <c r="BC51" i="3"/>
  <c r="BB49" i="3"/>
  <c r="BC49" i="3"/>
  <c r="BB54" i="3"/>
  <c r="BC54" i="3"/>
  <c r="BB20" i="3"/>
  <c r="BC20" i="3"/>
  <c r="BB25" i="3"/>
  <c r="BC25" i="3"/>
  <c r="BB59" i="3"/>
  <c r="BC59" i="3"/>
  <c r="BB58" i="3"/>
  <c r="BC58" i="3"/>
  <c r="BB65" i="3"/>
  <c r="BC65" i="3"/>
  <c r="BB66" i="3"/>
  <c r="BC66" i="3"/>
  <c r="AX28" i="3"/>
  <c r="BA68" i="3"/>
  <c r="BA67" i="3"/>
  <c r="BA69" i="3"/>
  <c r="BB64" i="3"/>
  <c r="BC64" i="3"/>
  <c r="CA6" i="6"/>
  <c r="CY7" i="6"/>
  <c r="CY19" i="6"/>
  <c r="CY23" i="6"/>
  <c r="CY12" i="6"/>
  <c r="CY8" i="6"/>
  <c r="CY20" i="6"/>
  <c r="CY6" i="6"/>
  <c r="CY14" i="6"/>
  <c r="CY15" i="6"/>
  <c r="CY16" i="6"/>
  <c r="CY9" i="6"/>
  <c r="CY21" i="6"/>
  <c r="CY22" i="6"/>
  <c r="CY10" i="6"/>
  <c r="CY17" i="6"/>
  <c r="CY11" i="6"/>
  <c r="CY18" i="6"/>
  <c r="CY13" i="6"/>
  <c r="BQ6" i="6"/>
  <c r="BV6" i="6"/>
  <c r="BL6" i="6"/>
  <c r="BG6" i="6"/>
  <c r="CK6" i="6"/>
  <c r="CL6" i="6"/>
  <c r="CK54" i="6"/>
  <c r="CX54" i="6" s="1"/>
  <c r="CL54" i="6"/>
  <c r="D27" i="6"/>
  <c r="D33" i="6"/>
  <c r="D34" i="6"/>
  <c r="D35" i="6"/>
  <c r="AI14" i="6"/>
  <c r="BH7" i="3"/>
  <c r="BH8" i="3"/>
  <c r="BH9" i="3"/>
  <c r="BH10" i="3"/>
  <c r="BH11" i="3"/>
  <c r="BH12" i="3"/>
  <c r="BH13" i="3"/>
  <c r="BH14" i="3"/>
  <c r="BH15" i="3"/>
  <c r="BH16" i="3"/>
  <c r="BH17" i="3"/>
  <c r="BH18" i="3"/>
  <c r="BH19" i="3"/>
  <c r="BH20" i="3"/>
  <c r="BH21" i="3"/>
  <c r="BH22" i="3"/>
  <c r="BH23" i="3"/>
  <c r="BH24" i="3"/>
  <c r="BH25" i="3"/>
  <c r="BH6" i="3"/>
  <c r="AV8" i="6" l="1"/>
  <c r="AV9" i="6"/>
  <c r="AV7" i="6"/>
  <c r="AW7" i="6" s="1"/>
  <c r="AX7" i="6" s="1"/>
  <c r="BB69" i="3"/>
  <c r="BC69" i="3"/>
  <c r="BB67" i="3"/>
  <c r="BC67" i="3"/>
  <c r="BB68" i="3"/>
  <c r="BC68" i="3"/>
  <c r="AX29" i="3"/>
  <c r="BA71" i="3"/>
  <c r="BA72" i="3"/>
  <c r="BA70" i="3"/>
  <c r="AI20" i="6"/>
  <c r="AI21" i="6" s="1"/>
  <c r="C4" i="6"/>
  <c r="AX11" i="6" s="1"/>
  <c r="AX10" i="6" s="1"/>
  <c r="CW6" i="6"/>
  <c r="CX6" i="6"/>
  <c r="D24" i="6"/>
  <c r="B36" i="6" s="1"/>
  <c r="CK13" i="6"/>
  <c r="CW13" i="6" s="1"/>
  <c r="CL13" i="6"/>
  <c r="CK15" i="6"/>
  <c r="CW15" i="6" s="1"/>
  <c r="CL15" i="6"/>
  <c r="CK7" i="6"/>
  <c r="CX7" i="6" s="1"/>
  <c r="CL7" i="6"/>
  <c r="CK14" i="6"/>
  <c r="CX14" i="6" s="1"/>
  <c r="CL14" i="6"/>
  <c r="CW54" i="6"/>
  <c r="D28" i="6"/>
  <c r="D29" i="6" s="1"/>
  <c r="D30" i="6" s="1"/>
  <c r="CD6" i="6"/>
  <c r="CG6" i="6" s="1"/>
  <c r="B10" i="6"/>
  <c r="AV10" i="6" s="1"/>
  <c r="G19" i="6" l="1"/>
  <c r="AW10" i="6"/>
  <c r="AW8" i="6"/>
  <c r="AX8" i="6" s="1"/>
  <c r="BN6" i="6"/>
  <c r="BI6" i="6"/>
  <c r="BI166" i="6"/>
  <c r="BJ166" i="6" s="1"/>
  <c r="BI127" i="6"/>
  <c r="BJ127" i="6" s="1"/>
  <c r="BI31" i="6"/>
  <c r="BI177" i="6"/>
  <c r="BJ177" i="6" s="1"/>
  <c r="BI157" i="6"/>
  <c r="BJ157" i="6" s="1"/>
  <c r="BI45" i="6"/>
  <c r="BI43" i="6"/>
  <c r="BI204" i="6"/>
  <c r="BJ204" i="6" s="1"/>
  <c r="BI37" i="6"/>
  <c r="BI137" i="6"/>
  <c r="BJ137" i="6" s="1"/>
  <c r="BI146" i="6"/>
  <c r="BJ146" i="6" s="1"/>
  <c r="BI97" i="6"/>
  <c r="BJ97" i="6" s="1"/>
  <c r="BI115" i="6"/>
  <c r="BJ115" i="6" s="1"/>
  <c r="BI61" i="6"/>
  <c r="BI56" i="6"/>
  <c r="BI179" i="6"/>
  <c r="BJ179" i="6" s="1"/>
  <c r="BI44" i="6"/>
  <c r="BI200" i="6"/>
  <c r="BJ200" i="6" s="1"/>
  <c r="BI162" i="6"/>
  <c r="BJ162" i="6" s="1"/>
  <c r="BI142" i="6"/>
  <c r="BJ142" i="6" s="1"/>
  <c r="BI104" i="6"/>
  <c r="BJ104" i="6" s="1"/>
  <c r="BI178" i="6"/>
  <c r="BJ178" i="6" s="1"/>
  <c r="BI126" i="6"/>
  <c r="BJ126" i="6" s="1"/>
  <c r="BI98" i="6"/>
  <c r="BJ98" i="6" s="1"/>
  <c r="BI50" i="6"/>
  <c r="BI29" i="6"/>
  <c r="BI171" i="6"/>
  <c r="BJ171" i="6" s="1"/>
  <c r="BI90" i="6"/>
  <c r="BJ90" i="6" s="1"/>
  <c r="BI185" i="6"/>
  <c r="BJ185" i="6" s="1"/>
  <c r="BI143" i="6"/>
  <c r="BJ143" i="6" s="1"/>
  <c r="BI11" i="6"/>
  <c r="BI26" i="6"/>
  <c r="BI87" i="6"/>
  <c r="BI75" i="6"/>
  <c r="BI134" i="6"/>
  <c r="BJ134" i="6" s="1"/>
  <c r="BI174" i="6"/>
  <c r="BJ174" i="6" s="1"/>
  <c r="BI170" i="6"/>
  <c r="BJ170" i="6" s="1"/>
  <c r="BI194" i="6"/>
  <c r="BJ194" i="6" s="1"/>
  <c r="BI59" i="6"/>
  <c r="BI78" i="6"/>
  <c r="BI120" i="6"/>
  <c r="BJ120" i="6" s="1"/>
  <c r="BI110" i="6"/>
  <c r="BJ110" i="6" s="1"/>
  <c r="BI94" i="6"/>
  <c r="BJ94" i="6" s="1"/>
  <c r="BI149" i="6"/>
  <c r="BJ149" i="6" s="1"/>
  <c r="BI57" i="6"/>
  <c r="BI65" i="6"/>
  <c r="BI48" i="6"/>
  <c r="BI175" i="6"/>
  <c r="BJ175" i="6" s="1"/>
  <c r="BI161" i="6"/>
  <c r="BJ161" i="6" s="1"/>
  <c r="BI14" i="6"/>
  <c r="BI130" i="6"/>
  <c r="BJ130" i="6" s="1"/>
  <c r="BI91" i="6"/>
  <c r="BJ91" i="6" s="1"/>
  <c r="BI18" i="6"/>
  <c r="BI165" i="6"/>
  <c r="BJ165" i="6" s="1"/>
  <c r="BI80" i="6"/>
  <c r="BI107" i="6"/>
  <c r="BJ107" i="6" s="1"/>
  <c r="BI148" i="6"/>
  <c r="BJ148" i="6" s="1"/>
  <c r="BI129" i="6"/>
  <c r="BJ129" i="6" s="1"/>
  <c r="BI23" i="6"/>
  <c r="BI140" i="6"/>
  <c r="BJ140" i="6" s="1"/>
  <c r="BI192" i="6"/>
  <c r="BJ192" i="6" s="1"/>
  <c r="BI58" i="6"/>
  <c r="BI84" i="6"/>
  <c r="BI39" i="6"/>
  <c r="BI124" i="6"/>
  <c r="BJ124" i="6" s="1"/>
  <c r="BI112" i="6"/>
  <c r="BJ112" i="6" s="1"/>
  <c r="BI197" i="6"/>
  <c r="BJ197" i="6" s="1"/>
  <c r="BI196" i="6"/>
  <c r="BJ196" i="6" s="1"/>
  <c r="BI15" i="6"/>
  <c r="BI27" i="6"/>
  <c r="BI203" i="6"/>
  <c r="BJ203" i="6" s="1"/>
  <c r="BI119" i="6"/>
  <c r="BJ119" i="6" s="1"/>
  <c r="BI49" i="6"/>
  <c r="BI199" i="6"/>
  <c r="BJ199" i="6" s="1"/>
  <c r="BI99" i="6"/>
  <c r="BJ99" i="6" s="1"/>
  <c r="BI132" i="6"/>
  <c r="BJ132" i="6" s="1"/>
  <c r="BI10" i="6"/>
  <c r="BI164" i="6"/>
  <c r="BJ164" i="6" s="1"/>
  <c r="BI70" i="6"/>
  <c r="BI103" i="6"/>
  <c r="BJ103" i="6" s="1"/>
  <c r="BI21" i="6"/>
  <c r="BI13" i="6"/>
  <c r="BI155" i="6"/>
  <c r="BJ155" i="6" s="1"/>
  <c r="BI205" i="6"/>
  <c r="BJ205" i="6" s="1"/>
  <c r="BI64" i="6"/>
  <c r="BI77" i="6"/>
  <c r="BI159" i="6"/>
  <c r="BJ159" i="6" s="1"/>
  <c r="BI186" i="6"/>
  <c r="BJ186" i="6" s="1"/>
  <c r="BI195" i="6"/>
  <c r="BJ195" i="6" s="1"/>
  <c r="BI52" i="6"/>
  <c r="BI36" i="6"/>
  <c r="BI96" i="6"/>
  <c r="BJ96" i="6" s="1"/>
  <c r="BI193" i="6"/>
  <c r="BJ193" i="6" s="1"/>
  <c r="BI151" i="6"/>
  <c r="BJ151" i="6" s="1"/>
  <c r="BI74" i="6"/>
  <c r="BI73" i="6"/>
  <c r="BI133" i="6"/>
  <c r="BJ133" i="6" s="1"/>
  <c r="BI101" i="6"/>
  <c r="BJ101" i="6" s="1"/>
  <c r="BI187" i="6"/>
  <c r="BJ187" i="6" s="1"/>
  <c r="BI202" i="6"/>
  <c r="BJ202" i="6" s="1"/>
  <c r="BI81" i="6"/>
  <c r="BI55" i="6"/>
  <c r="BI189" i="6"/>
  <c r="BJ189" i="6" s="1"/>
  <c r="BI201" i="6"/>
  <c r="BJ201" i="6" s="1"/>
  <c r="BI163" i="6"/>
  <c r="BJ163" i="6" s="1"/>
  <c r="BI24" i="6"/>
  <c r="BI66" i="6"/>
  <c r="BI40" i="6"/>
  <c r="BI180" i="6"/>
  <c r="BJ180" i="6" s="1"/>
  <c r="BI42" i="6"/>
  <c r="BI25" i="6"/>
  <c r="BI62" i="6"/>
  <c r="BI92" i="6"/>
  <c r="BJ92" i="6" s="1"/>
  <c r="BI109" i="6"/>
  <c r="BJ109" i="6" s="1"/>
  <c r="BI114" i="6"/>
  <c r="BJ114" i="6" s="1"/>
  <c r="BI20" i="6"/>
  <c r="BI9" i="6"/>
  <c r="BI128" i="6"/>
  <c r="BJ128" i="6" s="1"/>
  <c r="BI167" i="6"/>
  <c r="BJ167" i="6" s="1"/>
  <c r="BI22" i="6"/>
  <c r="BI141" i="6"/>
  <c r="BJ141" i="6" s="1"/>
  <c r="BI154" i="6"/>
  <c r="BJ154" i="6" s="1"/>
  <c r="BI106" i="6"/>
  <c r="BJ106" i="6" s="1"/>
  <c r="BI32" i="6"/>
  <c r="BI51" i="6"/>
  <c r="BI67" i="6"/>
  <c r="BI181" i="6"/>
  <c r="BJ181" i="6" s="1"/>
  <c r="BI184" i="6"/>
  <c r="BJ184" i="6" s="1"/>
  <c r="BI53" i="6"/>
  <c r="BI169" i="6"/>
  <c r="BJ169" i="6" s="1"/>
  <c r="BI7" i="6"/>
  <c r="BI38" i="6"/>
  <c r="BI188" i="6"/>
  <c r="BJ188" i="6" s="1"/>
  <c r="BI152" i="6"/>
  <c r="BJ152" i="6" s="1"/>
  <c r="BI116" i="6"/>
  <c r="BJ116" i="6" s="1"/>
  <c r="BI95" i="6"/>
  <c r="BJ95" i="6" s="1"/>
  <c r="BI83" i="6"/>
  <c r="BI54" i="6"/>
  <c r="BI135" i="6"/>
  <c r="BJ135" i="6" s="1"/>
  <c r="BI82" i="6"/>
  <c r="BI47" i="6"/>
  <c r="BI191" i="6"/>
  <c r="BJ191" i="6" s="1"/>
  <c r="BI105" i="6"/>
  <c r="BJ105" i="6" s="1"/>
  <c r="BI172" i="6"/>
  <c r="BJ172" i="6" s="1"/>
  <c r="BI68" i="6"/>
  <c r="BI86" i="6"/>
  <c r="BI35" i="6"/>
  <c r="BI60" i="6"/>
  <c r="BI123" i="6"/>
  <c r="BJ123" i="6" s="1"/>
  <c r="BI113" i="6"/>
  <c r="BJ113" i="6" s="1"/>
  <c r="BI131" i="6"/>
  <c r="BJ131" i="6" s="1"/>
  <c r="BI71" i="6"/>
  <c r="BI63" i="6"/>
  <c r="BI168" i="6"/>
  <c r="BJ168" i="6" s="1"/>
  <c r="BI138" i="6"/>
  <c r="BJ138" i="6" s="1"/>
  <c r="BI19" i="6"/>
  <c r="BI150" i="6"/>
  <c r="BJ150" i="6" s="1"/>
  <c r="BI12" i="6"/>
  <c r="BI144" i="6"/>
  <c r="BJ144" i="6" s="1"/>
  <c r="BI190" i="6"/>
  <c r="BJ190" i="6" s="1"/>
  <c r="BI8" i="6"/>
  <c r="BI69" i="6"/>
  <c r="BI93" i="6"/>
  <c r="BJ93" i="6" s="1"/>
  <c r="BI89" i="6"/>
  <c r="BJ89" i="6" s="1"/>
  <c r="BI72" i="6"/>
  <c r="BI122" i="6"/>
  <c r="BJ122" i="6" s="1"/>
  <c r="BI182" i="6"/>
  <c r="BJ182" i="6" s="1"/>
  <c r="BI147" i="6"/>
  <c r="BJ147" i="6" s="1"/>
  <c r="BI85" i="6"/>
  <c r="BI118" i="6"/>
  <c r="BJ118" i="6" s="1"/>
  <c r="BI41" i="6"/>
  <c r="BI111" i="6"/>
  <c r="BJ111" i="6" s="1"/>
  <c r="BI158" i="6"/>
  <c r="BJ158" i="6" s="1"/>
  <c r="BI100" i="6"/>
  <c r="BJ100" i="6" s="1"/>
  <c r="BI121" i="6"/>
  <c r="BJ121" i="6" s="1"/>
  <c r="BI88" i="6"/>
  <c r="BJ88" i="6" s="1"/>
  <c r="BI46" i="6"/>
  <c r="BI79" i="6"/>
  <c r="BI33" i="6"/>
  <c r="BI176" i="6"/>
  <c r="BJ176" i="6" s="1"/>
  <c r="BI125" i="6"/>
  <c r="BJ125" i="6" s="1"/>
  <c r="BI153" i="6"/>
  <c r="BJ153" i="6" s="1"/>
  <c r="BI17" i="6"/>
  <c r="BI30" i="6"/>
  <c r="BI156" i="6"/>
  <c r="BJ156" i="6" s="1"/>
  <c r="BI136" i="6"/>
  <c r="BJ136" i="6" s="1"/>
  <c r="BI173" i="6"/>
  <c r="BJ173" i="6" s="1"/>
  <c r="BI183" i="6"/>
  <c r="BJ183" i="6" s="1"/>
  <c r="BI108" i="6"/>
  <c r="BJ108" i="6" s="1"/>
  <c r="BI16" i="6"/>
  <c r="BI76" i="6"/>
  <c r="BI139" i="6"/>
  <c r="BJ139" i="6" s="1"/>
  <c r="BI34" i="6"/>
  <c r="BI145" i="6"/>
  <c r="BJ145" i="6" s="1"/>
  <c r="BI28" i="6"/>
  <c r="BI160" i="6"/>
  <c r="BJ160" i="6" s="1"/>
  <c r="BI102" i="6"/>
  <c r="BJ102" i="6" s="1"/>
  <c r="BI198" i="6"/>
  <c r="BJ198" i="6" s="1"/>
  <c r="BI117" i="6"/>
  <c r="BJ117" i="6" s="1"/>
  <c r="BB71" i="3"/>
  <c r="BC71" i="3"/>
  <c r="AX30" i="3"/>
  <c r="BA74" i="3"/>
  <c r="BA75" i="3"/>
  <c r="BA73" i="3"/>
  <c r="BB70" i="3"/>
  <c r="BC70" i="3"/>
  <c r="BB72" i="3"/>
  <c r="BC72" i="3"/>
  <c r="BA147" i="6"/>
  <c r="BA196" i="6"/>
  <c r="BA162" i="6"/>
  <c r="BA178" i="6"/>
  <c r="BA200" i="6"/>
  <c r="BA166" i="6"/>
  <c r="BA204" i="6"/>
  <c r="BA159" i="6"/>
  <c r="BA138" i="6"/>
  <c r="BA198" i="6"/>
  <c r="BA202" i="6"/>
  <c r="BA153" i="6"/>
  <c r="BA157" i="6"/>
  <c r="BA189" i="6"/>
  <c r="BA143" i="6"/>
  <c r="BA183" i="6"/>
  <c r="BA192" i="6"/>
  <c r="BA172" i="6"/>
  <c r="BA190" i="6"/>
  <c r="BA203" i="6"/>
  <c r="BA142" i="6"/>
  <c r="BA141" i="6"/>
  <c r="BA177" i="6"/>
  <c r="BA188" i="6"/>
  <c r="BA171" i="6"/>
  <c r="BA174" i="6"/>
  <c r="BA167" i="6"/>
  <c r="BA205" i="6"/>
  <c r="BA191" i="6"/>
  <c r="BA180" i="6"/>
  <c r="BA187" i="6"/>
  <c r="BA169" i="6"/>
  <c r="BA194" i="6"/>
  <c r="BA165" i="6"/>
  <c r="BA154" i="6"/>
  <c r="BA139" i="6"/>
  <c r="BA136" i="6"/>
  <c r="BA140" i="6"/>
  <c r="BA181" i="6"/>
  <c r="BA131" i="6"/>
  <c r="BA134" i="6"/>
  <c r="BA195" i="6"/>
  <c r="BA137" i="6"/>
  <c r="BA151" i="6"/>
  <c r="BA168" i="6"/>
  <c r="BA155" i="6"/>
  <c r="BA144" i="6"/>
  <c r="BA163" i="6"/>
  <c r="BA133" i="6"/>
  <c r="BA179" i="6"/>
  <c r="BA132" i="6"/>
  <c r="BA173" i="6"/>
  <c r="BA199" i="6"/>
  <c r="BA197" i="6"/>
  <c r="BA176" i="6"/>
  <c r="BA150" i="6"/>
  <c r="BA146" i="6"/>
  <c r="BA186" i="6"/>
  <c r="BA149" i="6"/>
  <c r="BA152" i="6"/>
  <c r="BA158" i="6"/>
  <c r="BA161" i="6"/>
  <c r="BA175" i="6"/>
  <c r="BA145" i="6"/>
  <c r="BA148" i="6"/>
  <c r="BA160" i="6"/>
  <c r="BA193" i="6"/>
  <c r="BA201" i="6"/>
  <c r="BA170" i="6"/>
  <c r="BA164" i="6"/>
  <c r="BA135" i="6"/>
  <c r="BA182" i="6"/>
  <c r="BA185" i="6"/>
  <c r="BA156" i="6"/>
  <c r="BA184" i="6"/>
  <c r="G24" i="6"/>
  <c r="X24" i="6"/>
  <c r="AN20" i="6"/>
  <c r="BX166" i="6"/>
  <c r="BX131" i="6"/>
  <c r="BX13" i="6"/>
  <c r="BX61" i="6"/>
  <c r="BX109" i="6"/>
  <c r="BX157" i="6"/>
  <c r="BX193" i="6"/>
  <c r="BX170" i="6"/>
  <c r="BX205" i="6"/>
  <c r="BX146" i="6"/>
  <c r="BX78" i="6"/>
  <c r="BX198" i="6"/>
  <c r="BX11" i="6"/>
  <c r="BX38" i="6"/>
  <c r="BX42" i="6"/>
  <c r="BX150" i="6"/>
  <c r="BX92" i="6"/>
  <c r="BX35" i="6"/>
  <c r="BX191" i="6"/>
  <c r="BX66" i="6"/>
  <c r="BX80" i="6"/>
  <c r="BX179" i="6"/>
  <c r="BX158" i="6"/>
  <c r="BX128" i="6"/>
  <c r="BX203" i="6"/>
  <c r="BX8" i="6"/>
  <c r="BX104" i="6"/>
  <c r="BX134" i="6"/>
  <c r="BX58" i="6"/>
  <c r="BX94" i="6"/>
  <c r="BX118" i="6"/>
  <c r="BX178" i="6"/>
  <c r="BX167" i="6"/>
  <c r="BX12" i="6"/>
  <c r="BX127" i="6"/>
  <c r="BX40" i="6"/>
  <c r="BX57" i="6"/>
  <c r="BX115" i="6"/>
  <c r="BX172" i="6"/>
  <c r="BX36" i="6"/>
  <c r="BX77" i="6"/>
  <c r="BX111" i="6"/>
  <c r="BX24" i="6"/>
  <c r="BX91" i="6"/>
  <c r="BX99" i="6"/>
  <c r="BX21" i="6"/>
  <c r="BX53" i="6"/>
  <c r="BX87" i="6"/>
  <c r="BX67" i="6"/>
  <c r="BX41" i="6"/>
  <c r="BX132" i="6"/>
  <c r="BX55" i="6"/>
  <c r="BX120" i="6"/>
  <c r="BX187" i="6"/>
  <c r="BX161" i="6"/>
  <c r="BX51" i="6"/>
  <c r="BX31" i="6"/>
  <c r="BX183" i="6"/>
  <c r="BX96" i="6"/>
  <c r="BX19" i="6"/>
  <c r="BX27" i="6"/>
  <c r="BX196" i="6"/>
  <c r="BX93" i="6"/>
  <c r="BX29" i="6"/>
  <c r="BX72" i="6"/>
  <c r="BX52" i="6"/>
  <c r="D8" i="6"/>
  <c r="CD7" i="6"/>
  <c r="CX13" i="6"/>
  <c r="CW7" i="6"/>
  <c r="CX15" i="6"/>
  <c r="CW14" i="6"/>
  <c r="CK10" i="6"/>
  <c r="CW10" i="6" s="1"/>
  <c r="CL10" i="6"/>
  <c r="CK9" i="6"/>
  <c r="CX9" i="6" s="1"/>
  <c r="CL9" i="6"/>
  <c r="CK8" i="6"/>
  <c r="CW8" i="6" s="1"/>
  <c r="CL8" i="6"/>
  <c r="CV61" i="6"/>
  <c r="CK56" i="6"/>
  <c r="CL56" i="6" s="1"/>
  <c r="CW56" i="6"/>
  <c r="CW57" i="6" s="1"/>
  <c r="CF6" i="6"/>
  <c r="CE6" i="6"/>
  <c r="CH6" i="6"/>
  <c r="D31" i="6"/>
  <c r="D32" i="6" s="1"/>
  <c r="CL12" i="6" l="1"/>
  <c r="CK12" i="6"/>
  <c r="AW9" i="6"/>
  <c r="BN93" i="6"/>
  <c r="BN169" i="6"/>
  <c r="BO169" i="6" s="1"/>
  <c r="BP169" i="6" s="1"/>
  <c r="BN110" i="6"/>
  <c r="BO110" i="6" s="1"/>
  <c r="BP110" i="6" s="1"/>
  <c r="BN124" i="6"/>
  <c r="BO124" i="6" s="1"/>
  <c r="BP124" i="6" s="1"/>
  <c r="BN76" i="6"/>
  <c r="BN185" i="6"/>
  <c r="BO185" i="6" s="1"/>
  <c r="BQ185" i="6" s="1"/>
  <c r="BN197" i="6"/>
  <c r="BO197" i="6" s="1"/>
  <c r="BP197" i="6" s="1"/>
  <c r="BN18" i="6"/>
  <c r="BN136" i="6"/>
  <c r="BO136" i="6" s="1"/>
  <c r="BP136" i="6" s="1"/>
  <c r="BN127" i="6"/>
  <c r="BO127" i="6" s="1"/>
  <c r="BP127" i="6" s="1"/>
  <c r="BN14" i="6"/>
  <c r="BN50" i="6"/>
  <c r="BN67" i="6"/>
  <c r="BN132" i="6"/>
  <c r="BO132" i="6" s="1"/>
  <c r="BQ132" i="6" s="1"/>
  <c r="BN52" i="6"/>
  <c r="BN122" i="6"/>
  <c r="BO122" i="6" s="1"/>
  <c r="BP122" i="6" s="1"/>
  <c r="BN29" i="6"/>
  <c r="BN138" i="6"/>
  <c r="BO138" i="6" s="1"/>
  <c r="BP138" i="6" s="1"/>
  <c r="BN92" i="6"/>
  <c r="BN162" i="6"/>
  <c r="BO162" i="6" s="1"/>
  <c r="BP162" i="6" s="1"/>
  <c r="BN89" i="6"/>
  <c r="BN12" i="6"/>
  <c r="BN58" i="6"/>
  <c r="BN59" i="6"/>
  <c r="BN196" i="6"/>
  <c r="BO196" i="6" s="1"/>
  <c r="BQ196" i="6" s="1"/>
  <c r="BN114" i="6"/>
  <c r="BO114" i="6" s="1"/>
  <c r="BQ114" i="6" s="1"/>
  <c r="BN173" i="6"/>
  <c r="BO173" i="6" s="1"/>
  <c r="BQ173" i="6" s="1"/>
  <c r="BN80" i="6"/>
  <c r="BN190" i="6"/>
  <c r="BO190" i="6" s="1"/>
  <c r="BQ190" i="6" s="1"/>
  <c r="BN104" i="6"/>
  <c r="BO104" i="6" s="1"/>
  <c r="BP104" i="6" s="1"/>
  <c r="BN42" i="6"/>
  <c r="BN183" i="6"/>
  <c r="BO183" i="6" s="1"/>
  <c r="BP183" i="6" s="1"/>
  <c r="BN101" i="6"/>
  <c r="BO101" i="6" s="1"/>
  <c r="BP101" i="6" s="1"/>
  <c r="BN73" i="6"/>
  <c r="BN204" i="6"/>
  <c r="BO204" i="6" s="1"/>
  <c r="BP204" i="6" s="1"/>
  <c r="BN149" i="6"/>
  <c r="BO149" i="6" s="1"/>
  <c r="BP149" i="6" s="1"/>
  <c r="BN56" i="6"/>
  <c r="BN9" i="6"/>
  <c r="BN21" i="6"/>
  <c r="BN175" i="6"/>
  <c r="BO175" i="6" s="1"/>
  <c r="BQ175" i="6" s="1"/>
  <c r="BN45" i="6"/>
  <c r="BN186" i="6"/>
  <c r="BO186" i="6" s="1"/>
  <c r="BQ186" i="6" s="1"/>
  <c r="BN135" i="6"/>
  <c r="BO135" i="6" s="1"/>
  <c r="BP135" i="6" s="1"/>
  <c r="BN125" i="6"/>
  <c r="BO125" i="6" s="1"/>
  <c r="BP125" i="6" s="1"/>
  <c r="BN167" i="6"/>
  <c r="BO167" i="6" s="1"/>
  <c r="BP167" i="6" s="1"/>
  <c r="BN144" i="6"/>
  <c r="BO144" i="6" s="1"/>
  <c r="BP144" i="6" s="1"/>
  <c r="BN54" i="6"/>
  <c r="BN23" i="6"/>
  <c r="BN98" i="6"/>
  <c r="BO98" i="6" s="1"/>
  <c r="BQ98" i="6" s="1"/>
  <c r="BN102" i="6"/>
  <c r="BO102" i="6" s="1"/>
  <c r="BP102" i="6" s="1"/>
  <c r="BN200" i="6"/>
  <c r="BO200" i="6" s="1"/>
  <c r="BQ200" i="6" s="1"/>
  <c r="BN123" i="6"/>
  <c r="BO123" i="6" s="1"/>
  <c r="BP123" i="6" s="1"/>
  <c r="BN165" i="6"/>
  <c r="BO165" i="6" s="1"/>
  <c r="BP165" i="6" s="1"/>
  <c r="BN72" i="6"/>
  <c r="BN107" i="6"/>
  <c r="BO107" i="6" s="1"/>
  <c r="BP107" i="6" s="1"/>
  <c r="BN128" i="6"/>
  <c r="BO128" i="6" s="1"/>
  <c r="BQ128" i="6" s="1"/>
  <c r="BN116" i="6"/>
  <c r="BO116" i="6" s="1"/>
  <c r="BP116" i="6" s="1"/>
  <c r="BN193" i="6"/>
  <c r="BO193" i="6" s="1"/>
  <c r="BQ193" i="6" s="1"/>
  <c r="BN130" i="6"/>
  <c r="BO130" i="6" s="1"/>
  <c r="BQ130" i="6" s="1"/>
  <c r="BN140" i="6"/>
  <c r="BO140" i="6" s="1"/>
  <c r="BP140" i="6" s="1"/>
  <c r="BN203" i="6"/>
  <c r="BO203" i="6" s="1"/>
  <c r="BQ203" i="6" s="1"/>
  <c r="BN137" i="6"/>
  <c r="BO137" i="6" s="1"/>
  <c r="BP137" i="6" s="1"/>
  <c r="BN44" i="6"/>
  <c r="BN141" i="6"/>
  <c r="BO141" i="6" s="1"/>
  <c r="BQ141" i="6" s="1"/>
  <c r="BN24" i="6"/>
  <c r="BN55" i="6"/>
  <c r="BN131" i="6"/>
  <c r="BO131" i="6" s="1"/>
  <c r="BP131" i="6" s="1"/>
  <c r="BN71" i="6"/>
  <c r="BN69" i="6"/>
  <c r="BN155" i="6"/>
  <c r="BO155" i="6" s="1"/>
  <c r="BQ155" i="6" s="1"/>
  <c r="BN151" i="6"/>
  <c r="BO151" i="6" s="1"/>
  <c r="BP151" i="6" s="1"/>
  <c r="BN112" i="6"/>
  <c r="BO112" i="6" s="1"/>
  <c r="BQ112" i="6" s="1"/>
  <c r="BN181" i="6"/>
  <c r="BO181" i="6" s="1"/>
  <c r="BP181" i="6" s="1"/>
  <c r="BN28" i="6"/>
  <c r="BN115" i="6"/>
  <c r="BO115" i="6" s="1"/>
  <c r="BP115" i="6" s="1"/>
  <c r="BN139" i="6"/>
  <c r="BO139" i="6" s="1"/>
  <c r="BQ139" i="6" s="1"/>
  <c r="BN163" i="6"/>
  <c r="BO163" i="6" s="1"/>
  <c r="BQ163" i="6" s="1"/>
  <c r="BN199" i="6"/>
  <c r="BO199" i="6" s="1"/>
  <c r="BP199" i="6" s="1"/>
  <c r="BN77" i="6"/>
  <c r="BN195" i="6"/>
  <c r="BO195" i="6" s="1"/>
  <c r="BQ195" i="6" s="1"/>
  <c r="BN202" i="6"/>
  <c r="BO202" i="6" s="1"/>
  <c r="BQ202" i="6" s="1"/>
  <c r="BN19" i="6"/>
  <c r="BN182" i="6"/>
  <c r="BO182" i="6" s="1"/>
  <c r="BQ182" i="6" s="1"/>
  <c r="BN172" i="6"/>
  <c r="BO172" i="6" s="1"/>
  <c r="BQ172" i="6" s="1"/>
  <c r="BN70" i="6"/>
  <c r="BN75" i="6"/>
  <c r="BN118" i="6"/>
  <c r="BO118" i="6" s="1"/>
  <c r="BQ118" i="6" s="1"/>
  <c r="BN109" i="6"/>
  <c r="BO109" i="6" s="1"/>
  <c r="BP109" i="6" s="1"/>
  <c r="BN120" i="6"/>
  <c r="BO120" i="6" s="1"/>
  <c r="BP120" i="6" s="1"/>
  <c r="BN106" i="6"/>
  <c r="BO106" i="6" s="1"/>
  <c r="BP106" i="6" s="1"/>
  <c r="BN96" i="6"/>
  <c r="BN156" i="6"/>
  <c r="BO156" i="6" s="1"/>
  <c r="BP156" i="6" s="1"/>
  <c r="BN79" i="6"/>
  <c r="BN174" i="6"/>
  <c r="BO174" i="6" s="1"/>
  <c r="BP174" i="6" s="1"/>
  <c r="BN78" i="6"/>
  <c r="BN95" i="6"/>
  <c r="BN10" i="6"/>
  <c r="BN51" i="6"/>
  <c r="BN63" i="6"/>
  <c r="BN158" i="6"/>
  <c r="BO158" i="6" s="1"/>
  <c r="BQ158" i="6" s="1"/>
  <c r="BN170" i="6"/>
  <c r="BO170" i="6" s="1"/>
  <c r="BQ170" i="6" s="1"/>
  <c r="BN119" i="6"/>
  <c r="BO119" i="6" s="1"/>
  <c r="BP119" i="6" s="1"/>
  <c r="BN108" i="6"/>
  <c r="BO108" i="6" s="1"/>
  <c r="BQ108" i="6" s="1"/>
  <c r="BN35" i="6"/>
  <c r="BN20" i="6"/>
  <c r="BN145" i="6"/>
  <c r="BO145" i="6" s="1"/>
  <c r="BP145" i="6" s="1"/>
  <c r="BN15" i="6"/>
  <c r="BN38" i="6"/>
  <c r="BN30" i="6"/>
  <c r="BN100" i="6"/>
  <c r="BO100" i="6" s="1"/>
  <c r="BQ100" i="6" s="1"/>
  <c r="BN160" i="6"/>
  <c r="BO160" i="6" s="1"/>
  <c r="BP160" i="6" s="1"/>
  <c r="BN91" i="6"/>
  <c r="BN179" i="6"/>
  <c r="BO179" i="6" s="1"/>
  <c r="BP179" i="6" s="1"/>
  <c r="BN178" i="6"/>
  <c r="BO178" i="6" s="1"/>
  <c r="BP178" i="6" s="1"/>
  <c r="BN134" i="6"/>
  <c r="BO134" i="6" s="1"/>
  <c r="BQ134" i="6" s="1"/>
  <c r="BN41" i="6"/>
  <c r="BN53" i="6"/>
  <c r="BN65" i="6"/>
  <c r="BN194" i="6"/>
  <c r="BO194" i="6" s="1"/>
  <c r="BP194" i="6" s="1"/>
  <c r="BN157" i="6"/>
  <c r="BO157" i="6" s="1"/>
  <c r="BQ157" i="6" s="1"/>
  <c r="BN111" i="6"/>
  <c r="BO111" i="6" s="1"/>
  <c r="BQ111" i="6" s="1"/>
  <c r="BN22" i="6"/>
  <c r="BN37" i="6"/>
  <c r="AX9" i="6"/>
  <c r="AZ144" i="6"/>
  <c r="AZ60" i="6"/>
  <c r="AZ36" i="6"/>
  <c r="AZ95" i="6"/>
  <c r="AZ184" i="6"/>
  <c r="AZ124" i="6"/>
  <c r="AZ148" i="6"/>
  <c r="AZ117" i="6"/>
  <c r="AZ91" i="6"/>
  <c r="AZ133" i="6"/>
  <c r="AZ25" i="6"/>
  <c r="AZ129" i="6"/>
  <c r="AZ145" i="6"/>
  <c r="AZ79" i="6"/>
  <c r="AZ199" i="6"/>
  <c r="AZ21" i="6"/>
  <c r="AZ38" i="6"/>
  <c r="AZ137" i="6"/>
  <c r="AZ195" i="6"/>
  <c r="AZ111" i="6"/>
  <c r="AZ39" i="6"/>
  <c r="AZ106" i="6"/>
  <c r="BN159" i="6"/>
  <c r="BO159" i="6" s="1"/>
  <c r="BQ159" i="6" s="1"/>
  <c r="BN81" i="6"/>
  <c r="BN198" i="6"/>
  <c r="BO198" i="6" s="1"/>
  <c r="BQ198" i="6" s="1"/>
  <c r="BN117" i="6"/>
  <c r="BO117" i="6" s="1"/>
  <c r="BP117" i="6" s="1"/>
  <c r="BN49" i="6"/>
  <c r="BN86" i="6"/>
  <c r="BN152" i="6"/>
  <c r="BO152" i="6" s="1"/>
  <c r="BP152" i="6" s="1"/>
  <c r="BN180" i="6"/>
  <c r="BO180" i="6" s="1"/>
  <c r="BP180" i="6" s="1"/>
  <c r="BN148" i="6"/>
  <c r="BO148" i="6" s="1"/>
  <c r="BQ148" i="6" s="1"/>
  <c r="BN103" i="6"/>
  <c r="BO103" i="6" s="1"/>
  <c r="BP103" i="6" s="1"/>
  <c r="BN154" i="6"/>
  <c r="BO154" i="6" s="1"/>
  <c r="BQ154" i="6" s="1"/>
  <c r="BN88" i="6"/>
  <c r="BN142" i="6"/>
  <c r="BO142" i="6" s="1"/>
  <c r="BQ142" i="6" s="1"/>
  <c r="BN39" i="6"/>
  <c r="BN161" i="6"/>
  <c r="BO161" i="6" s="1"/>
  <c r="BP161" i="6" s="1"/>
  <c r="BN143" i="6"/>
  <c r="BO143" i="6" s="1"/>
  <c r="BP143" i="6" s="1"/>
  <c r="BN57" i="6"/>
  <c r="BN176" i="6"/>
  <c r="BO176" i="6" s="1"/>
  <c r="BP176" i="6" s="1"/>
  <c r="BN47" i="6"/>
  <c r="BN36" i="6"/>
  <c r="BN8" i="6"/>
  <c r="BN11" i="6"/>
  <c r="BN7" i="6"/>
  <c r="BN177" i="6"/>
  <c r="BO177" i="6" s="1"/>
  <c r="BQ177" i="6" s="1"/>
  <c r="BN87" i="6"/>
  <c r="BN146" i="6"/>
  <c r="BO146" i="6" s="1"/>
  <c r="BP146" i="6" s="1"/>
  <c r="BN187" i="6"/>
  <c r="BO187" i="6" s="1"/>
  <c r="BP187" i="6" s="1"/>
  <c r="BN34" i="6"/>
  <c r="BN17" i="6"/>
  <c r="BN27" i="6"/>
  <c r="BN48" i="6"/>
  <c r="BN32" i="6"/>
  <c r="BN121" i="6"/>
  <c r="BO121" i="6" s="1"/>
  <c r="BP121" i="6" s="1"/>
  <c r="BN60" i="6"/>
  <c r="BN66" i="6"/>
  <c r="BN25" i="6"/>
  <c r="BN62" i="6"/>
  <c r="BN33" i="6"/>
  <c r="BN82" i="6"/>
  <c r="BN13" i="6"/>
  <c r="BN153" i="6"/>
  <c r="BO153" i="6" s="1"/>
  <c r="BQ153" i="6" s="1"/>
  <c r="BN83" i="6"/>
  <c r="BN64" i="6"/>
  <c r="BN94" i="6"/>
  <c r="BN61" i="6"/>
  <c r="BN90" i="6"/>
  <c r="BN46" i="6"/>
  <c r="BN85" i="6"/>
  <c r="BN113" i="6"/>
  <c r="BO113" i="6" s="1"/>
  <c r="BP113" i="6" s="1"/>
  <c r="BN168" i="6"/>
  <c r="BO168" i="6" s="1"/>
  <c r="BQ168" i="6" s="1"/>
  <c r="BN26" i="6"/>
  <c r="BN150" i="6"/>
  <c r="BO150" i="6" s="1"/>
  <c r="BQ150" i="6" s="1"/>
  <c r="BN166" i="6"/>
  <c r="BO166" i="6" s="1"/>
  <c r="BQ166" i="6" s="1"/>
  <c r="BN84" i="6"/>
  <c r="BN68" i="6"/>
  <c r="BN205" i="6"/>
  <c r="BO205" i="6" s="1"/>
  <c r="BQ205" i="6" s="1"/>
  <c r="BN31" i="6"/>
  <c r="BN129" i="6"/>
  <c r="BO129" i="6" s="1"/>
  <c r="BQ129" i="6" s="1"/>
  <c r="BN133" i="6"/>
  <c r="BO133" i="6" s="1"/>
  <c r="BQ133" i="6" s="1"/>
  <c r="BN184" i="6"/>
  <c r="BO184" i="6" s="1"/>
  <c r="BP184" i="6" s="1"/>
  <c r="BN105" i="6"/>
  <c r="BO105" i="6" s="1"/>
  <c r="BP105" i="6" s="1"/>
  <c r="BN97" i="6"/>
  <c r="BO97" i="6" s="1"/>
  <c r="BP97" i="6" s="1"/>
  <c r="BN16" i="6"/>
  <c r="BN191" i="6"/>
  <c r="BO191" i="6" s="1"/>
  <c r="BQ191" i="6" s="1"/>
  <c r="BN171" i="6"/>
  <c r="BO171" i="6" s="1"/>
  <c r="BP171" i="6" s="1"/>
  <c r="BN189" i="6"/>
  <c r="BO189" i="6" s="1"/>
  <c r="BQ189" i="6" s="1"/>
  <c r="BN126" i="6"/>
  <c r="BO126" i="6" s="1"/>
  <c r="BQ126" i="6" s="1"/>
  <c r="BN99" i="6"/>
  <c r="BO99" i="6" s="1"/>
  <c r="BP99" i="6" s="1"/>
  <c r="BN201" i="6"/>
  <c r="BO201" i="6" s="1"/>
  <c r="BQ201" i="6" s="1"/>
  <c r="BN188" i="6"/>
  <c r="BO188" i="6" s="1"/>
  <c r="BP188" i="6" s="1"/>
  <c r="BN147" i="6"/>
  <c r="BO147" i="6" s="1"/>
  <c r="BP147" i="6" s="1"/>
  <c r="BN40" i="6"/>
  <c r="BN164" i="6"/>
  <c r="BO164" i="6" s="1"/>
  <c r="BP164" i="6" s="1"/>
  <c r="BN192" i="6"/>
  <c r="BO192" i="6" s="1"/>
  <c r="BP192" i="6" s="1"/>
  <c r="BN74" i="6"/>
  <c r="BN43" i="6"/>
  <c r="BX64" i="6"/>
  <c r="BX89" i="6"/>
  <c r="BX108" i="6"/>
  <c r="BX197" i="6"/>
  <c r="BX144" i="6"/>
  <c r="BX65" i="6"/>
  <c r="BX189" i="6"/>
  <c r="BX135" i="6"/>
  <c r="BX202" i="6"/>
  <c r="BX10" i="6"/>
  <c r="BX200" i="6"/>
  <c r="BX102" i="6"/>
  <c r="BX186" i="6"/>
  <c r="BX32" i="6"/>
  <c r="BX37" i="6"/>
  <c r="BX73" i="6"/>
  <c r="AZ103" i="6"/>
  <c r="AZ114" i="6"/>
  <c r="AZ191" i="6"/>
  <c r="AZ94" i="6"/>
  <c r="AZ101" i="6"/>
  <c r="AZ28" i="6"/>
  <c r="AZ177" i="6"/>
  <c r="BX173" i="6"/>
  <c r="BX195" i="6"/>
  <c r="BX125" i="6"/>
  <c r="BX33" i="6"/>
  <c r="BX184" i="6"/>
  <c r="BX154" i="6"/>
  <c r="BX143" i="6"/>
  <c r="BX56" i="6"/>
  <c r="BX114" i="6"/>
  <c r="BX162" i="6"/>
  <c r="BX98" i="6"/>
  <c r="BX49" i="6"/>
  <c r="AZ55" i="6"/>
  <c r="AZ181" i="6"/>
  <c r="AZ42" i="6"/>
  <c r="AZ43" i="6"/>
  <c r="AZ40" i="6"/>
  <c r="AZ98" i="6"/>
  <c r="AZ175" i="6"/>
  <c r="BX163" i="6"/>
  <c r="BX199" i="6"/>
  <c r="BX180" i="6"/>
  <c r="BX30" i="6"/>
  <c r="BX151" i="6"/>
  <c r="BX105" i="6"/>
  <c r="BX100" i="6"/>
  <c r="BX141" i="6"/>
  <c r="BX136" i="6"/>
  <c r="BX177" i="6"/>
  <c r="BX28" i="6"/>
  <c r="BX113" i="6"/>
  <c r="BX142" i="6"/>
  <c r="BX176" i="6"/>
  <c r="BX90" i="6"/>
  <c r="BX62" i="6"/>
  <c r="BX54" i="6"/>
  <c r="BX126" i="6"/>
  <c r="BX26" i="6"/>
  <c r="BX25" i="6"/>
  <c r="AZ17" i="6"/>
  <c r="AZ24" i="6"/>
  <c r="AZ164" i="6"/>
  <c r="AZ112" i="6"/>
  <c r="AZ170" i="6"/>
  <c r="AZ143" i="6"/>
  <c r="AZ158" i="6"/>
  <c r="AZ71" i="6"/>
  <c r="AZ20" i="6"/>
  <c r="AZ142" i="6"/>
  <c r="AZ93" i="6"/>
  <c r="AZ92" i="6"/>
  <c r="AZ108" i="6"/>
  <c r="AZ63" i="6"/>
  <c r="AZ121" i="6"/>
  <c r="BX147" i="6"/>
  <c r="BX204" i="6"/>
  <c r="BX39" i="6"/>
  <c r="BX43" i="6"/>
  <c r="BX75" i="6"/>
  <c r="BX79" i="6"/>
  <c r="BX168" i="6"/>
  <c r="BX101" i="6"/>
  <c r="BX69" i="6"/>
  <c r="BX106" i="6"/>
  <c r="BX44" i="6"/>
  <c r="BX110" i="6"/>
  <c r="BX107" i="6"/>
  <c r="BX194" i="6"/>
  <c r="BX18" i="6"/>
  <c r="BX169" i="6"/>
  <c r="BX86" i="6"/>
  <c r="AZ66" i="6"/>
  <c r="AZ61" i="6"/>
  <c r="AZ130" i="6"/>
  <c r="AZ32" i="6"/>
  <c r="AZ12" i="6"/>
  <c r="AZ138" i="6"/>
  <c r="AZ116" i="6"/>
  <c r="AZ110" i="6"/>
  <c r="BX149" i="6"/>
  <c r="BX81" i="6"/>
  <c r="BX88" i="6"/>
  <c r="BX129" i="6"/>
  <c r="BX124" i="6"/>
  <c r="BX165" i="6"/>
  <c r="BX16" i="6"/>
  <c r="BX201" i="6"/>
  <c r="BX182" i="6"/>
  <c r="BX82" i="6"/>
  <c r="BX7" i="6"/>
  <c r="BX71" i="6"/>
  <c r="BX188" i="6"/>
  <c r="BX155" i="6"/>
  <c r="BX74" i="6"/>
  <c r="BX133" i="6"/>
  <c r="BX47" i="6"/>
  <c r="AZ153" i="6"/>
  <c r="AZ154" i="6"/>
  <c r="AZ44" i="6"/>
  <c r="AZ64" i="6"/>
  <c r="AZ23" i="6"/>
  <c r="AZ122" i="6"/>
  <c r="AZ173" i="6"/>
  <c r="BX139" i="6"/>
  <c r="BX84" i="6"/>
  <c r="BX137" i="6"/>
  <c r="BX60" i="6"/>
  <c r="BX17" i="6"/>
  <c r="BX156" i="6"/>
  <c r="BX160" i="6"/>
  <c r="BX123" i="6"/>
  <c r="BX50" i="6"/>
  <c r="BX70" i="6"/>
  <c r="BX122" i="6"/>
  <c r="BX152" i="6"/>
  <c r="BX140" i="6"/>
  <c r="BX83" i="6"/>
  <c r="BX14" i="6"/>
  <c r="BX121" i="6"/>
  <c r="BX190" i="6"/>
  <c r="AZ136" i="6"/>
  <c r="AZ10" i="6"/>
  <c r="AZ193" i="6"/>
  <c r="AZ113" i="6"/>
  <c r="AZ96" i="6"/>
  <c r="AZ105" i="6"/>
  <c r="AZ53" i="6"/>
  <c r="BX15" i="6"/>
  <c r="BX171" i="6"/>
  <c r="BX175" i="6"/>
  <c r="BX63" i="6"/>
  <c r="BX9" i="6"/>
  <c r="BX185" i="6"/>
  <c r="BX103" i="6"/>
  <c r="BX48" i="6"/>
  <c r="BX95" i="6"/>
  <c r="BX46" i="6"/>
  <c r="BX119" i="6"/>
  <c r="BX174" i="6"/>
  <c r="BX68" i="6"/>
  <c r="BX164" i="6"/>
  <c r="BX181" i="6"/>
  <c r="BX97" i="6"/>
  <c r="BX130" i="6"/>
  <c r="AZ75" i="6"/>
  <c r="AZ68" i="6"/>
  <c r="AZ169" i="6"/>
  <c r="AZ127" i="6"/>
  <c r="AZ7" i="6"/>
  <c r="BA7" i="6" s="1"/>
  <c r="BE9" i="6" s="1"/>
  <c r="AZ90" i="6"/>
  <c r="AZ97" i="6"/>
  <c r="BX159" i="6"/>
  <c r="BX76" i="6"/>
  <c r="BX117" i="6"/>
  <c r="BX112" i="6"/>
  <c r="BX153" i="6"/>
  <c r="BX148" i="6"/>
  <c r="BX45" i="6"/>
  <c r="BX192" i="6"/>
  <c r="BX23" i="6"/>
  <c r="BX34" i="6"/>
  <c r="BX59" i="6"/>
  <c r="BX138" i="6"/>
  <c r="BX20" i="6"/>
  <c r="BX116" i="6"/>
  <c r="BX145" i="6"/>
  <c r="BX85" i="6"/>
  <c r="BX22" i="6"/>
  <c r="AZ73" i="6"/>
  <c r="AZ83" i="6"/>
  <c r="AZ159" i="6"/>
  <c r="AZ179" i="6"/>
  <c r="AZ51" i="6"/>
  <c r="AZ196" i="6"/>
  <c r="AZ46" i="6"/>
  <c r="AZ189" i="6"/>
  <c r="AZ37" i="6"/>
  <c r="AZ56" i="6"/>
  <c r="AZ141" i="6"/>
  <c r="AZ147" i="6"/>
  <c r="AZ152" i="6"/>
  <c r="AZ82" i="6"/>
  <c r="AZ77" i="6"/>
  <c r="AZ134" i="6"/>
  <c r="AZ109" i="6"/>
  <c r="AZ151" i="6"/>
  <c r="AZ149" i="6"/>
  <c r="AZ87" i="6"/>
  <c r="AZ86" i="6"/>
  <c r="AZ22" i="6"/>
  <c r="AZ45" i="6"/>
  <c r="AZ72" i="6"/>
  <c r="AZ59" i="6"/>
  <c r="AZ163" i="6"/>
  <c r="AZ54" i="6"/>
  <c r="AZ8" i="6"/>
  <c r="AZ194" i="6"/>
  <c r="AZ123" i="6"/>
  <c r="AZ128" i="6"/>
  <c r="AZ78" i="6"/>
  <c r="AZ171" i="6"/>
  <c r="AZ161" i="6"/>
  <c r="AZ26" i="6"/>
  <c r="AZ107" i="6"/>
  <c r="AZ30" i="6"/>
  <c r="AZ176" i="6"/>
  <c r="AZ190" i="6"/>
  <c r="AZ85" i="6"/>
  <c r="AZ126" i="6"/>
  <c r="AZ205" i="6"/>
  <c r="AZ19" i="6"/>
  <c r="AZ182" i="6"/>
  <c r="AZ118" i="6"/>
  <c r="AZ49" i="6"/>
  <c r="AZ115" i="6"/>
  <c r="AZ88" i="6"/>
  <c r="AZ140" i="6"/>
  <c r="AZ102" i="6"/>
  <c r="AZ76" i="6"/>
  <c r="AZ139" i="6"/>
  <c r="AZ52" i="6"/>
  <c r="AZ120" i="6"/>
  <c r="AZ119" i="6"/>
  <c r="AZ202" i="6"/>
  <c r="AZ197" i="6"/>
  <c r="AZ180" i="6"/>
  <c r="AZ198" i="6"/>
  <c r="AZ192" i="6"/>
  <c r="AZ150" i="6"/>
  <c r="AZ67" i="6"/>
  <c r="AZ157" i="6"/>
  <c r="AZ125" i="6"/>
  <c r="AZ35" i="6"/>
  <c r="AZ9" i="6"/>
  <c r="AZ200" i="6"/>
  <c r="AZ155" i="6"/>
  <c r="AZ174" i="6"/>
  <c r="AZ58" i="6"/>
  <c r="AZ160" i="6"/>
  <c r="AZ104" i="6"/>
  <c r="AZ178" i="6"/>
  <c r="AZ168" i="6"/>
  <c r="AZ100" i="6"/>
  <c r="AZ165" i="6"/>
  <c r="AZ13" i="6"/>
  <c r="AZ15" i="6"/>
  <c r="AZ156" i="6"/>
  <c r="AZ135" i="6"/>
  <c r="AZ203" i="6"/>
  <c r="AZ11" i="6"/>
  <c r="AZ172" i="6"/>
  <c r="AZ204" i="6"/>
  <c r="AZ16" i="6"/>
  <c r="AZ186" i="6"/>
  <c r="AZ34" i="6"/>
  <c r="AZ48" i="6"/>
  <c r="AZ18" i="6"/>
  <c r="AZ183" i="6"/>
  <c r="AZ188" i="6"/>
  <c r="AZ47" i="6"/>
  <c r="AZ89" i="6"/>
  <c r="AZ185" i="6"/>
  <c r="AZ167" i="6"/>
  <c r="AZ31" i="6"/>
  <c r="AZ70" i="6"/>
  <c r="AZ65" i="6"/>
  <c r="AZ74" i="6"/>
  <c r="AZ99" i="6"/>
  <c r="AZ162" i="6"/>
  <c r="AZ69" i="6"/>
  <c r="AZ201" i="6"/>
  <c r="AZ27" i="6"/>
  <c r="AZ166" i="6"/>
  <c r="AZ131" i="6"/>
  <c r="AZ41" i="6"/>
  <c r="AZ132" i="6"/>
  <c r="AZ81" i="6"/>
  <c r="AZ146" i="6"/>
  <c r="AZ187" i="6"/>
  <c r="AZ80" i="6"/>
  <c r="AZ29" i="6"/>
  <c r="AZ14" i="6"/>
  <c r="AZ62" i="6"/>
  <c r="BX6" i="6"/>
  <c r="BK182" i="6"/>
  <c r="BL182" i="6"/>
  <c r="BL119" i="6"/>
  <c r="BK119" i="6"/>
  <c r="AZ84" i="6"/>
  <c r="BK147" i="6"/>
  <c r="BL147" i="6"/>
  <c r="BK172" i="6"/>
  <c r="BL172" i="6"/>
  <c r="BK141" i="6"/>
  <c r="BL141" i="6"/>
  <c r="BK180" i="6"/>
  <c r="BL180" i="6"/>
  <c r="BK133" i="6"/>
  <c r="BL133" i="6"/>
  <c r="BK192" i="6"/>
  <c r="BL192" i="6"/>
  <c r="BK161" i="6"/>
  <c r="BL161" i="6"/>
  <c r="BL194" i="6"/>
  <c r="BK194" i="6"/>
  <c r="BK127" i="6"/>
  <c r="BL127" i="6"/>
  <c r="BK105" i="6"/>
  <c r="BL105" i="6"/>
  <c r="BK115" i="6"/>
  <c r="BL115" i="6"/>
  <c r="BK108" i="6"/>
  <c r="BL108" i="6"/>
  <c r="BK122" i="6"/>
  <c r="BL122" i="6"/>
  <c r="BK168" i="6"/>
  <c r="BL168" i="6"/>
  <c r="BK191" i="6"/>
  <c r="BL191" i="6"/>
  <c r="BK167" i="6"/>
  <c r="BL167" i="6"/>
  <c r="BK155" i="6"/>
  <c r="BL155" i="6"/>
  <c r="BK203" i="6"/>
  <c r="BL203" i="6"/>
  <c r="BK174" i="6"/>
  <c r="BL174" i="6"/>
  <c r="BK98" i="6"/>
  <c r="BL98" i="6"/>
  <c r="BL97" i="6"/>
  <c r="BK97" i="6"/>
  <c r="BK140" i="6"/>
  <c r="BL140" i="6"/>
  <c r="BK183" i="6"/>
  <c r="BL183" i="6"/>
  <c r="BK88" i="6"/>
  <c r="BL88" i="6"/>
  <c r="BK169" i="6"/>
  <c r="BL169" i="6"/>
  <c r="BK128" i="6"/>
  <c r="BL128" i="6"/>
  <c r="BK151" i="6"/>
  <c r="BL151" i="6"/>
  <c r="BK129" i="6"/>
  <c r="BL129" i="6"/>
  <c r="BK134" i="6"/>
  <c r="BL134" i="6"/>
  <c r="BK126" i="6"/>
  <c r="BL126" i="6"/>
  <c r="BK146" i="6"/>
  <c r="BL146" i="6"/>
  <c r="BK117" i="6"/>
  <c r="BL117" i="6"/>
  <c r="BK173" i="6"/>
  <c r="BL173" i="6"/>
  <c r="BK121" i="6"/>
  <c r="BL121" i="6"/>
  <c r="BK89" i="6"/>
  <c r="BL89" i="6"/>
  <c r="BK163" i="6"/>
  <c r="BL163" i="6"/>
  <c r="BK193" i="6"/>
  <c r="BL193" i="6"/>
  <c r="BK148" i="6"/>
  <c r="BL148" i="6"/>
  <c r="BK178" i="6"/>
  <c r="BL178" i="6"/>
  <c r="BK137" i="6"/>
  <c r="BL137" i="6"/>
  <c r="BK170" i="6"/>
  <c r="BL170" i="6"/>
  <c r="BK198" i="6"/>
  <c r="BL198" i="6"/>
  <c r="BL136" i="6"/>
  <c r="BK136" i="6"/>
  <c r="BK100" i="6"/>
  <c r="BL100" i="6"/>
  <c r="BK93" i="6"/>
  <c r="BL93" i="6"/>
  <c r="BK131" i="6"/>
  <c r="BL131" i="6"/>
  <c r="BK135" i="6"/>
  <c r="BL135" i="6"/>
  <c r="BK184" i="6"/>
  <c r="BL184" i="6"/>
  <c r="BK201" i="6"/>
  <c r="BL201" i="6"/>
  <c r="BK96" i="6"/>
  <c r="BL96" i="6"/>
  <c r="BK103" i="6"/>
  <c r="BL103" i="6"/>
  <c r="BK196" i="6"/>
  <c r="BL196" i="6"/>
  <c r="BK107" i="6"/>
  <c r="BL107" i="6"/>
  <c r="BK149" i="6"/>
  <c r="BL149" i="6"/>
  <c r="BK104" i="6"/>
  <c r="BL104" i="6"/>
  <c r="BK102" i="6"/>
  <c r="BL102" i="6"/>
  <c r="BK156" i="6"/>
  <c r="BL156" i="6"/>
  <c r="BK158" i="6"/>
  <c r="BL158" i="6"/>
  <c r="BK113" i="6"/>
  <c r="BL113" i="6"/>
  <c r="BK181" i="6"/>
  <c r="BL181" i="6"/>
  <c r="BK114" i="6"/>
  <c r="BL114" i="6"/>
  <c r="BK189" i="6"/>
  <c r="BL189" i="6"/>
  <c r="BL197" i="6"/>
  <c r="BK197" i="6"/>
  <c r="BK94" i="6"/>
  <c r="BL94" i="6"/>
  <c r="BK142" i="6"/>
  <c r="BL142" i="6"/>
  <c r="BK204" i="6"/>
  <c r="BL204" i="6"/>
  <c r="BK138" i="6"/>
  <c r="BL138" i="6"/>
  <c r="BK175" i="6"/>
  <c r="BL175" i="6"/>
  <c r="BL160" i="6"/>
  <c r="BK160" i="6"/>
  <c r="BK111" i="6"/>
  <c r="BL111" i="6"/>
  <c r="BK123" i="6"/>
  <c r="BL123" i="6"/>
  <c r="BL109" i="6"/>
  <c r="BK109" i="6"/>
  <c r="BK164" i="6"/>
  <c r="BL164" i="6"/>
  <c r="BK112" i="6"/>
  <c r="BL112" i="6"/>
  <c r="BK165" i="6"/>
  <c r="BL165" i="6"/>
  <c r="BK110" i="6"/>
  <c r="BL110" i="6"/>
  <c r="BK162" i="6"/>
  <c r="BL162" i="6"/>
  <c r="BK166" i="6"/>
  <c r="BL166" i="6"/>
  <c r="BK190" i="6"/>
  <c r="BL190" i="6"/>
  <c r="BK95" i="6"/>
  <c r="BL95" i="6"/>
  <c r="BL92" i="6"/>
  <c r="BK92" i="6"/>
  <c r="BK195" i="6"/>
  <c r="BL195" i="6"/>
  <c r="BK124" i="6"/>
  <c r="BL124" i="6"/>
  <c r="AZ50" i="6"/>
  <c r="BK143" i="6"/>
  <c r="BL143" i="6"/>
  <c r="BK200" i="6"/>
  <c r="BL200" i="6"/>
  <c r="BK145" i="6"/>
  <c r="BL145" i="6"/>
  <c r="BK153" i="6"/>
  <c r="BL153" i="6"/>
  <c r="BK118" i="6"/>
  <c r="BL118" i="6"/>
  <c r="BK144" i="6"/>
  <c r="BL144" i="6"/>
  <c r="BK116" i="6"/>
  <c r="BL116" i="6"/>
  <c r="BK202" i="6"/>
  <c r="BL202" i="6"/>
  <c r="BK186" i="6"/>
  <c r="BL186" i="6"/>
  <c r="BK132" i="6"/>
  <c r="BL132" i="6"/>
  <c r="BK91" i="6"/>
  <c r="BL91" i="6"/>
  <c r="BL120" i="6"/>
  <c r="BK120" i="6"/>
  <c r="BK185" i="6"/>
  <c r="BL185" i="6"/>
  <c r="BK157" i="6"/>
  <c r="BL157" i="6"/>
  <c r="BK125" i="6"/>
  <c r="BL125" i="6"/>
  <c r="BK152" i="6"/>
  <c r="BL152" i="6"/>
  <c r="BK106" i="6"/>
  <c r="BL106" i="6"/>
  <c r="BK187" i="6"/>
  <c r="BL187" i="6"/>
  <c r="BK159" i="6"/>
  <c r="BL159" i="6"/>
  <c r="BK99" i="6"/>
  <c r="BL99" i="6"/>
  <c r="BK130" i="6"/>
  <c r="BL130" i="6"/>
  <c r="BK90" i="6"/>
  <c r="BL90" i="6"/>
  <c r="BK179" i="6"/>
  <c r="BL179" i="6"/>
  <c r="BK177" i="6"/>
  <c r="BL177" i="6"/>
  <c r="BK205" i="6"/>
  <c r="BL205" i="6"/>
  <c r="AZ33" i="6"/>
  <c r="AZ57" i="6"/>
  <c r="BK139" i="6"/>
  <c r="BL139" i="6"/>
  <c r="BK176" i="6"/>
  <c r="BL176" i="6"/>
  <c r="BK150" i="6"/>
  <c r="BL150" i="6"/>
  <c r="BK188" i="6"/>
  <c r="BL188" i="6"/>
  <c r="BK154" i="6"/>
  <c r="BL154" i="6"/>
  <c r="BK101" i="6"/>
  <c r="BL101" i="6"/>
  <c r="BK199" i="6"/>
  <c r="BL199" i="6"/>
  <c r="BK171" i="6"/>
  <c r="BL171" i="6"/>
  <c r="BS113" i="6"/>
  <c r="BT113" i="6" s="1"/>
  <c r="BS67" i="6"/>
  <c r="BS8" i="6"/>
  <c r="BS152" i="6"/>
  <c r="BT152" i="6" s="1"/>
  <c r="BS93" i="6"/>
  <c r="BT93" i="6" s="1"/>
  <c r="BS35" i="6"/>
  <c r="BS179" i="6"/>
  <c r="BT179" i="6" s="1"/>
  <c r="BS84" i="6"/>
  <c r="BS124" i="6"/>
  <c r="BT124" i="6" s="1"/>
  <c r="BS30" i="6"/>
  <c r="BS111" i="6"/>
  <c r="BT111" i="6" s="1"/>
  <c r="BS184" i="6"/>
  <c r="BT184" i="6" s="1"/>
  <c r="BS40" i="6"/>
  <c r="BS121" i="6"/>
  <c r="BT121" i="6" s="1"/>
  <c r="BS170" i="6"/>
  <c r="BT170" i="6" s="1"/>
  <c r="BS175" i="6"/>
  <c r="BT175" i="6" s="1"/>
  <c r="BS11" i="6"/>
  <c r="BS63" i="6"/>
  <c r="BS125" i="6"/>
  <c r="BT125" i="6" s="1"/>
  <c r="BS79" i="6"/>
  <c r="BS20" i="6"/>
  <c r="BS164" i="6"/>
  <c r="BT164" i="6" s="1"/>
  <c r="BS105" i="6"/>
  <c r="BT105" i="6" s="1"/>
  <c r="BS47" i="6"/>
  <c r="BS191" i="6"/>
  <c r="BT191" i="6" s="1"/>
  <c r="BS96" i="6"/>
  <c r="BT96" i="6" s="1"/>
  <c r="BS27" i="6"/>
  <c r="BS28" i="6"/>
  <c r="BS62" i="6"/>
  <c r="BS135" i="6"/>
  <c r="BT135" i="6" s="1"/>
  <c r="BS51" i="6"/>
  <c r="BS70" i="6"/>
  <c r="BS145" i="6"/>
  <c r="BT145" i="6" s="1"/>
  <c r="BS194" i="6"/>
  <c r="BT194" i="6" s="1"/>
  <c r="BS86" i="6"/>
  <c r="BS159" i="6"/>
  <c r="BT159" i="6" s="1"/>
  <c r="BS10" i="6"/>
  <c r="BS94" i="6"/>
  <c r="BT94" i="6" s="1"/>
  <c r="BS169" i="6"/>
  <c r="BT169" i="6" s="1"/>
  <c r="BS26" i="6"/>
  <c r="BS201" i="6"/>
  <c r="BT201" i="6" s="1"/>
  <c r="BS187" i="6"/>
  <c r="BT187" i="6" s="1"/>
  <c r="BS76" i="6"/>
  <c r="BS137" i="6"/>
  <c r="BT137" i="6" s="1"/>
  <c r="BS91" i="6"/>
  <c r="BT91" i="6" s="1"/>
  <c r="BS32" i="6"/>
  <c r="BS176" i="6"/>
  <c r="BT176" i="6" s="1"/>
  <c r="BS117" i="6"/>
  <c r="BT117" i="6" s="1"/>
  <c r="BS59" i="6"/>
  <c r="BS203" i="6"/>
  <c r="BT203" i="6" s="1"/>
  <c r="BS108" i="6"/>
  <c r="BT108" i="6" s="1"/>
  <c r="BS54" i="6"/>
  <c r="BS58" i="6"/>
  <c r="BS149" i="6"/>
  <c r="BT149" i="6" s="1"/>
  <c r="BS103" i="6"/>
  <c r="BT103" i="6" s="1"/>
  <c r="BS44" i="6"/>
  <c r="BS188" i="6"/>
  <c r="BT188" i="6" s="1"/>
  <c r="BS129" i="6"/>
  <c r="BT129" i="6" s="1"/>
  <c r="BS71" i="6"/>
  <c r="BS13" i="6"/>
  <c r="BS120" i="6"/>
  <c r="BT120" i="6" s="1"/>
  <c r="BS82" i="6"/>
  <c r="BS85" i="6"/>
  <c r="BS110" i="6"/>
  <c r="BT110" i="6" s="1"/>
  <c r="BS183" i="6"/>
  <c r="BT183" i="6" s="1"/>
  <c r="BS39" i="6"/>
  <c r="BS118" i="6"/>
  <c r="BT118" i="6" s="1"/>
  <c r="BS193" i="6"/>
  <c r="BT193" i="6" s="1"/>
  <c r="BS52" i="6"/>
  <c r="BS138" i="6"/>
  <c r="BT138" i="6" s="1"/>
  <c r="BS17" i="6"/>
  <c r="BS161" i="6"/>
  <c r="BT161" i="6" s="1"/>
  <c r="BS115" i="6"/>
  <c r="BT115" i="6" s="1"/>
  <c r="BS56" i="6"/>
  <c r="BS200" i="6"/>
  <c r="BT200" i="6" s="1"/>
  <c r="BS141" i="6"/>
  <c r="BT141" i="6" s="1"/>
  <c r="BS83" i="6"/>
  <c r="BS25" i="6"/>
  <c r="BS132" i="6"/>
  <c r="BT132" i="6" s="1"/>
  <c r="BS106" i="6"/>
  <c r="BT106" i="6" s="1"/>
  <c r="BS109" i="6"/>
  <c r="BT109" i="6" s="1"/>
  <c r="BS134" i="6"/>
  <c r="BT134" i="6" s="1"/>
  <c r="BS6" i="6"/>
  <c r="BS66" i="6"/>
  <c r="BS142" i="6"/>
  <c r="BT142" i="6" s="1"/>
  <c r="BS195" i="6"/>
  <c r="BT195" i="6" s="1"/>
  <c r="BS78" i="6"/>
  <c r="BS178" i="6"/>
  <c r="BT178" i="6" s="1"/>
  <c r="BS46" i="6"/>
  <c r="BS57" i="6"/>
  <c r="BS98" i="6"/>
  <c r="BT98" i="6" s="1"/>
  <c r="BS43" i="6"/>
  <c r="BS204" i="6"/>
  <c r="BT204" i="6" s="1"/>
  <c r="BS75" i="6"/>
  <c r="BS29" i="6"/>
  <c r="BS173" i="6"/>
  <c r="BT173" i="6" s="1"/>
  <c r="BS127" i="6"/>
  <c r="BT127" i="6" s="1"/>
  <c r="BS68" i="6"/>
  <c r="BS9" i="6"/>
  <c r="BS153" i="6"/>
  <c r="BT153" i="6" s="1"/>
  <c r="BS95" i="6"/>
  <c r="BT95" i="6" s="1"/>
  <c r="BS49" i="6"/>
  <c r="BS144" i="6"/>
  <c r="BT144" i="6" s="1"/>
  <c r="BS130" i="6"/>
  <c r="BT130" i="6" s="1"/>
  <c r="BS133" i="6"/>
  <c r="BT133" i="6" s="1"/>
  <c r="BS158" i="6"/>
  <c r="BT158" i="6" s="1"/>
  <c r="BS196" i="6"/>
  <c r="BT196" i="6" s="1"/>
  <c r="BS90" i="6"/>
  <c r="BT90" i="6" s="1"/>
  <c r="BS166" i="6"/>
  <c r="BT166" i="6" s="1"/>
  <c r="BS172" i="6"/>
  <c r="BT172" i="6" s="1"/>
  <c r="BS102" i="6"/>
  <c r="BT102" i="6" s="1"/>
  <c r="BS7" i="6"/>
  <c r="BS48" i="6"/>
  <c r="BS41" i="6"/>
  <c r="BS185" i="6"/>
  <c r="BT185" i="6" s="1"/>
  <c r="BS139" i="6"/>
  <c r="BT139" i="6" s="1"/>
  <c r="BS80" i="6"/>
  <c r="BS21" i="6"/>
  <c r="BS165" i="6"/>
  <c r="BT165" i="6" s="1"/>
  <c r="BS107" i="6"/>
  <c r="BT107" i="6" s="1"/>
  <c r="BS12" i="6"/>
  <c r="BS156" i="6"/>
  <c r="BT156" i="6" s="1"/>
  <c r="BS154" i="6"/>
  <c r="BT154" i="6" s="1"/>
  <c r="BS157" i="6"/>
  <c r="BT157" i="6" s="1"/>
  <c r="BS182" i="6"/>
  <c r="BT182" i="6" s="1"/>
  <c r="BS38" i="6"/>
  <c r="BS114" i="6"/>
  <c r="BT114" i="6" s="1"/>
  <c r="BS190" i="6"/>
  <c r="BT190" i="6" s="1"/>
  <c r="BS16" i="6"/>
  <c r="BS126" i="6"/>
  <c r="BT126" i="6" s="1"/>
  <c r="BS123" i="6"/>
  <c r="BT123" i="6" s="1"/>
  <c r="BS31" i="6"/>
  <c r="BS192" i="6"/>
  <c r="BT192" i="6" s="1"/>
  <c r="BS186" i="6"/>
  <c r="BT186" i="6" s="1"/>
  <c r="BS128" i="6"/>
  <c r="BT128" i="6" s="1"/>
  <c r="BS147" i="6"/>
  <c r="BT147" i="6" s="1"/>
  <c r="BS53" i="6"/>
  <c r="BS197" i="6"/>
  <c r="BT197" i="6" s="1"/>
  <c r="BS151" i="6"/>
  <c r="BT151" i="6" s="1"/>
  <c r="BS92" i="6"/>
  <c r="BT92" i="6" s="1"/>
  <c r="BS33" i="6"/>
  <c r="BS177" i="6"/>
  <c r="BT177" i="6" s="1"/>
  <c r="BS119" i="6"/>
  <c r="BT119" i="6" s="1"/>
  <c r="BS24" i="6"/>
  <c r="BS168" i="6"/>
  <c r="BT168" i="6" s="1"/>
  <c r="BS181" i="6"/>
  <c r="BT181" i="6" s="1"/>
  <c r="BS64" i="6"/>
  <c r="BS150" i="6"/>
  <c r="BT150" i="6" s="1"/>
  <c r="BS50" i="6"/>
  <c r="BS89" i="6"/>
  <c r="BT89" i="6" s="1"/>
  <c r="BS60" i="6"/>
  <c r="BS136" i="6"/>
  <c r="BT136" i="6" s="1"/>
  <c r="BS65" i="6"/>
  <c r="BS19" i="6"/>
  <c r="BS163" i="6"/>
  <c r="BT163" i="6" s="1"/>
  <c r="BS104" i="6"/>
  <c r="BT104" i="6" s="1"/>
  <c r="BS45" i="6"/>
  <c r="BS189" i="6"/>
  <c r="BT189" i="6" s="1"/>
  <c r="BS131" i="6"/>
  <c r="BT131" i="6" s="1"/>
  <c r="BS36" i="6"/>
  <c r="BS180" i="6"/>
  <c r="BT180" i="6" s="1"/>
  <c r="BS202" i="6"/>
  <c r="BT202" i="6" s="1"/>
  <c r="BS205" i="6"/>
  <c r="BT205" i="6" s="1"/>
  <c r="BS22" i="6"/>
  <c r="BS88" i="6"/>
  <c r="BT88" i="6" s="1"/>
  <c r="BS162" i="6"/>
  <c r="BT162" i="6" s="1"/>
  <c r="BS15" i="6"/>
  <c r="BS74" i="6"/>
  <c r="BS174" i="6"/>
  <c r="BT174" i="6" s="1"/>
  <c r="BS77" i="6"/>
  <c r="BS116" i="6"/>
  <c r="BT116" i="6" s="1"/>
  <c r="BS143" i="6"/>
  <c r="BT143" i="6" s="1"/>
  <c r="BS18" i="6"/>
  <c r="BS34" i="6"/>
  <c r="BS112" i="6"/>
  <c r="BT112" i="6" s="1"/>
  <c r="BS42" i="6"/>
  <c r="BS69" i="6"/>
  <c r="BS122" i="6"/>
  <c r="BT122" i="6" s="1"/>
  <c r="BS99" i="6"/>
  <c r="BT99" i="6" s="1"/>
  <c r="BS101" i="6"/>
  <c r="BT101" i="6" s="1"/>
  <c r="BS55" i="6"/>
  <c r="BS199" i="6"/>
  <c r="BT199" i="6" s="1"/>
  <c r="BS140" i="6"/>
  <c r="BT140" i="6" s="1"/>
  <c r="BS81" i="6"/>
  <c r="BS23" i="6"/>
  <c r="BS167" i="6"/>
  <c r="BT167" i="6" s="1"/>
  <c r="BS72" i="6"/>
  <c r="BS37" i="6"/>
  <c r="BS171" i="6"/>
  <c r="BT171" i="6" s="1"/>
  <c r="BS148" i="6"/>
  <c r="BT148" i="6" s="1"/>
  <c r="BS87" i="6"/>
  <c r="BS160" i="6"/>
  <c r="BT160" i="6" s="1"/>
  <c r="BS14" i="6"/>
  <c r="BS97" i="6"/>
  <c r="BT97" i="6" s="1"/>
  <c r="BS146" i="6"/>
  <c r="BT146" i="6" s="1"/>
  <c r="BS100" i="6"/>
  <c r="BT100" i="6" s="1"/>
  <c r="BS61" i="6"/>
  <c r="BS198" i="6"/>
  <c r="BT198" i="6" s="1"/>
  <c r="BS155" i="6"/>
  <c r="BT155" i="6" s="1"/>
  <c r="BS73" i="6"/>
  <c r="BB73" i="3"/>
  <c r="BC73" i="3"/>
  <c r="BB75" i="3"/>
  <c r="BC75" i="3"/>
  <c r="BB74" i="3"/>
  <c r="BC74" i="3"/>
  <c r="AX31" i="3"/>
  <c r="BA76" i="3"/>
  <c r="BA78" i="3"/>
  <c r="BA77" i="3"/>
  <c r="AM20" i="6"/>
  <c r="AR20" i="6" s="1"/>
  <c r="CH7" i="6"/>
  <c r="D9" i="6"/>
  <c r="CD9" i="6" s="1"/>
  <c r="CK59" i="6" s="1"/>
  <c r="CL59" i="6" s="1"/>
  <c r="CD8" i="6"/>
  <c r="CK58" i="6" s="1"/>
  <c r="CL58" i="6" s="1"/>
  <c r="AI17" i="6"/>
  <c r="CG7" i="6"/>
  <c r="CK57" i="6"/>
  <c r="CL57" i="6" s="1"/>
  <c r="CE7" i="6"/>
  <c r="CF7" i="6"/>
  <c r="CX10" i="6"/>
  <c r="CW9" i="6"/>
  <c r="CX8" i="6"/>
  <c r="CK11" i="6"/>
  <c r="CX11" i="6" s="1"/>
  <c r="CL11" i="6"/>
  <c r="BF8" i="3"/>
  <c r="BF9" i="3"/>
  <c r="BF10" i="3"/>
  <c r="BF11" i="3"/>
  <c r="BF12" i="3"/>
  <c r="BF13" i="3"/>
  <c r="BF14" i="3"/>
  <c r="BF15" i="3"/>
  <c r="BF16" i="3"/>
  <c r="BF17" i="3"/>
  <c r="BF18" i="3"/>
  <c r="BF19" i="3"/>
  <c r="BF20" i="3"/>
  <c r="BF21" i="3"/>
  <c r="BF22" i="3"/>
  <c r="BF23" i="3"/>
  <c r="BF24" i="3"/>
  <c r="BF25" i="3"/>
  <c r="BF7" i="3"/>
  <c r="BF6" i="3"/>
  <c r="CW12" i="6" l="1"/>
  <c r="CX12" i="6"/>
  <c r="BQ160" i="6"/>
  <c r="BQ123" i="6"/>
  <c r="BQ97" i="6"/>
  <c r="BP170" i="6"/>
  <c r="BQ110" i="6"/>
  <c r="BP203" i="6"/>
  <c r="BP173" i="6"/>
  <c r="BP100" i="6"/>
  <c r="BQ115" i="6"/>
  <c r="BP200" i="6"/>
  <c r="BQ107" i="6"/>
  <c r="BQ146" i="6"/>
  <c r="BP139" i="6"/>
  <c r="BQ171" i="6"/>
  <c r="BP108" i="6"/>
  <c r="BP158" i="6"/>
  <c r="BQ120" i="6"/>
  <c r="BP175" i="6"/>
  <c r="BP198" i="6"/>
  <c r="BQ192" i="6"/>
  <c r="BQ187" i="6"/>
  <c r="BQ122" i="6"/>
  <c r="BP168" i="6"/>
  <c r="BQ137" i="6"/>
  <c r="BP132" i="6"/>
  <c r="BQ102" i="6"/>
  <c r="BP114" i="6"/>
  <c r="BQ140" i="6"/>
  <c r="BP157" i="6"/>
  <c r="BP172" i="6"/>
  <c r="BQ149" i="6"/>
  <c r="BP141" i="6"/>
  <c r="BQ124" i="6"/>
  <c r="BQ181" i="6"/>
  <c r="BQ109" i="6"/>
  <c r="BP112" i="6"/>
  <c r="BP129" i="6"/>
  <c r="BP163" i="6"/>
  <c r="BP118" i="6"/>
  <c r="BQ161" i="6"/>
  <c r="BQ179" i="6"/>
  <c r="BP190" i="6"/>
  <c r="BQ169" i="6"/>
  <c r="BP196" i="6"/>
  <c r="BQ165" i="6"/>
  <c r="BP111" i="6"/>
  <c r="BP98" i="6"/>
  <c r="BP153" i="6"/>
  <c r="BP185" i="6"/>
  <c r="BQ131" i="6"/>
  <c r="BQ106" i="6"/>
  <c r="BP134" i="6"/>
  <c r="BQ197" i="6"/>
  <c r="BQ143" i="6"/>
  <c r="BQ104" i="6"/>
  <c r="BP166" i="6"/>
  <c r="BQ135" i="6"/>
  <c r="BP189" i="6"/>
  <c r="BE8" i="6"/>
  <c r="BF8" i="6" s="1"/>
  <c r="BQ125" i="6"/>
  <c r="BP195" i="6"/>
  <c r="BQ162" i="6"/>
  <c r="BP191" i="6"/>
  <c r="BP186" i="6"/>
  <c r="BQ119" i="6"/>
  <c r="BQ199" i="6"/>
  <c r="BQ178" i="6"/>
  <c r="BP150" i="6"/>
  <c r="BQ117" i="6"/>
  <c r="BQ138" i="6"/>
  <c r="BQ144" i="6"/>
  <c r="BP182" i="6"/>
  <c r="BQ99" i="6"/>
  <c r="BP148" i="6"/>
  <c r="BP201" i="6"/>
  <c r="BQ204" i="6"/>
  <c r="BQ156" i="6"/>
  <c r="BQ121" i="6"/>
  <c r="BQ176" i="6"/>
  <c r="BP128" i="6"/>
  <c r="BQ183" i="6"/>
  <c r="BP130" i="6"/>
  <c r="BQ151" i="6"/>
  <c r="BQ194" i="6"/>
  <c r="BP205" i="6"/>
  <c r="BE7" i="6"/>
  <c r="BG7" i="6" s="1"/>
  <c r="BP193" i="6"/>
  <c r="BP155" i="6"/>
  <c r="BP126" i="6"/>
  <c r="BQ145" i="6"/>
  <c r="BP202" i="6"/>
  <c r="BA8" i="6"/>
  <c r="BE12" i="6" s="1"/>
  <c r="BF12" i="6" s="1"/>
  <c r="BQ101" i="6"/>
  <c r="BQ116" i="6"/>
  <c r="BQ167" i="6"/>
  <c r="BQ136" i="6"/>
  <c r="BQ180" i="6"/>
  <c r="BQ127" i="6"/>
  <c r="BQ152" i="6"/>
  <c r="BQ174" i="6"/>
  <c r="BP133" i="6"/>
  <c r="BQ147" i="6"/>
  <c r="BP154" i="6"/>
  <c r="BQ188" i="6"/>
  <c r="BQ103" i="6"/>
  <c r="BP177" i="6"/>
  <c r="BQ113" i="6"/>
  <c r="BP142" i="6"/>
  <c r="BP159" i="6"/>
  <c r="BQ105" i="6"/>
  <c r="BQ164" i="6"/>
  <c r="BQ184" i="6"/>
  <c r="BV88" i="6"/>
  <c r="BU88" i="6"/>
  <c r="BU136" i="6"/>
  <c r="BV136" i="6"/>
  <c r="BU148" i="6"/>
  <c r="BV148" i="6"/>
  <c r="BU122" i="6"/>
  <c r="BV122" i="6"/>
  <c r="BU162" i="6"/>
  <c r="BV162" i="6"/>
  <c r="BV177" i="6"/>
  <c r="BU177" i="6"/>
  <c r="BU126" i="6"/>
  <c r="BV126" i="6"/>
  <c r="BU158" i="6"/>
  <c r="BV158" i="6"/>
  <c r="BU134" i="6"/>
  <c r="BV134" i="6"/>
  <c r="BV138" i="6"/>
  <c r="BU138" i="6"/>
  <c r="BU129" i="6"/>
  <c r="BV129" i="6"/>
  <c r="BU194" i="6"/>
  <c r="BV194" i="6"/>
  <c r="BV164" i="6"/>
  <c r="BU164" i="6"/>
  <c r="BV188" i="6"/>
  <c r="BU188" i="6"/>
  <c r="BV92" i="6"/>
  <c r="BU92" i="6"/>
  <c r="BU106" i="6"/>
  <c r="BV106" i="6"/>
  <c r="BU155" i="6"/>
  <c r="BV155" i="6"/>
  <c r="BU112" i="6"/>
  <c r="BV112" i="6"/>
  <c r="BU205" i="6"/>
  <c r="BV205" i="6"/>
  <c r="BU151" i="6"/>
  <c r="BV151" i="6"/>
  <c r="BU114" i="6"/>
  <c r="BV114" i="6"/>
  <c r="BU185" i="6"/>
  <c r="BV185" i="6"/>
  <c r="BU144" i="6"/>
  <c r="BV144" i="6"/>
  <c r="BU98" i="6"/>
  <c r="BV98" i="6"/>
  <c r="BU132" i="6"/>
  <c r="BV132" i="6"/>
  <c r="BV118" i="6"/>
  <c r="BU118" i="6"/>
  <c r="BV103" i="6"/>
  <c r="BU103" i="6"/>
  <c r="BU125" i="6"/>
  <c r="BV125" i="6"/>
  <c r="BU179" i="6"/>
  <c r="BV179" i="6"/>
  <c r="BU197" i="6"/>
  <c r="BV197" i="6"/>
  <c r="BU149" i="6"/>
  <c r="BV149" i="6"/>
  <c r="BU187" i="6"/>
  <c r="BV187" i="6"/>
  <c r="BU135" i="6"/>
  <c r="BV135" i="6"/>
  <c r="BU171" i="6"/>
  <c r="BV171" i="6"/>
  <c r="BU204" i="6"/>
  <c r="BV204" i="6"/>
  <c r="BU180" i="6"/>
  <c r="BV180" i="6"/>
  <c r="BU182" i="6"/>
  <c r="BV182" i="6"/>
  <c r="BU95" i="6"/>
  <c r="BV95" i="6"/>
  <c r="BU183" i="6"/>
  <c r="BV183" i="6"/>
  <c r="BV201" i="6"/>
  <c r="BU201" i="6"/>
  <c r="BU93" i="6"/>
  <c r="BV93" i="6"/>
  <c r="BU109" i="6"/>
  <c r="BV109" i="6"/>
  <c r="BU89" i="6"/>
  <c r="BV89" i="6"/>
  <c r="BU100" i="6"/>
  <c r="BV100" i="6"/>
  <c r="BU143" i="6"/>
  <c r="BV143" i="6"/>
  <c r="BU150" i="6"/>
  <c r="BV150" i="6"/>
  <c r="BU147" i="6"/>
  <c r="BV147" i="6"/>
  <c r="BV157" i="6"/>
  <c r="BU157" i="6"/>
  <c r="BU153" i="6"/>
  <c r="BV153" i="6"/>
  <c r="BU178" i="6"/>
  <c r="BV178" i="6"/>
  <c r="BU141" i="6"/>
  <c r="BV141" i="6"/>
  <c r="BU110" i="6"/>
  <c r="BV110" i="6"/>
  <c r="BV175" i="6"/>
  <c r="BU175" i="6"/>
  <c r="BV152" i="6"/>
  <c r="BU152" i="6"/>
  <c r="BU131" i="6"/>
  <c r="BV131" i="6"/>
  <c r="BV128" i="6"/>
  <c r="BU128" i="6"/>
  <c r="BU154" i="6"/>
  <c r="BV154" i="6"/>
  <c r="BU102" i="6"/>
  <c r="BV102" i="6"/>
  <c r="BV200" i="6"/>
  <c r="BU200" i="6"/>
  <c r="BU108" i="6"/>
  <c r="BV108" i="6"/>
  <c r="BV169" i="6"/>
  <c r="BU169" i="6"/>
  <c r="BU170" i="6"/>
  <c r="BV170" i="6"/>
  <c r="BV124" i="6"/>
  <c r="BU124" i="6"/>
  <c r="BU190" i="6"/>
  <c r="BV190" i="6"/>
  <c r="BV167" i="6"/>
  <c r="BU167" i="6"/>
  <c r="BV140" i="6"/>
  <c r="BU140" i="6"/>
  <c r="BU97" i="6"/>
  <c r="BV97" i="6"/>
  <c r="BU199" i="6"/>
  <c r="BV199" i="6"/>
  <c r="BU189" i="6"/>
  <c r="BV189" i="6"/>
  <c r="BU181" i="6"/>
  <c r="BV181" i="6"/>
  <c r="BU186" i="6"/>
  <c r="BV186" i="6"/>
  <c r="BU156" i="6"/>
  <c r="BV156" i="6"/>
  <c r="BU172" i="6"/>
  <c r="BV172" i="6"/>
  <c r="BU195" i="6"/>
  <c r="BV195" i="6"/>
  <c r="BU203" i="6"/>
  <c r="BV203" i="6"/>
  <c r="BU94" i="6"/>
  <c r="BV94" i="6"/>
  <c r="BV96" i="6"/>
  <c r="BU96" i="6"/>
  <c r="BU121" i="6"/>
  <c r="BV121" i="6"/>
  <c r="BU145" i="6"/>
  <c r="BV145" i="6"/>
  <c r="BU130" i="6"/>
  <c r="BV130" i="6"/>
  <c r="BU202" i="6"/>
  <c r="BV202" i="6"/>
  <c r="BV174" i="6"/>
  <c r="BU174" i="6"/>
  <c r="BU168" i="6"/>
  <c r="BV168" i="6"/>
  <c r="BU192" i="6"/>
  <c r="BV192" i="6"/>
  <c r="BU166" i="6"/>
  <c r="BV166" i="6"/>
  <c r="BU127" i="6"/>
  <c r="BV127" i="6"/>
  <c r="BV142" i="6"/>
  <c r="BU142" i="6"/>
  <c r="BU115" i="6"/>
  <c r="BV115" i="6"/>
  <c r="BU120" i="6"/>
  <c r="BV120" i="6"/>
  <c r="BU191" i="6"/>
  <c r="BV191" i="6"/>
  <c r="BV113" i="6"/>
  <c r="BU113" i="6"/>
  <c r="BU133" i="6"/>
  <c r="BV133" i="6"/>
  <c r="BU193" i="6"/>
  <c r="BV193" i="6"/>
  <c r="BV116" i="6"/>
  <c r="BU116" i="6"/>
  <c r="BU101" i="6"/>
  <c r="BV101" i="6"/>
  <c r="BV104" i="6"/>
  <c r="BU104" i="6"/>
  <c r="BU107" i="6"/>
  <c r="BV107" i="6"/>
  <c r="BU90" i="6"/>
  <c r="BV90" i="6"/>
  <c r="BU173" i="6"/>
  <c r="BV173" i="6"/>
  <c r="BU161" i="6"/>
  <c r="BV161" i="6"/>
  <c r="BU117" i="6"/>
  <c r="BV117" i="6"/>
  <c r="BU159" i="6"/>
  <c r="BV159" i="6"/>
  <c r="BU184" i="6"/>
  <c r="BV184" i="6"/>
  <c r="BU91" i="6"/>
  <c r="BV91" i="6"/>
  <c r="BU139" i="6"/>
  <c r="BV139" i="6"/>
  <c r="BU137" i="6"/>
  <c r="BV137" i="6"/>
  <c r="BV198" i="6"/>
  <c r="BU198" i="6"/>
  <c r="BU146" i="6"/>
  <c r="BV146" i="6"/>
  <c r="BU160" i="6"/>
  <c r="BV160" i="6"/>
  <c r="BV99" i="6"/>
  <c r="BU99" i="6"/>
  <c r="BU163" i="6"/>
  <c r="BV163" i="6"/>
  <c r="BU119" i="6"/>
  <c r="BV119" i="6"/>
  <c r="BV123" i="6"/>
  <c r="BU123" i="6"/>
  <c r="BU165" i="6"/>
  <c r="BV165" i="6"/>
  <c r="BU196" i="6"/>
  <c r="BV196" i="6"/>
  <c r="BU176" i="6"/>
  <c r="BV176" i="6"/>
  <c r="BU105" i="6"/>
  <c r="BV105" i="6"/>
  <c r="BU111" i="6"/>
  <c r="BV111" i="6"/>
  <c r="L24" i="6"/>
  <c r="N32" i="6" s="1"/>
  <c r="CK32" i="6" s="1"/>
  <c r="CX32" i="6" s="1"/>
  <c r="AX32" i="3"/>
  <c r="BA79" i="3"/>
  <c r="BA80" i="3"/>
  <c r="BA81" i="3"/>
  <c r="BB78" i="3"/>
  <c r="BC78" i="3"/>
  <c r="BB77" i="3"/>
  <c r="BC77" i="3"/>
  <c r="BB76" i="3"/>
  <c r="BC76" i="3"/>
  <c r="N24" i="6"/>
  <c r="AQ20" i="6"/>
  <c r="AS20" i="6" s="1"/>
  <c r="BF9" i="6"/>
  <c r="BG9" i="6"/>
  <c r="I24" i="6"/>
  <c r="G36" i="6" s="1"/>
  <c r="Q24" i="6"/>
  <c r="S35" i="6" s="1"/>
  <c r="CK45" i="6" s="1"/>
  <c r="CX45" i="6" s="1"/>
  <c r="AS7" i="6"/>
  <c r="AM7" i="6" s="1"/>
  <c r="AN7" i="6" s="1"/>
  <c r="V24" i="6"/>
  <c r="CE8" i="6"/>
  <c r="CH8" i="6"/>
  <c r="CE9" i="6"/>
  <c r="CG9" i="6"/>
  <c r="CF9" i="6"/>
  <c r="CG8" i="6"/>
  <c r="CH9" i="6"/>
  <c r="CF8" i="6"/>
  <c r="CW11" i="6"/>
  <c r="AI15" i="3"/>
  <c r="AN63" i="3" l="1"/>
  <c r="AN66" i="3"/>
  <c r="AN68" i="3"/>
  <c r="AN61" i="3"/>
  <c r="AN62" i="3"/>
  <c r="AN64" i="3"/>
  <c r="AN67" i="3"/>
  <c r="AN69" i="3"/>
  <c r="AN60" i="3"/>
  <c r="AN65" i="3"/>
  <c r="BA9" i="6"/>
  <c r="BE15" i="6" s="1"/>
  <c r="BF15" i="6" s="1"/>
  <c r="BE11" i="6"/>
  <c r="BF11" i="6" s="1"/>
  <c r="BG12" i="6"/>
  <c r="BG8" i="6"/>
  <c r="BF7" i="6"/>
  <c r="BF6" i="6" s="1"/>
  <c r="BE10" i="6"/>
  <c r="BG10" i="6" s="1"/>
  <c r="L36" i="6"/>
  <c r="BB81" i="3"/>
  <c r="BC81" i="3"/>
  <c r="BB80" i="3"/>
  <c r="BC80" i="3"/>
  <c r="BB79" i="3"/>
  <c r="BC79" i="3"/>
  <c r="AX33" i="3"/>
  <c r="BA84" i="3"/>
  <c r="BA82" i="3"/>
  <c r="BA83" i="3"/>
  <c r="AT20" i="6"/>
  <c r="AU20" i="6"/>
  <c r="X26" i="6"/>
  <c r="CL46" i="6" s="1"/>
  <c r="S24" i="6"/>
  <c r="Q36" i="6" s="1"/>
  <c r="V36" i="6"/>
  <c r="AO8" i="6"/>
  <c r="AQ8" i="6" s="1"/>
  <c r="AP8" i="6"/>
  <c r="AR8" i="6" s="1"/>
  <c r="AU7" i="6"/>
  <c r="AT7" i="6"/>
  <c r="N33" i="6"/>
  <c r="CK33" i="6" s="1"/>
  <c r="CX33" i="6" s="1"/>
  <c r="CL45" i="6"/>
  <c r="S26" i="6"/>
  <c r="CK36" i="6" s="1"/>
  <c r="CW36" i="6" s="1"/>
  <c r="S34" i="6"/>
  <c r="CK44" i="6" s="1"/>
  <c r="CX44" i="6" s="1"/>
  <c r="N34" i="6"/>
  <c r="CK34" i="6" s="1"/>
  <c r="CX34" i="6" s="1"/>
  <c r="N35" i="6"/>
  <c r="CL35" i="6" s="1"/>
  <c r="CL32" i="6"/>
  <c r="N26" i="6"/>
  <c r="N27" i="6" s="1"/>
  <c r="CK27" i="6" s="1"/>
  <c r="CW27" i="6" s="1"/>
  <c r="I26" i="6"/>
  <c r="I34" i="6"/>
  <c r="I35" i="6"/>
  <c r="CW45" i="6"/>
  <c r="CW32" i="6"/>
  <c r="AI14" i="3"/>
  <c r="AI20" i="3"/>
  <c r="BE14" i="6" l="1"/>
  <c r="BF14" i="6" s="1"/>
  <c r="BE13" i="6"/>
  <c r="BG13" i="6" s="1"/>
  <c r="BA10" i="6"/>
  <c r="BG11" i="6"/>
  <c r="BG15" i="6"/>
  <c r="AN33" i="3"/>
  <c r="AN35" i="3"/>
  <c r="AN37" i="3"/>
  <c r="AN39" i="3"/>
  <c r="AN40" i="3"/>
  <c r="AN32" i="3"/>
  <c r="AN34" i="3"/>
  <c r="AN36" i="3"/>
  <c r="AN38" i="3"/>
  <c r="AN41" i="3"/>
  <c r="AN43" i="3"/>
  <c r="AN44" i="3"/>
  <c r="AN45" i="3"/>
  <c r="AN42" i="3"/>
  <c r="AN46" i="3"/>
  <c r="AN47" i="3"/>
  <c r="BF10" i="6"/>
  <c r="AX34" i="3"/>
  <c r="BA86" i="3"/>
  <c r="BA87" i="3"/>
  <c r="BA85" i="3"/>
  <c r="BB82" i="3"/>
  <c r="BC82" i="3"/>
  <c r="BB83" i="3"/>
  <c r="BC83" i="3"/>
  <c r="BB84" i="3"/>
  <c r="BC84" i="3"/>
  <c r="CK46" i="6"/>
  <c r="CX46" i="6" s="1"/>
  <c r="X27" i="6"/>
  <c r="AS8" i="6"/>
  <c r="AT8" i="6" s="1"/>
  <c r="S27" i="6"/>
  <c r="CL37" i="6" s="1"/>
  <c r="CL36" i="6"/>
  <c r="CL33" i="6"/>
  <c r="CL44" i="6"/>
  <c r="CW33" i="6"/>
  <c r="CW44" i="6"/>
  <c r="CL34" i="6"/>
  <c r="N28" i="6"/>
  <c r="CL28" i="6" s="1"/>
  <c r="CX36" i="6"/>
  <c r="CW34" i="6"/>
  <c r="CL27" i="6"/>
  <c r="CK26" i="6"/>
  <c r="CW26" i="6" s="1"/>
  <c r="CL26" i="6"/>
  <c r="CK35" i="6"/>
  <c r="CX35" i="6" s="1"/>
  <c r="CK25" i="6"/>
  <c r="CL25" i="6"/>
  <c r="CL24" i="6"/>
  <c r="CK24" i="6"/>
  <c r="CK16" i="6"/>
  <c r="CL16" i="6"/>
  <c r="I27" i="6"/>
  <c r="CX27" i="6"/>
  <c r="BG14" i="6" l="1"/>
  <c r="BF13" i="6"/>
  <c r="BE16" i="6"/>
  <c r="BE17" i="6"/>
  <c r="BA11" i="6"/>
  <c r="BE18" i="6"/>
  <c r="CK47" i="6"/>
  <c r="CW47" i="6" s="1"/>
  <c r="X28" i="6"/>
  <c r="BB85" i="3"/>
  <c r="BC85" i="3"/>
  <c r="BB87" i="3"/>
  <c r="BC87" i="3"/>
  <c r="BB86" i="3"/>
  <c r="BC86" i="3"/>
  <c r="AX35" i="3"/>
  <c r="BA88" i="3"/>
  <c r="BA90" i="3"/>
  <c r="BA89" i="3"/>
  <c r="CL47" i="6"/>
  <c r="CW46" i="6"/>
  <c r="N29" i="6"/>
  <c r="CL29" i="6" s="1"/>
  <c r="S28" i="6"/>
  <c r="CK37" i="6"/>
  <c r="CX37" i="6" s="1"/>
  <c r="AU8" i="6"/>
  <c r="CX26" i="6"/>
  <c r="CK28" i="6"/>
  <c r="CW28" i="6" s="1"/>
  <c r="CW35" i="6"/>
  <c r="CW24" i="6"/>
  <c r="CX24" i="6"/>
  <c r="CK17" i="6"/>
  <c r="I28" i="6"/>
  <c r="I29" i="6" s="1"/>
  <c r="CK19" i="6" s="1"/>
  <c r="CL17" i="6"/>
  <c r="CW16" i="6"/>
  <c r="CX16" i="6"/>
  <c r="CW25" i="6"/>
  <c r="CX25" i="6"/>
  <c r="I30" i="6"/>
  <c r="CL20" i="6" s="1"/>
  <c r="N30" i="6"/>
  <c r="CL30" i="6" s="1"/>
  <c r="I31" i="6"/>
  <c r="CL21" i="6" s="1"/>
  <c r="BG18" i="6" l="1"/>
  <c r="BF18" i="6"/>
  <c r="BE20" i="6"/>
  <c r="BA12" i="6"/>
  <c r="BE21" i="6"/>
  <c r="BE19" i="6"/>
  <c r="BG17" i="6"/>
  <c r="BF17" i="6"/>
  <c r="BG16" i="6"/>
  <c r="BF16" i="6"/>
  <c r="CK29" i="6"/>
  <c r="CW29" i="6" s="1"/>
  <c r="CX47" i="6"/>
  <c r="X29" i="6"/>
  <c r="CK48" i="6"/>
  <c r="CL48" i="6"/>
  <c r="BB89" i="3"/>
  <c r="BC89" i="3"/>
  <c r="AX36" i="3"/>
  <c r="BA91" i="3"/>
  <c r="BA92" i="3"/>
  <c r="BA93" i="3"/>
  <c r="BB88" i="3"/>
  <c r="BC88" i="3"/>
  <c r="BB90" i="3"/>
  <c r="BC90" i="3"/>
  <c r="CL19" i="6"/>
  <c r="N31" i="6"/>
  <c r="CL31" i="6" s="1"/>
  <c r="CL38" i="6"/>
  <c r="S29" i="6"/>
  <c r="S30" i="6" s="1"/>
  <c r="CL40" i="6" s="1"/>
  <c r="CK38" i="6"/>
  <c r="CX38" i="6" s="1"/>
  <c r="CW37" i="6"/>
  <c r="CX28" i="6"/>
  <c r="CK18" i="6"/>
  <c r="CL18" i="6"/>
  <c r="CX17" i="6"/>
  <c r="CW17" i="6"/>
  <c r="CK30" i="6"/>
  <c r="CX30" i="6" s="1"/>
  <c r="CK20" i="6"/>
  <c r="CX20" i="6" s="1"/>
  <c r="CX19" i="6"/>
  <c r="CW19" i="6"/>
  <c r="CK21" i="6"/>
  <c r="I32" i="6"/>
  <c r="CL22" i="6" s="1"/>
  <c r="S31" i="6"/>
  <c r="CL41" i="6" s="1"/>
  <c r="I5" i="3"/>
  <c r="AM50" i="3" s="1"/>
  <c r="CX29" i="6" l="1"/>
  <c r="BG19" i="6"/>
  <c r="BF19" i="6"/>
  <c r="BG21" i="6"/>
  <c r="BF21" i="6"/>
  <c r="BA13" i="6"/>
  <c r="BE23" i="6"/>
  <c r="BE22" i="6"/>
  <c r="BE24" i="6"/>
  <c r="BF20" i="6"/>
  <c r="BG20" i="6"/>
  <c r="CW48" i="6"/>
  <c r="CX48" i="6"/>
  <c r="X30" i="6"/>
  <c r="CK49" i="6"/>
  <c r="CL49" i="6"/>
  <c r="BB93" i="3"/>
  <c r="BC93" i="3"/>
  <c r="BB92" i="3"/>
  <c r="BC92" i="3"/>
  <c r="BB91" i="3"/>
  <c r="BC91" i="3"/>
  <c r="AX37" i="3"/>
  <c r="BA94" i="3"/>
  <c r="BA95" i="3"/>
  <c r="BA96" i="3"/>
  <c r="BG6" i="3"/>
  <c r="I6" i="3"/>
  <c r="CK40" i="6"/>
  <c r="CW40" i="6" s="1"/>
  <c r="CK31" i="6"/>
  <c r="CX31" i="6" s="1"/>
  <c r="CL39" i="6"/>
  <c r="CK39" i="6"/>
  <c r="CW38" i="6"/>
  <c r="CW18" i="6"/>
  <c r="CX18" i="6"/>
  <c r="CW20" i="6"/>
  <c r="CW30" i="6"/>
  <c r="CX21" i="6"/>
  <c r="CW21" i="6"/>
  <c r="CK41" i="6"/>
  <c r="S32" i="6"/>
  <c r="CL42" i="6" s="1"/>
  <c r="CK22" i="6"/>
  <c r="I33" i="6"/>
  <c r="BE7" i="3"/>
  <c r="BE6" i="3"/>
  <c r="BG24" i="6" l="1"/>
  <c r="BF24" i="6"/>
  <c r="BF23" i="6"/>
  <c r="BG23" i="6"/>
  <c r="BA14" i="6"/>
  <c r="BE26" i="6"/>
  <c r="BE27" i="6"/>
  <c r="BE25" i="6"/>
  <c r="BF22" i="6"/>
  <c r="BG22" i="6"/>
  <c r="CX49" i="6"/>
  <c r="CW49" i="6"/>
  <c r="X31" i="6"/>
  <c r="CK50" i="6"/>
  <c r="CL50" i="6"/>
  <c r="AM29" i="3"/>
  <c r="AM51" i="3"/>
  <c r="BB94" i="3"/>
  <c r="BC94" i="3"/>
  <c r="BB96" i="3"/>
  <c r="BC96" i="3"/>
  <c r="BB95" i="3"/>
  <c r="BC95" i="3"/>
  <c r="AX38" i="3"/>
  <c r="BA97" i="3"/>
  <c r="BA99" i="3"/>
  <c r="BA98" i="3"/>
  <c r="CX40" i="6"/>
  <c r="CW31" i="6"/>
  <c r="CX39" i="6"/>
  <c r="CW39" i="6"/>
  <c r="CK23" i="6"/>
  <c r="CW23" i="6" s="1"/>
  <c r="CL23" i="6"/>
  <c r="CW41" i="6"/>
  <c r="CX41" i="6"/>
  <c r="CX22" i="6"/>
  <c r="CW22" i="6"/>
  <c r="CK42" i="6"/>
  <c r="S33" i="6"/>
  <c r="BE8" i="3"/>
  <c r="BG7" i="3"/>
  <c r="I7" i="3"/>
  <c r="AM52" i="3" s="1"/>
  <c r="AI21" i="3"/>
  <c r="BG25" i="6" l="1"/>
  <c r="BF25" i="6"/>
  <c r="BG27" i="6"/>
  <c r="BF27" i="6"/>
  <c r="BF26" i="6"/>
  <c r="BG26" i="6"/>
  <c r="BE29" i="6"/>
  <c r="BE28" i="6"/>
  <c r="BA15" i="6"/>
  <c r="BE30" i="6"/>
  <c r="CX50" i="6"/>
  <c r="CW50" i="6"/>
  <c r="X32" i="6"/>
  <c r="CL51" i="6"/>
  <c r="CK51" i="6"/>
  <c r="BB99" i="3"/>
  <c r="BC99" i="3"/>
  <c r="AX39" i="3"/>
  <c r="BA100" i="3"/>
  <c r="BA101" i="3"/>
  <c r="BA102" i="3"/>
  <c r="BB98" i="3"/>
  <c r="BC98" i="3"/>
  <c r="BB97" i="3"/>
  <c r="BC97" i="3"/>
  <c r="AN20" i="3"/>
  <c r="B19" i="3"/>
  <c r="F25" i="3"/>
  <c r="BF26" i="3" s="1"/>
  <c r="CX23" i="6"/>
  <c r="CK43" i="6"/>
  <c r="CX43" i="6" s="1"/>
  <c r="CL43" i="6"/>
  <c r="BG26" i="3"/>
  <c r="CX42" i="6"/>
  <c r="CW42" i="6"/>
  <c r="BE9" i="3"/>
  <c r="BG8" i="3"/>
  <c r="BE27" i="3"/>
  <c r="I8" i="3"/>
  <c r="BG30" i="6" l="1"/>
  <c r="BF30" i="6"/>
  <c r="BF28" i="6"/>
  <c r="BG28" i="6"/>
  <c r="BG29" i="6"/>
  <c r="BF29" i="6"/>
  <c r="BE31" i="6"/>
  <c r="BE33" i="6"/>
  <c r="BA16" i="6"/>
  <c r="BE32" i="6"/>
  <c r="X33" i="6"/>
  <c r="CL52" i="6"/>
  <c r="CK52" i="6"/>
  <c r="CX51" i="6"/>
  <c r="CW51" i="6"/>
  <c r="AM20" i="3"/>
  <c r="AQ20" i="3" s="1"/>
  <c r="AM31" i="3"/>
  <c r="AM53" i="3"/>
  <c r="BB102" i="3"/>
  <c r="BC102" i="3"/>
  <c r="BB101" i="3"/>
  <c r="BC101" i="3"/>
  <c r="BB100" i="3"/>
  <c r="BC100" i="3"/>
  <c r="AX40" i="3"/>
  <c r="BA103" i="3"/>
  <c r="BA104" i="3"/>
  <c r="BA105" i="3"/>
  <c r="CW43" i="6"/>
  <c r="BE10" i="3"/>
  <c r="BG9" i="3"/>
  <c r="BE26" i="3"/>
  <c r="I9" i="3"/>
  <c r="BG32" i="6" l="1"/>
  <c r="BF32" i="6"/>
  <c r="BG33" i="6"/>
  <c r="BF33" i="6"/>
  <c r="BG31" i="6"/>
  <c r="BF31" i="6"/>
  <c r="BE36" i="6"/>
  <c r="BE35" i="6"/>
  <c r="BE34" i="6"/>
  <c r="BA17" i="6"/>
  <c r="AM54" i="3"/>
  <c r="AM32" i="3"/>
  <c r="AR20" i="3"/>
  <c r="CW52" i="6"/>
  <c r="CX52" i="6"/>
  <c r="CL53" i="6"/>
  <c r="CK53" i="6"/>
  <c r="BB104" i="3"/>
  <c r="BC104" i="3"/>
  <c r="BB103" i="3"/>
  <c r="BC103" i="3"/>
  <c r="BB105" i="3"/>
  <c r="BC105" i="3"/>
  <c r="AX41" i="3"/>
  <c r="BA107" i="3"/>
  <c r="BA106" i="3"/>
  <c r="BA108" i="3"/>
  <c r="BE11" i="3"/>
  <c r="BG10" i="3"/>
  <c r="I10" i="3"/>
  <c r="BG34" i="6" l="1"/>
  <c r="BF34" i="6"/>
  <c r="BF35" i="6"/>
  <c r="BG35" i="6"/>
  <c r="BE38" i="6"/>
  <c r="BA18" i="6"/>
  <c r="BE37" i="6"/>
  <c r="BE39" i="6"/>
  <c r="BF36" i="6"/>
  <c r="BG36" i="6"/>
  <c r="CW53" i="6"/>
  <c r="CX53" i="6"/>
  <c r="CU60" i="6"/>
  <c r="CV60" i="6" s="1"/>
  <c r="AI15" i="6"/>
  <c r="AM33" i="3"/>
  <c r="AM55" i="3"/>
  <c r="BB108" i="3"/>
  <c r="BC108" i="3"/>
  <c r="BB106" i="3"/>
  <c r="BC106" i="3"/>
  <c r="BB107" i="3"/>
  <c r="BC107" i="3"/>
  <c r="AX42" i="3"/>
  <c r="BA109" i="3"/>
  <c r="BA110" i="3"/>
  <c r="BA111" i="3"/>
  <c r="BE12" i="3"/>
  <c r="BG11" i="3"/>
  <c r="I11" i="3"/>
  <c r="BF38" i="6" l="1"/>
  <c r="BG38" i="6"/>
  <c r="BG37" i="6"/>
  <c r="BF37" i="6"/>
  <c r="BF39" i="6"/>
  <c r="BG39" i="6"/>
  <c r="BE42" i="6"/>
  <c r="BE40" i="6"/>
  <c r="BA19" i="6"/>
  <c r="BE41" i="6"/>
  <c r="CT4" i="6"/>
  <c r="CO48" i="6"/>
  <c r="CM42" i="6"/>
  <c r="CN24" i="6"/>
  <c r="CQ24" i="6" s="1"/>
  <c r="CM18" i="6"/>
  <c r="CN13" i="6"/>
  <c r="CQ13" i="6" s="1"/>
  <c r="CM15" i="6"/>
  <c r="CO51" i="6"/>
  <c r="CO23" i="6"/>
  <c r="CN51" i="6"/>
  <c r="CQ51" i="6" s="1"/>
  <c r="CP36" i="6"/>
  <c r="CN29" i="6"/>
  <c r="CQ29" i="6" s="1"/>
  <c r="CO35" i="6"/>
  <c r="CN18" i="6"/>
  <c r="CQ18" i="6" s="1"/>
  <c r="CN21" i="6"/>
  <c r="CQ21" i="6" s="1"/>
  <c r="CN8" i="6"/>
  <c r="CQ8" i="6" s="1"/>
  <c r="CP47" i="6"/>
  <c r="CO6" i="6"/>
  <c r="CM52" i="6"/>
  <c r="CO7" i="6"/>
  <c r="CM43" i="6"/>
  <c r="CO32" i="6"/>
  <c r="CP11" i="6"/>
  <c r="CM39" i="6"/>
  <c r="CO46" i="6"/>
  <c r="CN11" i="6"/>
  <c r="CQ11" i="6" s="1"/>
  <c r="CM44" i="6"/>
  <c r="CN36" i="6"/>
  <c r="CQ36" i="6" s="1"/>
  <c r="CN33" i="6"/>
  <c r="CQ33" i="6" s="1"/>
  <c r="CN25" i="6"/>
  <c r="CQ25" i="6" s="1"/>
  <c r="CM51" i="6"/>
  <c r="CN14" i="6"/>
  <c r="CQ14" i="6" s="1"/>
  <c r="CP17" i="6"/>
  <c r="CM14" i="6"/>
  <c r="CM9" i="6"/>
  <c r="CN41" i="6"/>
  <c r="CQ41" i="6" s="1"/>
  <c r="CN46" i="6"/>
  <c r="CQ46" i="6" s="1"/>
  <c r="CN30" i="6"/>
  <c r="CQ30" i="6" s="1"/>
  <c r="CP48" i="6"/>
  <c r="CN20" i="6"/>
  <c r="CQ20" i="6" s="1"/>
  <c r="CO10" i="6"/>
  <c r="CP6" i="6"/>
  <c r="CP44" i="6"/>
  <c r="CN28" i="6"/>
  <c r="CQ28" i="6" s="1"/>
  <c r="CO9" i="6"/>
  <c r="CO44" i="6"/>
  <c r="CN23" i="6"/>
  <c r="CQ23" i="6" s="1"/>
  <c r="CN10" i="6"/>
  <c r="CQ10" i="6" s="1"/>
  <c r="CN48" i="6"/>
  <c r="CQ48" i="6" s="1"/>
  <c r="CO47" i="6"/>
  <c r="CN37" i="6"/>
  <c r="CQ37" i="6" s="1"/>
  <c r="CP45" i="6"/>
  <c r="CN26" i="6"/>
  <c r="CQ26" i="6" s="1"/>
  <c r="CP29" i="6"/>
  <c r="CM26" i="6"/>
  <c r="CP7" i="6"/>
  <c r="CN53" i="6"/>
  <c r="CQ53" i="6" s="1"/>
  <c r="CM33" i="6"/>
  <c r="CN42" i="6"/>
  <c r="CQ42" i="6" s="1"/>
  <c r="CN22" i="6"/>
  <c r="CQ22" i="6" s="1"/>
  <c r="CN32" i="6"/>
  <c r="CQ32" i="6" s="1"/>
  <c r="CO22" i="6"/>
  <c r="CN6" i="6"/>
  <c r="CQ6" i="6" s="1"/>
  <c r="CP34" i="6"/>
  <c r="CP33" i="6"/>
  <c r="CO15" i="6"/>
  <c r="CO53" i="6"/>
  <c r="CM30" i="6"/>
  <c r="CN35" i="6"/>
  <c r="CQ35" i="6" s="1"/>
  <c r="CP14" i="6"/>
  <c r="CM11" i="6"/>
  <c r="CM45" i="6"/>
  <c r="CN49" i="6"/>
  <c r="CQ49" i="6" s="1"/>
  <c r="CM54" i="6"/>
  <c r="CN38" i="6"/>
  <c r="CQ38" i="6" s="1"/>
  <c r="CP41" i="6"/>
  <c r="CM38" i="6"/>
  <c r="CP19" i="6"/>
  <c r="CM16" i="6"/>
  <c r="CP8" i="6"/>
  <c r="CN54" i="6"/>
  <c r="CQ54" i="6" s="1"/>
  <c r="CM21" i="6"/>
  <c r="CN44" i="6"/>
  <c r="CQ44" i="6" s="1"/>
  <c r="CO34" i="6"/>
  <c r="CM41" i="6"/>
  <c r="CM53" i="6"/>
  <c r="CP9" i="6"/>
  <c r="CN55" i="6"/>
  <c r="CQ55" i="6" s="1"/>
  <c r="CO49" i="6"/>
  <c r="CO54" i="6"/>
  <c r="CM20" i="6"/>
  <c r="CN47" i="6"/>
  <c r="CQ47" i="6" s="1"/>
  <c r="CP26" i="6"/>
  <c r="CM23" i="6"/>
  <c r="CP15" i="6"/>
  <c r="CM12" i="6"/>
  <c r="CO11" i="6"/>
  <c r="CN50" i="6"/>
  <c r="CQ50" i="6" s="1"/>
  <c r="CP53" i="6"/>
  <c r="CM50" i="6"/>
  <c r="CP31" i="6"/>
  <c r="CM28" i="6"/>
  <c r="CP20" i="6"/>
  <c r="CM17" i="6"/>
  <c r="CP10" i="6"/>
  <c r="CM7" i="6"/>
  <c r="CN9" i="6"/>
  <c r="CQ9" i="6" s="1"/>
  <c r="CP24" i="6"/>
  <c r="CO40" i="6"/>
  <c r="CP21" i="6"/>
  <c r="CO43" i="6"/>
  <c r="CP13" i="6"/>
  <c r="CM10" i="6"/>
  <c r="CP38" i="6"/>
  <c r="CM35" i="6"/>
  <c r="CP27" i="6"/>
  <c r="CM24" i="6"/>
  <c r="CP16" i="6"/>
  <c r="CM25" i="6"/>
  <c r="CO16" i="6"/>
  <c r="CP42" i="6"/>
  <c r="CP43" i="6"/>
  <c r="CM40" i="6"/>
  <c r="CP32" i="6"/>
  <c r="CM29" i="6"/>
  <c r="CP22" i="6"/>
  <c r="CM19" i="6"/>
  <c r="CN45" i="6"/>
  <c r="CQ45" i="6" s="1"/>
  <c r="CP55" i="6"/>
  <c r="CP46" i="6"/>
  <c r="CN34" i="6"/>
  <c r="CQ34" i="6" s="1"/>
  <c r="CM55" i="6"/>
  <c r="CO42" i="6"/>
  <c r="CO27" i="6"/>
  <c r="CO33" i="6"/>
  <c r="CP25" i="6"/>
  <c r="CM22" i="6"/>
  <c r="CP50" i="6"/>
  <c r="CM47" i="6"/>
  <c r="CP39" i="6"/>
  <c r="CM36" i="6"/>
  <c r="CP28" i="6"/>
  <c r="CM49" i="6"/>
  <c r="CO28" i="6"/>
  <c r="CO29" i="6"/>
  <c r="CM31" i="6"/>
  <c r="CO19" i="6"/>
  <c r="CO31" i="6"/>
  <c r="CO17" i="6"/>
  <c r="CP37" i="6"/>
  <c r="CM34" i="6"/>
  <c r="CO13" i="6"/>
  <c r="CP30" i="6"/>
  <c r="CP51" i="6"/>
  <c r="CM48" i="6"/>
  <c r="CP40" i="6"/>
  <c r="CP54" i="6"/>
  <c r="CO18" i="6"/>
  <c r="CO21" i="6"/>
  <c r="CO38" i="6"/>
  <c r="CO8" i="6"/>
  <c r="CP49" i="6"/>
  <c r="CM46" i="6"/>
  <c r="CO25" i="6"/>
  <c r="CO41" i="6"/>
  <c r="CO14" i="6"/>
  <c r="CM13" i="6"/>
  <c r="CP52" i="6"/>
  <c r="CN52" i="6"/>
  <c r="CQ52" i="6" s="1"/>
  <c r="CO52" i="6"/>
  <c r="CM27" i="6"/>
  <c r="CO30" i="6"/>
  <c r="CN19" i="6"/>
  <c r="CQ19" i="6" s="1"/>
  <c r="CN43" i="6"/>
  <c r="CQ43" i="6" s="1"/>
  <c r="CO12" i="6"/>
  <c r="CP18" i="6"/>
  <c r="CO37" i="6"/>
  <c r="CN40" i="6"/>
  <c r="CQ40" i="6" s="1"/>
  <c r="CO26" i="6"/>
  <c r="CM37" i="6"/>
  <c r="CN15" i="6"/>
  <c r="CQ15" i="6" s="1"/>
  <c r="CO24" i="6"/>
  <c r="CN27" i="6"/>
  <c r="CQ27" i="6" s="1"/>
  <c r="CP23" i="6"/>
  <c r="CO36" i="6"/>
  <c r="CO20" i="6"/>
  <c r="CN12" i="6"/>
  <c r="CQ12" i="6" s="1"/>
  <c r="CN7" i="6"/>
  <c r="CQ7" i="6" s="1"/>
  <c r="CO50" i="6"/>
  <c r="CN16" i="6"/>
  <c r="CQ16" i="6" s="1"/>
  <c r="CO39" i="6"/>
  <c r="CM8" i="6"/>
  <c r="CN39" i="6"/>
  <c r="CQ39" i="6" s="1"/>
  <c r="CM32" i="6"/>
  <c r="CN17" i="6"/>
  <c r="CQ17" i="6" s="1"/>
  <c r="CP12" i="6"/>
  <c r="CO55" i="6"/>
  <c r="CN31" i="6"/>
  <c r="CQ31" i="6" s="1"/>
  <c r="CO45" i="6"/>
  <c r="CP35" i="6"/>
  <c r="CM6" i="6"/>
  <c r="AM56" i="3"/>
  <c r="AM34" i="3"/>
  <c r="BB110" i="3"/>
  <c r="BC110" i="3"/>
  <c r="BB109" i="3"/>
  <c r="BC109" i="3"/>
  <c r="BB111" i="3"/>
  <c r="BC111" i="3"/>
  <c r="AX43" i="3"/>
  <c r="BA112" i="3"/>
  <c r="BA114" i="3"/>
  <c r="BA113" i="3"/>
  <c r="BG12" i="3"/>
  <c r="BE13" i="3"/>
  <c r="I12" i="3"/>
  <c r="BF41" i="6" l="1"/>
  <c r="BG41" i="6"/>
  <c r="BE45" i="6"/>
  <c r="BE43" i="6"/>
  <c r="BA20" i="6"/>
  <c r="BE44" i="6"/>
  <c r="BG40" i="6"/>
  <c r="BF40" i="6"/>
  <c r="BF42" i="6"/>
  <c r="BG42" i="6"/>
  <c r="CS16" i="6"/>
  <c r="CS32" i="6"/>
  <c r="CS41" i="6"/>
  <c r="CS61" i="6"/>
  <c r="CR46" i="6"/>
  <c r="CS6" i="6"/>
  <c r="CS22" i="6"/>
  <c r="CR18" i="6"/>
  <c r="CR51" i="6"/>
  <c r="CS50" i="6"/>
  <c r="CR27" i="6"/>
  <c r="CS25" i="6"/>
  <c r="CS28" i="6"/>
  <c r="CS56" i="6"/>
  <c r="CS53" i="6"/>
  <c r="CS38" i="6"/>
  <c r="CR58" i="6"/>
  <c r="CS9" i="6"/>
  <c r="CS34" i="6"/>
  <c r="CS15" i="6"/>
  <c r="CS12" i="6"/>
  <c r="CR42" i="6"/>
  <c r="CS40" i="6"/>
  <c r="CR24" i="6"/>
  <c r="CR9" i="6"/>
  <c r="CR54" i="6"/>
  <c r="CS31" i="6"/>
  <c r="CS21" i="6"/>
  <c r="CS46" i="6"/>
  <c r="CR7" i="6"/>
  <c r="CS24" i="6"/>
  <c r="CS51" i="6"/>
  <c r="CR61" i="6"/>
  <c r="CS52" i="6"/>
  <c r="CR60" i="6"/>
  <c r="CR21" i="6"/>
  <c r="CS27" i="6"/>
  <c r="CS43" i="6"/>
  <c r="CS33" i="6"/>
  <c r="CS58" i="6"/>
  <c r="CR43" i="6"/>
  <c r="CS36" i="6"/>
  <c r="CR31" i="6"/>
  <c r="CR53" i="6"/>
  <c r="CR8" i="6"/>
  <c r="CS13" i="6"/>
  <c r="CR33" i="6"/>
  <c r="CR55" i="6"/>
  <c r="CR23" i="6"/>
  <c r="CS45" i="6"/>
  <c r="CR14" i="6"/>
  <c r="CS11" i="6"/>
  <c r="CS48" i="6"/>
  <c r="CS20" i="6"/>
  <c r="CR20" i="6"/>
  <c r="CR17" i="6"/>
  <c r="CR45" i="6"/>
  <c r="CS18" i="6"/>
  <c r="CR47" i="6"/>
  <c r="CS57" i="6"/>
  <c r="CR26" i="6"/>
  <c r="CS23" i="6"/>
  <c r="CS60" i="6"/>
  <c r="CR22" i="6"/>
  <c r="CR32" i="6"/>
  <c r="CS14" i="6"/>
  <c r="CR57" i="6"/>
  <c r="CS30" i="6"/>
  <c r="CS8" i="6"/>
  <c r="CR13" i="6"/>
  <c r="CR38" i="6"/>
  <c r="CS35" i="6"/>
  <c r="CR16" i="6"/>
  <c r="CS55" i="6"/>
  <c r="CR44" i="6"/>
  <c r="CR30" i="6"/>
  <c r="CS19" i="6"/>
  <c r="CS42" i="6"/>
  <c r="CS44" i="6"/>
  <c r="CR25" i="6"/>
  <c r="CR50" i="6"/>
  <c r="CS47" i="6"/>
  <c r="CR28" i="6"/>
  <c r="CS17" i="6"/>
  <c r="CR56" i="6"/>
  <c r="CS39" i="6"/>
  <c r="CR11" i="6"/>
  <c r="CS54" i="6"/>
  <c r="CR12" i="6"/>
  <c r="CR37" i="6"/>
  <c r="CR6" i="6"/>
  <c r="CS59" i="6"/>
  <c r="CR40" i="6"/>
  <c r="CS7" i="6"/>
  <c r="CR19" i="6"/>
  <c r="CR59" i="6"/>
  <c r="CR10" i="6"/>
  <c r="CR36" i="6"/>
  <c r="CR49" i="6"/>
  <c r="CS37" i="6"/>
  <c r="CR15" i="6"/>
  <c r="CR52" i="6"/>
  <c r="CS49" i="6"/>
  <c r="CR35" i="6"/>
  <c r="CS29" i="6"/>
  <c r="CR48" i="6"/>
  <c r="CR34" i="6"/>
  <c r="CR41" i="6"/>
  <c r="CS10" i="6"/>
  <c r="CS26" i="6"/>
  <c r="CR39" i="6"/>
  <c r="CR29" i="6"/>
  <c r="AM35" i="3"/>
  <c r="AM57" i="3"/>
  <c r="AX44" i="3"/>
  <c r="BA115" i="3"/>
  <c r="BA116" i="3"/>
  <c r="BA117" i="3"/>
  <c r="BB113" i="3"/>
  <c r="BC113" i="3"/>
  <c r="BB112" i="3"/>
  <c r="BC112" i="3"/>
  <c r="BB114" i="3"/>
  <c r="BC114" i="3"/>
  <c r="BG13" i="3"/>
  <c r="BE14" i="3"/>
  <c r="I13" i="3"/>
  <c r="AM58" i="3" s="1"/>
  <c r="BF44" i="6" l="1"/>
  <c r="BG44" i="6"/>
  <c r="BE46" i="6"/>
  <c r="BA21" i="6"/>
  <c r="BE47" i="6"/>
  <c r="BE48" i="6"/>
  <c r="BG43" i="6"/>
  <c r="BF43" i="6"/>
  <c r="BG45" i="6"/>
  <c r="BF45" i="6"/>
  <c r="AN31" i="3"/>
  <c r="CT17" i="6"/>
  <c r="CU17" i="6"/>
  <c r="CV17" i="6" s="1"/>
  <c r="CT35" i="6"/>
  <c r="CU35" i="6"/>
  <c r="CV35" i="6" s="1"/>
  <c r="CT57" i="6"/>
  <c r="CU57" i="6"/>
  <c r="CV57" i="6" s="1"/>
  <c r="CT25" i="6"/>
  <c r="CU25" i="6"/>
  <c r="CV25" i="6" s="1"/>
  <c r="CT13" i="6"/>
  <c r="CU13" i="6"/>
  <c r="CV13" i="6" s="1"/>
  <c r="CT8" i="6"/>
  <c r="CU8" i="6"/>
  <c r="CV8" i="6" s="1"/>
  <c r="CT12" i="6"/>
  <c r="CU12" i="6"/>
  <c r="CV12" i="6" s="1"/>
  <c r="CT29" i="6"/>
  <c r="CU29" i="6"/>
  <c r="CV29" i="6" s="1"/>
  <c r="CT59" i="6"/>
  <c r="CU59" i="6"/>
  <c r="CV59" i="6" s="1"/>
  <c r="CT30" i="6"/>
  <c r="CU30" i="6"/>
  <c r="CV30" i="6" s="1"/>
  <c r="CT51" i="6"/>
  <c r="CU51" i="6"/>
  <c r="CV51" i="6" s="1"/>
  <c r="CT15" i="6"/>
  <c r="CU15" i="6"/>
  <c r="CV15" i="6" s="1"/>
  <c r="CT24" i="6"/>
  <c r="CU24" i="6"/>
  <c r="CV24" i="6" s="1"/>
  <c r="CT34" i="6"/>
  <c r="CU34" i="6"/>
  <c r="CV34" i="6" s="1"/>
  <c r="CT22" i="6"/>
  <c r="CU22" i="6"/>
  <c r="CV22" i="6" s="1"/>
  <c r="CT47" i="6"/>
  <c r="CU47" i="6"/>
  <c r="CV47" i="6" s="1"/>
  <c r="CT52" i="6"/>
  <c r="CU52" i="6"/>
  <c r="CV52" i="6" s="1"/>
  <c r="CT49" i="6"/>
  <c r="CU49" i="6"/>
  <c r="CV49" i="6" s="1"/>
  <c r="CT20" i="6"/>
  <c r="CU20" i="6"/>
  <c r="CV20" i="6" s="1"/>
  <c r="CT36" i="6"/>
  <c r="CU36" i="6"/>
  <c r="CV36" i="6" s="1"/>
  <c r="CT9" i="6"/>
  <c r="CU9" i="6"/>
  <c r="CV9" i="6" s="1"/>
  <c r="CV6" i="6"/>
  <c r="CU6" i="6"/>
  <c r="CT6" i="6"/>
  <c r="CT18" i="6"/>
  <c r="CU18" i="6"/>
  <c r="CV18" i="6" s="1"/>
  <c r="CT14" i="6"/>
  <c r="CU14" i="6"/>
  <c r="CV14" i="6" s="1"/>
  <c r="CT19" i="6"/>
  <c r="CU19" i="6"/>
  <c r="CV19" i="6" s="1"/>
  <c r="CT48" i="6"/>
  <c r="CU48" i="6"/>
  <c r="CV48" i="6" s="1"/>
  <c r="CT46" i="6"/>
  <c r="CU46" i="6"/>
  <c r="CV46" i="6" s="1"/>
  <c r="CT40" i="6"/>
  <c r="CU40" i="6"/>
  <c r="CV40" i="6" s="1"/>
  <c r="CT54" i="6"/>
  <c r="CU54" i="6"/>
  <c r="CV54" i="6" s="1"/>
  <c r="CT11" i="6"/>
  <c r="CU11" i="6"/>
  <c r="CV11" i="6" s="1"/>
  <c r="CT58" i="6"/>
  <c r="CU58" i="6"/>
  <c r="CV58" i="6" s="1"/>
  <c r="CT21" i="6"/>
  <c r="CU21" i="6"/>
  <c r="CV21" i="6" s="1"/>
  <c r="CT38" i="6"/>
  <c r="CU38" i="6"/>
  <c r="CV38" i="6" s="1"/>
  <c r="CT44" i="6"/>
  <c r="CU44" i="6"/>
  <c r="CV44" i="6" s="1"/>
  <c r="CT42" i="6"/>
  <c r="CU42" i="6"/>
  <c r="CV42" i="6" s="1"/>
  <c r="CT37" i="6"/>
  <c r="CU37" i="6"/>
  <c r="CV37" i="6" s="1"/>
  <c r="CT33" i="6"/>
  <c r="CU33" i="6"/>
  <c r="CV33" i="6" s="1"/>
  <c r="CT31" i="6"/>
  <c r="CU31" i="6"/>
  <c r="CV31" i="6" s="1"/>
  <c r="CT53" i="6"/>
  <c r="CU53" i="6"/>
  <c r="CV53" i="6" s="1"/>
  <c r="CT41" i="6"/>
  <c r="CU41" i="6"/>
  <c r="CV41" i="6" s="1"/>
  <c r="CT7" i="6"/>
  <c r="CU7" i="6"/>
  <c r="CV7" i="6" s="1"/>
  <c r="CT50" i="6"/>
  <c r="CU50" i="6"/>
  <c r="CV50" i="6" s="1"/>
  <c r="CT26" i="6"/>
  <c r="CU26" i="6"/>
  <c r="CV26" i="6" s="1"/>
  <c r="CT39" i="6"/>
  <c r="CU39" i="6"/>
  <c r="CV39" i="6" s="1"/>
  <c r="CT55" i="6"/>
  <c r="CU55" i="6"/>
  <c r="CV55" i="6" s="1"/>
  <c r="CT23" i="6"/>
  <c r="CU23" i="6"/>
  <c r="CV23" i="6" s="1"/>
  <c r="CT45" i="6"/>
  <c r="CU45" i="6"/>
  <c r="CV45" i="6" s="1"/>
  <c r="CT43" i="6"/>
  <c r="CU43" i="6"/>
  <c r="CV43" i="6" s="1"/>
  <c r="CT56" i="6"/>
  <c r="CU56" i="6"/>
  <c r="CV56" i="6" s="1"/>
  <c r="CT32" i="6"/>
  <c r="CU32" i="6"/>
  <c r="CV32" i="6" s="1"/>
  <c r="CT10" i="6"/>
  <c r="CU10" i="6"/>
  <c r="CV10" i="6" s="1"/>
  <c r="CT27" i="6"/>
  <c r="CU27" i="6"/>
  <c r="CV27" i="6" s="1"/>
  <c r="CT28" i="6"/>
  <c r="CU28" i="6"/>
  <c r="CV28" i="6" s="1"/>
  <c r="CT16" i="6"/>
  <c r="CU16" i="6"/>
  <c r="CV16" i="6" s="1"/>
  <c r="BB115" i="3"/>
  <c r="BC115" i="3"/>
  <c r="BB117" i="3"/>
  <c r="BC117" i="3"/>
  <c r="BB116" i="3"/>
  <c r="BC116" i="3"/>
  <c r="AX45" i="3"/>
  <c r="BA119" i="3"/>
  <c r="BA120" i="3"/>
  <c r="BA118" i="3"/>
  <c r="BG14" i="3"/>
  <c r="BE15" i="3"/>
  <c r="I14" i="3"/>
  <c r="AM59" i="3" s="1"/>
  <c r="BG48" i="6" l="1"/>
  <c r="BF48" i="6"/>
  <c r="BG47" i="6"/>
  <c r="BF47" i="6"/>
  <c r="BE49" i="6"/>
  <c r="BE50" i="6"/>
  <c r="BE51" i="6"/>
  <c r="BA22" i="6"/>
  <c r="BF46" i="6"/>
  <c r="BG46" i="6"/>
  <c r="AS7" i="3"/>
  <c r="AT7" i="3" s="1"/>
  <c r="BB119" i="3"/>
  <c r="BC119" i="3"/>
  <c r="BB118" i="3"/>
  <c r="BC118" i="3"/>
  <c r="BB120" i="3"/>
  <c r="BC120" i="3"/>
  <c r="AX46" i="3"/>
  <c r="BA122" i="3"/>
  <c r="BA123" i="3"/>
  <c r="BA121" i="3"/>
  <c r="BG15" i="3"/>
  <c r="BE16" i="3"/>
  <c r="I15" i="3"/>
  <c r="AM60" i="3" s="1"/>
  <c r="BA23" i="6" l="1"/>
  <c r="BE53" i="6"/>
  <c r="BE54" i="6"/>
  <c r="BE52" i="6"/>
  <c r="BF50" i="6"/>
  <c r="BG50" i="6"/>
  <c r="BG51" i="6"/>
  <c r="BF51" i="6"/>
  <c r="BG49" i="6"/>
  <c r="BF49" i="6"/>
  <c r="AM7" i="3"/>
  <c r="AN7" i="3" s="1"/>
  <c r="AP8" i="3" s="1"/>
  <c r="AR8" i="3" s="1"/>
  <c r="AU7" i="3"/>
  <c r="BB121" i="3"/>
  <c r="BC121" i="3"/>
  <c r="AX47" i="3"/>
  <c r="BA124" i="3"/>
  <c r="BA125" i="3"/>
  <c r="BA126" i="3"/>
  <c r="BB122" i="3"/>
  <c r="BC122" i="3"/>
  <c r="BB123" i="3"/>
  <c r="BC123" i="3"/>
  <c r="BG16" i="3"/>
  <c r="BE17" i="3"/>
  <c r="I16" i="3"/>
  <c r="AO8" i="3" l="1"/>
  <c r="AQ8" i="3" s="1"/>
  <c r="BF53" i="6"/>
  <c r="BG53" i="6"/>
  <c r="BF52" i="6"/>
  <c r="BG52" i="6"/>
  <c r="BF54" i="6"/>
  <c r="BG54" i="6"/>
  <c r="BA24" i="6"/>
  <c r="BE57" i="6"/>
  <c r="BE56" i="6"/>
  <c r="BE55" i="6"/>
  <c r="AM61" i="3"/>
  <c r="AM39" i="3"/>
  <c r="BB125" i="3"/>
  <c r="BC125" i="3"/>
  <c r="AX48" i="3"/>
  <c r="BA127" i="3"/>
  <c r="BA128" i="3"/>
  <c r="BA129" i="3"/>
  <c r="BB126" i="3"/>
  <c r="BC126" i="3"/>
  <c r="BB124" i="3"/>
  <c r="BC124" i="3"/>
  <c r="AS8" i="3"/>
  <c r="BG17" i="3"/>
  <c r="BE18" i="3"/>
  <c r="I17" i="3"/>
  <c r="AM62" i="3" s="1"/>
  <c r="BG56" i="6" l="1"/>
  <c r="BF56" i="6"/>
  <c r="BF57" i="6"/>
  <c r="BG57" i="6"/>
  <c r="BF55" i="6"/>
  <c r="BG55" i="6"/>
  <c r="BA25" i="6"/>
  <c r="BE60" i="6"/>
  <c r="BE59" i="6"/>
  <c r="BE58" i="6"/>
  <c r="AN28" i="3"/>
  <c r="AN30" i="3"/>
  <c r="AS20" i="3" s="1"/>
  <c r="AN29" i="3"/>
  <c r="BB129" i="3"/>
  <c r="BC129" i="3"/>
  <c r="BB128" i="3"/>
  <c r="BC128" i="3"/>
  <c r="AX49" i="3"/>
  <c r="BA130" i="3"/>
  <c r="BA132" i="3"/>
  <c r="BA131" i="3"/>
  <c r="BB127" i="3"/>
  <c r="BC127" i="3"/>
  <c r="AU8" i="3"/>
  <c r="AT8" i="3"/>
  <c r="AM8" i="3"/>
  <c r="AN8" i="3" s="1"/>
  <c r="BG18" i="3"/>
  <c r="BE19" i="3"/>
  <c r="I18" i="3"/>
  <c r="AM63" i="3" s="1"/>
  <c r="BG58" i="6" l="1"/>
  <c r="BF58" i="6"/>
  <c r="BF59" i="6"/>
  <c r="BG59" i="6"/>
  <c r="BF60" i="6"/>
  <c r="BG60" i="6"/>
  <c r="BE61" i="6"/>
  <c r="BE63" i="6"/>
  <c r="BE62" i="6"/>
  <c r="BA26" i="6"/>
  <c r="AU20" i="3"/>
  <c r="AT20" i="3"/>
  <c r="BB131" i="3"/>
  <c r="BC131" i="3"/>
  <c r="BB130" i="3"/>
  <c r="BC130" i="3"/>
  <c r="BB132" i="3"/>
  <c r="BC132" i="3"/>
  <c r="AX50" i="3"/>
  <c r="BA134" i="3"/>
  <c r="BA133" i="3"/>
  <c r="BA135" i="3"/>
  <c r="AP9" i="3"/>
  <c r="AR9" i="3" s="1"/>
  <c r="AO9" i="3"/>
  <c r="AQ9" i="3" s="1"/>
  <c r="AS9" i="3" s="1"/>
  <c r="BG19" i="3"/>
  <c r="BE20" i="3"/>
  <c r="I19" i="3"/>
  <c r="AM64" i="3" s="1"/>
  <c r="BE65" i="6" l="1"/>
  <c r="BA27" i="6"/>
  <c r="BE66" i="6"/>
  <c r="BE64" i="6"/>
  <c r="BF63" i="6"/>
  <c r="BG63" i="6"/>
  <c r="BG62" i="6"/>
  <c r="BF62" i="6"/>
  <c r="BF61" i="6"/>
  <c r="BG61" i="6"/>
  <c r="BB134" i="3"/>
  <c r="BC134" i="3"/>
  <c r="AX51" i="3"/>
  <c r="BA136" i="3"/>
  <c r="BA137" i="3"/>
  <c r="BA138" i="3"/>
  <c r="BB133" i="3"/>
  <c r="BC133" i="3"/>
  <c r="BB135" i="3"/>
  <c r="BC135" i="3"/>
  <c r="AM9" i="3"/>
  <c r="AN9" i="3" s="1"/>
  <c r="AU9" i="3"/>
  <c r="AT9" i="3"/>
  <c r="BG20" i="3"/>
  <c r="BE21" i="3"/>
  <c r="I20" i="3"/>
  <c r="AM65" i="3" s="1"/>
  <c r="BF64" i="6" l="1"/>
  <c r="BG64" i="6"/>
  <c r="BF66" i="6"/>
  <c r="BG66" i="6"/>
  <c r="BE67" i="6"/>
  <c r="BE68" i="6"/>
  <c r="BA28" i="6"/>
  <c r="BE69" i="6"/>
  <c r="BG65" i="6"/>
  <c r="BF65" i="6"/>
  <c r="BB138" i="3"/>
  <c r="BC138" i="3"/>
  <c r="BB137" i="3"/>
  <c r="BC137" i="3"/>
  <c r="BB136" i="3"/>
  <c r="BC136" i="3"/>
  <c r="AX52" i="3"/>
  <c r="BA139" i="3"/>
  <c r="BA140" i="3"/>
  <c r="BA141" i="3"/>
  <c r="AP10" i="3"/>
  <c r="AR10" i="3" s="1"/>
  <c r="AO10" i="3"/>
  <c r="AQ10" i="3" s="1"/>
  <c r="AS10" i="3" s="1"/>
  <c r="BG21" i="3"/>
  <c r="BE22" i="3"/>
  <c r="AI17" i="3"/>
  <c r="I21" i="3"/>
  <c r="AM66" i="3" s="1"/>
  <c r="BF68" i="6" l="1"/>
  <c r="BG68" i="6"/>
  <c r="BG67" i="6"/>
  <c r="BF67" i="6"/>
  <c r="BF69" i="6"/>
  <c r="BG69" i="6"/>
  <c r="BE70" i="6"/>
  <c r="BE71" i="6"/>
  <c r="BE72" i="6"/>
  <c r="BA29" i="6"/>
  <c r="BB141" i="3"/>
  <c r="BC141" i="3"/>
  <c r="AX53" i="3"/>
  <c r="BA142" i="3"/>
  <c r="BA143" i="3"/>
  <c r="BA144" i="3"/>
  <c r="BB140" i="3"/>
  <c r="BC140" i="3"/>
  <c r="BB139" i="3"/>
  <c r="BC139" i="3"/>
  <c r="AM10" i="3"/>
  <c r="AN10" i="3" s="1"/>
  <c r="AU10" i="3"/>
  <c r="AT10" i="3"/>
  <c r="BG22" i="3"/>
  <c r="BE23" i="3"/>
  <c r="I22" i="3"/>
  <c r="AM67" i="3" s="1"/>
  <c r="BG72" i="6" l="1"/>
  <c r="BF72" i="6"/>
  <c r="BF70" i="6"/>
  <c r="BG70" i="6"/>
  <c r="BA30" i="6"/>
  <c r="BE75" i="6"/>
  <c r="BE73" i="6"/>
  <c r="BE74" i="6"/>
  <c r="BF71" i="6"/>
  <c r="BG71" i="6"/>
  <c r="AX54" i="3"/>
  <c r="BA147" i="3"/>
  <c r="BA145" i="3"/>
  <c r="BA146" i="3"/>
  <c r="BB144" i="3"/>
  <c r="BC144" i="3"/>
  <c r="BB143" i="3"/>
  <c r="BC143" i="3"/>
  <c r="BB142" i="3"/>
  <c r="BC142" i="3"/>
  <c r="AP11" i="3"/>
  <c r="AR11" i="3" s="1"/>
  <c r="AO11" i="3"/>
  <c r="AQ11" i="3" s="1"/>
  <c r="AS11" i="3" s="1"/>
  <c r="BG23" i="3"/>
  <c r="BE24" i="3"/>
  <c r="I23" i="3"/>
  <c r="AM68" i="3" s="1"/>
  <c r="BG74" i="6" l="1"/>
  <c r="BF74" i="6"/>
  <c r="BG75" i="6"/>
  <c r="BF75" i="6"/>
  <c r="BF73" i="6"/>
  <c r="BG73" i="6"/>
  <c r="BA31" i="6"/>
  <c r="BE76" i="6"/>
  <c r="BE77" i="6"/>
  <c r="BE78" i="6"/>
  <c r="BB145" i="3"/>
  <c r="BC145" i="3"/>
  <c r="BB147" i="3"/>
  <c r="BC147" i="3"/>
  <c r="BB146" i="3"/>
  <c r="BC146" i="3"/>
  <c r="AX55" i="3"/>
  <c r="BA148" i="3"/>
  <c r="BA149" i="3"/>
  <c r="BA150" i="3"/>
  <c r="AM11" i="3"/>
  <c r="AN11" i="3" s="1"/>
  <c r="AU11" i="3"/>
  <c r="AT11" i="3"/>
  <c r="BG24" i="3"/>
  <c r="BE25" i="3"/>
  <c r="I24" i="3"/>
  <c r="BG76" i="6" l="1"/>
  <c r="BF76" i="6"/>
  <c r="BF77" i="6"/>
  <c r="BG77" i="6"/>
  <c r="BE79" i="6"/>
  <c r="BE80" i="6"/>
  <c r="BA32" i="6"/>
  <c r="BE81" i="6"/>
  <c r="BF78" i="6"/>
  <c r="BG78" i="6"/>
  <c r="AX56" i="3"/>
  <c r="BA153" i="3"/>
  <c r="BA151" i="3"/>
  <c r="BA152" i="3"/>
  <c r="BG25" i="3"/>
  <c r="AM69" i="3"/>
  <c r="BB149" i="3"/>
  <c r="BC149" i="3"/>
  <c r="BB150" i="3"/>
  <c r="BC150" i="3"/>
  <c r="BB148" i="3"/>
  <c r="BC148" i="3"/>
  <c r="AO12" i="3"/>
  <c r="AQ12" i="3" s="1"/>
  <c r="AS12" i="3" s="1"/>
  <c r="AP12" i="3"/>
  <c r="AR12" i="3" s="1"/>
  <c r="BE84" i="6" l="1"/>
  <c r="BA33" i="6"/>
  <c r="BE83" i="6"/>
  <c r="BE82" i="6"/>
  <c r="BF80" i="6"/>
  <c r="BG80" i="6"/>
  <c r="BG81" i="6"/>
  <c r="BF81" i="6"/>
  <c r="BG79" i="6"/>
  <c r="BF79" i="6"/>
  <c r="AN55" i="3"/>
  <c r="AN56" i="3"/>
  <c r="AN59" i="3"/>
  <c r="AN58" i="3"/>
  <c r="AN57" i="3"/>
  <c r="AN52" i="3"/>
  <c r="AN51" i="3"/>
  <c r="AN53" i="3"/>
  <c r="AN54" i="3"/>
  <c r="AN50" i="3"/>
  <c r="BB152" i="3"/>
  <c r="BC152" i="3"/>
  <c r="BB151" i="3"/>
  <c r="BC151" i="3"/>
  <c r="BB153" i="3"/>
  <c r="BC153" i="3"/>
  <c r="AX57" i="3"/>
  <c r="BA156" i="3"/>
  <c r="BA155" i="3"/>
  <c r="BA154" i="3"/>
  <c r="AM12" i="3"/>
  <c r="AN12" i="3" s="1"/>
  <c r="AT12" i="3"/>
  <c r="AU12" i="3"/>
  <c r="BE86" i="6" l="1"/>
  <c r="BE85" i="6"/>
  <c r="BA34" i="6"/>
  <c r="BE87" i="6"/>
  <c r="BG82" i="6"/>
  <c r="BF82" i="6"/>
  <c r="BG83" i="6"/>
  <c r="BF83" i="6"/>
  <c r="BG84" i="6"/>
  <c r="BF84" i="6"/>
  <c r="AX58" i="3"/>
  <c r="BA157" i="3"/>
  <c r="BA158" i="3"/>
  <c r="BA159" i="3"/>
  <c r="BB155" i="3"/>
  <c r="BC155" i="3"/>
  <c r="BB154" i="3"/>
  <c r="BC154" i="3"/>
  <c r="BB156" i="3"/>
  <c r="BC156" i="3"/>
  <c r="AP13" i="3"/>
  <c r="AR13" i="3" s="1"/>
  <c r="AO13" i="3"/>
  <c r="AQ13" i="3" s="1"/>
  <c r="AS13" i="3" s="1"/>
  <c r="BG87" i="6" l="1"/>
  <c r="BF87" i="6"/>
  <c r="BF85" i="6"/>
  <c r="BG85" i="6"/>
  <c r="BE88" i="6"/>
  <c r="BE90" i="6"/>
  <c r="BA35" i="6"/>
  <c r="BE89" i="6"/>
  <c r="BG86" i="6"/>
  <c r="BF86" i="6"/>
  <c r="BB159" i="3"/>
  <c r="BC159" i="3"/>
  <c r="BB158" i="3"/>
  <c r="BC158" i="3"/>
  <c r="BB157" i="3"/>
  <c r="BC157" i="3"/>
  <c r="AX59" i="3"/>
  <c r="BA160" i="3"/>
  <c r="BA162" i="3"/>
  <c r="BA161" i="3"/>
  <c r="AM13" i="3"/>
  <c r="AN13" i="3" s="1"/>
  <c r="AT13" i="3"/>
  <c r="AU13" i="3"/>
  <c r="BF88" i="6" l="1"/>
  <c r="BG88" i="6"/>
  <c r="BE92" i="6"/>
  <c r="BA36" i="6"/>
  <c r="BE93" i="6"/>
  <c r="BE91" i="6"/>
  <c r="BG89" i="6"/>
  <c r="BF89" i="6"/>
  <c r="BF90" i="6"/>
  <c r="BG90" i="6"/>
  <c r="BB162" i="3"/>
  <c r="BC162" i="3"/>
  <c r="AX60" i="3"/>
  <c r="BA165" i="3"/>
  <c r="BA163" i="3"/>
  <c r="BA164" i="3"/>
  <c r="BB161" i="3"/>
  <c r="BC161" i="3"/>
  <c r="BB160" i="3"/>
  <c r="BC160" i="3"/>
  <c r="AO14" i="3"/>
  <c r="AQ14" i="3" s="1"/>
  <c r="AS14" i="3" s="1"/>
  <c r="AP14" i="3"/>
  <c r="AR14" i="3" s="1"/>
  <c r="BF93" i="6" l="1"/>
  <c r="BG93" i="6"/>
  <c r="BG91" i="6"/>
  <c r="BF91" i="6"/>
  <c r="BA37" i="6"/>
  <c r="BE95" i="6"/>
  <c r="BE94" i="6"/>
  <c r="BE96" i="6"/>
  <c r="BF92" i="6"/>
  <c r="BG92" i="6"/>
  <c r="BB163" i="3"/>
  <c r="BC163" i="3"/>
  <c r="BB164" i="3"/>
  <c r="BC164" i="3"/>
  <c r="BB165" i="3"/>
  <c r="BC165" i="3"/>
  <c r="AX61" i="3"/>
  <c r="BA167" i="3"/>
  <c r="BA166" i="3"/>
  <c r="BA168" i="3"/>
  <c r="AM14" i="3"/>
  <c r="AN14" i="3" s="1"/>
  <c r="AT14" i="3"/>
  <c r="AU14" i="3"/>
  <c r="BG96" i="6" l="1"/>
  <c r="BF96" i="6"/>
  <c r="BG94" i="6"/>
  <c r="BF94" i="6"/>
  <c r="BG95" i="6"/>
  <c r="BF95" i="6"/>
  <c r="BA38" i="6"/>
  <c r="BE99" i="6"/>
  <c r="BE98" i="6"/>
  <c r="BE97" i="6"/>
  <c r="BB167" i="3"/>
  <c r="BC167" i="3"/>
  <c r="BB166" i="3"/>
  <c r="BC166" i="3"/>
  <c r="AX62" i="3"/>
  <c r="BA169" i="3"/>
  <c r="BA171" i="3"/>
  <c r="BA170" i="3"/>
  <c r="BB168" i="3"/>
  <c r="BC168" i="3"/>
  <c r="AO15" i="3"/>
  <c r="AQ15" i="3" s="1"/>
  <c r="AS15" i="3" s="1"/>
  <c r="AP15" i="3"/>
  <c r="AR15" i="3" s="1"/>
  <c r="BF97" i="6" l="1"/>
  <c r="BG97" i="6"/>
  <c r="BG98" i="6"/>
  <c r="BF98" i="6"/>
  <c r="BE101" i="6"/>
  <c r="BE102" i="6"/>
  <c r="BE100" i="6"/>
  <c r="BA39" i="6"/>
  <c r="BF99" i="6"/>
  <c r="BG99" i="6"/>
  <c r="BB170" i="3"/>
  <c r="BC170" i="3"/>
  <c r="BB171" i="3"/>
  <c r="BC171" i="3"/>
  <c r="AX63" i="3"/>
  <c r="BA172" i="3"/>
  <c r="BA174" i="3"/>
  <c r="BA173" i="3"/>
  <c r="BB169" i="3"/>
  <c r="BC169" i="3"/>
  <c r="AM15" i="3"/>
  <c r="AN15" i="3" s="1"/>
  <c r="AU15" i="3"/>
  <c r="AT15" i="3"/>
  <c r="BG100" i="6" l="1"/>
  <c r="BF100" i="6"/>
  <c r="BE103" i="6"/>
  <c r="BE104" i="6"/>
  <c r="BA40" i="6"/>
  <c r="BE105" i="6"/>
  <c r="BF102" i="6"/>
  <c r="BG102" i="6"/>
  <c r="BF101" i="6"/>
  <c r="BG101" i="6"/>
  <c r="BB174" i="3"/>
  <c r="BC174" i="3"/>
  <c r="BB172" i="3"/>
  <c r="BC172" i="3"/>
  <c r="BB173" i="3"/>
  <c r="BC173" i="3"/>
  <c r="AX64" i="3"/>
  <c r="BA177" i="3"/>
  <c r="BA176" i="3"/>
  <c r="BA175" i="3"/>
  <c r="AO16" i="3"/>
  <c r="AQ16" i="3" s="1"/>
  <c r="AS16" i="3" s="1"/>
  <c r="AP16" i="3"/>
  <c r="AR16" i="3" s="1"/>
  <c r="BA41" i="6" l="1"/>
  <c r="BE108" i="6"/>
  <c r="BE106" i="6"/>
  <c r="BE107" i="6"/>
  <c r="BF104" i="6"/>
  <c r="BG104" i="6"/>
  <c r="BF105" i="6"/>
  <c r="BG105" i="6"/>
  <c r="BF103" i="6"/>
  <c r="BG103" i="6"/>
  <c r="BB175" i="3"/>
  <c r="BC175" i="3"/>
  <c r="BB176" i="3"/>
  <c r="BC176" i="3"/>
  <c r="BB177" i="3"/>
  <c r="BC177" i="3"/>
  <c r="AX65" i="3"/>
  <c r="BA180" i="3"/>
  <c r="BA179" i="3"/>
  <c r="BA178" i="3"/>
  <c r="AM16" i="3"/>
  <c r="AN16" i="3" s="1"/>
  <c r="AT16" i="3"/>
  <c r="AU16" i="3"/>
  <c r="BF107" i="6" l="1"/>
  <c r="BG107" i="6"/>
  <c r="BG108" i="6"/>
  <c r="BF108" i="6"/>
  <c r="BF106" i="6"/>
  <c r="BG106" i="6"/>
  <c r="BE109" i="6"/>
  <c r="BA42" i="6"/>
  <c r="BE110" i="6"/>
  <c r="BE111" i="6"/>
  <c r="BB180" i="3"/>
  <c r="BC180" i="3"/>
  <c r="BB179" i="3"/>
  <c r="BC179" i="3"/>
  <c r="AX66" i="3"/>
  <c r="BA183" i="3"/>
  <c r="BA182" i="3"/>
  <c r="BA181" i="3"/>
  <c r="BB178" i="3"/>
  <c r="BC178" i="3"/>
  <c r="AP17" i="3"/>
  <c r="AR17" i="3" s="1"/>
  <c r="AO17" i="3"/>
  <c r="AQ17" i="3" s="1"/>
  <c r="AS17" i="3" s="1"/>
  <c r="BG111" i="6" l="1"/>
  <c r="BF111" i="6"/>
  <c r="BF110" i="6"/>
  <c r="BG110" i="6"/>
  <c r="BG109" i="6"/>
  <c r="BF109" i="6"/>
  <c r="BE114" i="6"/>
  <c r="BE113" i="6"/>
  <c r="BE112" i="6"/>
  <c r="BA43" i="6"/>
  <c r="BC181" i="3"/>
  <c r="BB181" i="3"/>
  <c r="BB182" i="3"/>
  <c r="BC182" i="3"/>
  <c r="AX67" i="3"/>
  <c r="BA184" i="3"/>
  <c r="BA186" i="3"/>
  <c r="BA185" i="3"/>
  <c r="BB183" i="3"/>
  <c r="BC183" i="3"/>
  <c r="AM17" i="3"/>
  <c r="AN17" i="3" s="1"/>
  <c r="AT17" i="3"/>
  <c r="AU17" i="3"/>
  <c r="BE117" i="6" l="1"/>
  <c r="BE116" i="6"/>
  <c r="BE115" i="6"/>
  <c r="BA44" i="6"/>
  <c r="BG113" i="6"/>
  <c r="BF113" i="6"/>
  <c r="BG112" i="6"/>
  <c r="BF112" i="6"/>
  <c r="BF114" i="6"/>
  <c r="BG114" i="6"/>
  <c r="BB185" i="3"/>
  <c r="BC185" i="3"/>
  <c r="BB186" i="3"/>
  <c r="BC186" i="3"/>
  <c r="BB184" i="3"/>
  <c r="BC184" i="3"/>
  <c r="AX68" i="3"/>
  <c r="BA187" i="3"/>
  <c r="BA188" i="3"/>
  <c r="BA189" i="3"/>
  <c r="AO18" i="3"/>
  <c r="AQ18" i="3" s="1"/>
  <c r="AS18" i="3" s="1"/>
  <c r="AP18" i="3"/>
  <c r="AR18" i="3" s="1"/>
  <c r="BG115" i="6" l="1"/>
  <c r="BF115" i="6"/>
  <c r="BE119" i="6"/>
  <c r="BA45" i="6"/>
  <c r="BE118" i="6"/>
  <c r="BE120" i="6"/>
  <c r="BF116" i="6"/>
  <c r="BG116" i="6"/>
  <c r="BF117" i="6"/>
  <c r="BG117" i="6"/>
  <c r="AX69" i="3"/>
  <c r="BA190" i="3"/>
  <c r="BA192" i="3"/>
  <c r="BA191" i="3"/>
  <c r="BB188" i="3"/>
  <c r="BC188" i="3"/>
  <c r="BB187" i="3"/>
  <c r="BC187" i="3"/>
  <c r="BB189" i="3"/>
  <c r="BC189" i="3"/>
  <c r="AM18" i="3"/>
  <c r="AN18" i="3" s="1"/>
  <c r="AU18" i="3"/>
  <c r="AT18" i="3"/>
  <c r="BG120" i="6" l="1"/>
  <c r="BF120" i="6"/>
  <c r="BG118" i="6"/>
  <c r="BF118" i="6"/>
  <c r="BE123" i="6"/>
  <c r="BA46" i="6"/>
  <c r="BE122" i="6"/>
  <c r="BE121" i="6"/>
  <c r="BF119" i="6"/>
  <c r="BG119" i="6"/>
  <c r="BB191" i="3"/>
  <c r="BC191" i="3"/>
  <c r="BB190" i="3"/>
  <c r="BC190" i="3"/>
  <c r="BB192" i="3"/>
  <c r="BC192" i="3"/>
  <c r="AX70" i="3"/>
  <c r="BA195" i="3"/>
  <c r="BA194" i="3"/>
  <c r="BA193" i="3"/>
  <c r="AO19" i="3"/>
  <c r="AQ19" i="3" s="1"/>
  <c r="AS19" i="3" s="1"/>
  <c r="AP19" i="3"/>
  <c r="AR19" i="3" s="1"/>
  <c r="BF122" i="6" l="1"/>
  <c r="BG122" i="6"/>
  <c r="BA47" i="6"/>
  <c r="BE125" i="6"/>
  <c r="BE124" i="6"/>
  <c r="BE126" i="6"/>
  <c r="BF123" i="6"/>
  <c r="BG123" i="6"/>
  <c r="BG121" i="6"/>
  <c r="BF121" i="6"/>
  <c r="BB194" i="3"/>
  <c r="BC194" i="3"/>
  <c r="BB193" i="3"/>
  <c r="BC193" i="3"/>
  <c r="BB195" i="3"/>
  <c r="BC195" i="3"/>
  <c r="AX71" i="3"/>
  <c r="BA198" i="3"/>
  <c r="BA196" i="3"/>
  <c r="BA197" i="3"/>
  <c r="AM19" i="3"/>
  <c r="AN19" i="3" s="1"/>
  <c r="AU19" i="3"/>
  <c r="AT19" i="3"/>
  <c r="BG125" i="6" l="1"/>
  <c r="BF125" i="6"/>
  <c r="BE127" i="6"/>
  <c r="BE129" i="6"/>
  <c r="BE128" i="6"/>
  <c r="BA48" i="6"/>
  <c r="BG126" i="6"/>
  <c r="BF126" i="6"/>
  <c r="BG124" i="6"/>
  <c r="BF124" i="6"/>
  <c r="BJ7" i="6"/>
  <c r="BJ9" i="6"/>
  <c r="BJ8" i="6"/>
  <c r="BB196" i="3"/>
  <c r="BC196" i="3"/>
  <c r="BB197" i="3"/>
  <c r="BC197" i="3"/>
  <c r="BB198" i="3"/>
  <c r="BC198" i="3"/>
  <c r="AX72" i="3"/>
  <c r="BA200" i="3"/>
  <c r="BA201" i="3"/>
  <c r="BA199" i="3"/>
  <c r="BG127" i="6" l="1"/>
  <c r="BF127" i="6"/>
  <c r="BE130" i="6"/>
  <c r="BA49" i="6"/>
  <c r="BE131" i="6"/>
  <c r="BE132" i="6"/>
  <c r="BF128" i="6"/>
  <c r="BG128" i="6"/>
  <c r="BG129" i="6"/>
  <c r="BF129" i="6"/>
  <c r="BK8" i="6"/>
  <c r="BL8" i="6"/>
  <c r="BL9" i="6"/>
  <c r="BK9" i="6"/>
  <c r="BJ12" i="6"/>
  <c r="BJ11" i="6"/>
  <c r="BJ10" i="6"/>
  <c r="BL7" i="6"/>
  <c r="BK7" i="6"/>
  <c r="BK6" i="6" s="1"/>
  <c r="AX73" i="3"/>
  <c r="BA202" i="3"/>
  <c r="BA204" i="3"/>
  <c r="BA203" i="3"/>
  <c r="BB200" i="3"/>
  <c r="BC200" i="3"/>
  <c r="BB199" i="3"/>
  <c r="BC199" i="3"/>
  <c r="BB201" i="3"/>
  <c r="BC201" i="3"/>
  <c r="BO8" i="6"/>
  <c r="BO9" i="6"/>
  <c r="BO7" i="6"/>
  <c r="BG131" i="6" l="1"/>
  <c r="BF131" i="6"/>
  <c r="BE133" i="6"/>
  <c r="BE134" i="6"/>
  <c r="BE135" i="6"/>
  <c r="BA50" i="6"/>
  <c r="BF130" i="6"/>
  <c r="BG130" i="6"/>
  <c r="BG132" i="6"/>
  <c r="BF132" i="6"/>
  <c r="BL11" i="6"/>
  <c r="BK11" i="6"/>
  <c r="BK12" i="6"/>
  <c r="BL12" i="6"/>
  <c r="BJ15" i="6"/>
  <c r="BJ14" i="6"/>
  <c r="BJ13" i="6"/>
  <c r="BK10" i="6"/>
  <c r="BL10" i="6"/>
  <c r="BA206" i="3"/>
  <c r="BA207" i="3"/>
  <c r="BB204" i="3"/>
  <c r="BC204" i="3"/>
  <c r="BB202" i="3"/>
  <c r="BC202" i="3"/>
  <c r="BB203" i="3"/>
  <c r="BC203" i="3"/>
  <c r="AX74" i="3"/>
  <c r="BA205" i="3"/>
  <c r="BP9" i="6"/>
  <c r="BQ9" i="6"/>
  <c r="BQ7" i="6"/>
  <c r="BP7" i="6"/>
  <c r="BP6" i="6" s="1"/>
  <c r="BQ8" i="6"/>
  <c r="BP8" i="6"/>
  <c r="BO12" i="6"/>
  <c r="BO11" i="6"/>
  <c r="BO10" i="6"/>
  <c r="BF135" i="6" l="1"/>
  <c r="BG135" i="6"/>
  <c r="BE137" i="6"/>
  <c r="BE136" i="6"/>
  <c r="BE138" i="6"/>
  <c r="BA51" i="6"/>
  <c r="BA52" i="6" s="1"/>
  <c r="BA53" i="6" s="1"/>
  <c r="BF133" i="6"/>
  <c r="BG133" i="6"/>
  <c r="BF134" i="6"/>
  <c r="BG134" i="6"/>
  <c r="BK13" i="6"/>
  <c r="BL13" i="6"/>
  <c r="BK14" i="6"/>
  <c r="BL14" i="6"/>
  <c r="BL15" i="6"/>
  <c r="BK15" i="6"/>
  <c r="BJ18" i="6"/>
  <c r="BJ16" i="6"/>
  <c r="BJ17" i="6"/>
  <c r="AX75" i="3"/>
  <c r="BA208" i="3"/>
  <c r="BA209" i="3"/>
  <c r="BA210" i="3"/>
  <c r="BB207" i="3"/>
  <c r="BC207" i="3"/>
  <c r="BB206" i="3"/>
  <c r="BC206" i="3"/>
  <c r="BB205" i="3"/>
  <c r="BC205" i="3"/>
  <c r="BP11" i="6"/>
  <c r="BQ11" i="6"/>
  <c r="BA54" i="6"/>
  <c r="BO13" i="6"/>
  <c r="BO15" i="6"/>
  <c r="BO14" i="6"/>
  <c r="BQ10" i="6"/>
  <c r="BP10" i="6"/>
  <c r="BQ12" i="6"/>
  <c r="BP12" i="6"/>
  <c r="BF138" i="6" l="1"/>
  <c r="BG138" i="6"/>
  <c r="BF136" i="6"/>
  <c r="BG136" i="6"/>
  <c r="BF137" i="6"/>
  <c r="BG137" i="6"/>
  <c r="BL16" i="6"/>
  <c r="BK16" i="6"/>
  <c r="BJ19" i="6"/>
  <c r="BJ20" i="6"/>
  <c r="BJ21" i="6"/>
  <c r="BL17" i="6"/>
  <c r="BK17" i="6"/>
  <c r="BK18" i="6"/>
  <c r="BL18" i="6"/>
  <c r="BC210" i="3"/>
  <c r="BB210" i="3"/>
  <c r="BB209" i="3"/>
  <c r="BC209" i="3"/>
  <c r="BB208" i="3"/>
  <c r="BC208" i="3"/>
  <c r="AX76" i="3"/>
  <c r="BA213" i="3"/>
  <c r="BA212" i="3"/>
  <c r="BA211" i="3"/>
  <c r="BQ14" i="6"/>
  <c r="BP14" i="6"/>
  <c r="BP15" i="6"/>
  <c r="BQ15" i="6"/>
  <c r="BQ13" i="6"/>
  <c r="BP13" i="6"/>
  <c r="BA55" i="6"/>
  <c r="BO16" i="6"/>
  <c r="BO18" i="6"/>
  <c r="BO17" i="6"/>
  <c r="BK21" i="6" l="1"/>
  <c r="BL21" i="6"/>
  <c r="BL20" i="6"/>
  <c r="BK20" i="6"/>
  <c r="BL19" i="6"/>
  <c r="BK19" i="6"/>
  <c r="BJ22" i="6"/>
  <c r="BJ24" i="6"/>
  <c r="BJ23" i="6"/>
  <c r="AX77" i="3"/>
  <c r="BA215" i="3"/>
  <c r="BA214" i="3"/>
  <c r="BA216" i="3"/>
  <c r="BB212" i="3"/>
  <c r="BC212" i="3"/>
  <c r="BB211" i="3"/>
  <c r="BC211" i="3"/>
  <c r="BB213" i="3"/>
  <c r="BC213" i="3"/>
  <c r="BP18" i="6"/>
  <c r="BQ18" i="6"/>
  <c r="BP17" i="6"/>
  <c r="BQ17" i="6"/>
  <c r="BQ16" i="6"/>
  <c r="BP16" i="6"/>
  <c r="BA56" i="6"/>
  <c r="BO21" i="6"/>
  <c r="BO19" i="6"/>
  <c r="BO20" i="6"/>
  <c r="BL24" i="6" l="1"/>
  <c r="BK24" i="6"/>
  <c r="BK23" i="6"/>
  <c r="BL23" i="6"/>
  <c r="BK22" i="6"/>
  <c r="BL22" i="6"/>
  <c r="BJ26" i="6"/>
  <c r="BJ27" i="6"/>
  <c r="BJ25" i="6"/>
  <c r="BB216" i="3"/>
  <c r="BC216" i="3"/>
  <c r="BB214" i="3"/>
  <c r="BC214" i="3"/>
  <c r="BB215" i="3"/>
  <c r="BC215" i="3"/>
  <c r="AX78" i="3"/>
  <c r="BA218" i="3"/>
  <c r="BA219" i="3"/>
  <c r="BA217" i="3"/>
  <c r="BP21" i="6"/>
  <c r="BQ21" i="6"/>
  <c r="BP19" i="6"/>
  <c r="BQ19" i="6"/>
  <c r="BA57" i="6"/>
  <c r="BO23" i="6"/>
  <c r="BO22" i="6"/>
  <c r="BO24" i="6"/>
  <c r="BQ20" i="6"/>
  <c r="BP20" i="6"/>
  <c r="BL25" i="6" l="1"/>
  <c r="BK25" i="6"/>
  <c r="BJ29" i="6"/>
  <c r="BJ28" i="6"/>
  <c r="BJ30" i="6"/>
  <c r="BK27" i="6"/>
  <c r="BL27" i="6"/>
  <c r="BL26" i="6"/>
  <c r="BK26" i="6"/>
  <c r="AX79" i="3"/>
  <c r="BA221" i="3"/>
  <c r="BA222" i="3"/>
  <c r="BA220" i="3"/>
  <c r="BB217" i="3"/>
  <c r="BC217" i="3"/>
  <c r="BB218" i="3"/>
  <c r="BC218" i="3"/>
  <c r="BC219" i="3"/>
  <c r="BB219" i="3"/>
  <c r="BP24" i="6"/>
  <c r="BQ24" i="6"/>
  <c r="BP23" i="6"/>
  <c r="BQ23" i="6"/>
  <c r="BP22" i="6"/>
  <c r="BQ22" i="6"/>
  <c r="BA58" i="6"/>
  <c r="BO27" i="6"/>
  <c r="BO25" i="6"/>
  <c r="BO26" i="6"/>
  <c r="BK30" i="6" l="1"/>
  <c r="BL30" i="6"/>
  <c r="BL28" i="6"/>
  <c r="BK28" i="6"/>
  <c r="BL29" i="6"/>
  <c r="BK29" i="6"/>
  <c r="BJ31" i="6"/>
  <c r="BJ32" i="6"/>
  <c r="BJ33" i="6"/>
  <c r="BB220" i="3"/>
  <c r="BC220" i="3"/>
  <c r="BB222" i="3"/>
  <c r="BC222" i="3"/>
  <c r="BB221" i="3"/>
  <c r="BC221" i="3"/>
  <c r="AX80" i="3"/>
  <c r="BA225" i="3"/>
  <c r="BA224" i="3"/>
  <c r="BA223" i="3"/>
  <c r="BP27" i="6"/>
  <c r="BQ27" i="6"/>
  <c r="BQ26" i="6"/>
  <c r="BP26" i="6"/>
  <c r="BQ25" i="6"/>
  <c r="BP25" i="6"/>
  <c r="BA59" i="6"/>
  <c r="BO28" i="6"/>
  <c r="BO29" i="6"/>
  <c r="BO30" i="6"/>
  <c r="BK32" i="6" l="1"/>
  <c r="BL32" i="6"/>
  <c r="BL31" i="6"/>
  <c r="BK31" i="6"/>
  <c r="BL33" i="6"/>
  <c r="BK33" i="6"/>
  <c r="BJ34" i="6"/>
  <c r="BJ35" i="6"/>
  <c r="BJ36" i="6"/>
  <c r="BC224" i="3"/>
  <c r="BB224" i="3"/>
  <c r="BB223" i="3"/>
  <c r="BC223" i="3"/>
  <c r="AX81" i="3"/>
  <c r="BA226" i="3"/>
  <c r="BA228" i="3"/>
  <c r="BA227" i="3"/>
  <c r="BB225" i="3"/>
  <c r="BC225" i="3"/>
  <c r="BQ30" i="6"/>
  <c r="BP30" i="6"/>
  <c r="BP28" i="6"/>
  <c r="BQ28" i="6"/>
  <c r="BA60" i="6"/>
  <c r="BO31" i="6"/>
  <c r="BO33" i="6"/>
  <c r="BO32" i="6"/>
  <c r="BP29" i="6"/>
  <c r="BQ29" i="6"/>
  <c r="BK36" i="6" l="1"/>
  <c r="BL36" i="6"/>
  <c r="BK34" i="6"/>
  <c r="BL34" i="6"/>
  <c r="BJ37" i="6"/>
  <c r="BJ39" i="6"/>
  <c r="BJ38" i="6"/>
  <c r="BK35" i="6"/>
  <c r="BL35" i="6"/>
  <c r="BB226" i="3"/>
  <c r="BC226" i="3"/>
  <c r="BB227" i="3"/>
  <c r="BC227" i="3"/>
  <c r="AX82" i="3"/>
  <c r="BA230" i="3"/>
  <c r="BA229" i="3"/>
  <c r="BA231" i="3"/>
  <c r="BB228" i="3"/>
  <c r="BC228" i="3"/>
  <c r="BP33" i="6"/>
  <c r="BQ33" i="6"/>
  <c r="BQ31" i="6"/>
  <c r="BP31" i="6"/>
  <c r="BQ32" i="6"/>
  <c r="BP32" i="6"/>
  <c r="BA61" i="6"/>
  <c r="BO35" i="6"/>
  <c r="BO36" i="6"/>
  <c r="BO34" i="6"/>
  <c r="BL39" i="6" l="1"/>
  <c r="BK39" i="6"/>
  <c r="BK37" i="6"/>
  <c r="BL37" i="6"/>
  <c r="BL38" i="6"/>
  <c r="BK38" i="6"/>
  <c r="BJ40" i="6"/>
  <c r="BJ41" i="6"/>
  <c r="BJ42" i="6"/>
  <c r="BB229" i="3"/>
  <c r="BC229" i="3"/>
  <c r="BB231" i="3"/>
  <c r="BC231" i="3"/>
  <c r="BB230" i="3"/>
  <c r="BC230" i="3"/>
  <c r="AX83" i="3"/>
  <c r="BA232" i="3"/>
  <c r="BA233" i="3"/>
  <c r="BA234" i="3"/>
  <c r="BP36" i="6"/>
  <c r="BQ36" i="6"/>
  <c r="BP35" i="6"/>
  <c r="BQ35" i="6"/>
  <c r="BA62" i="6"/>
  <c r="BO37" i="6"/>
  <c r="BO39" i="6"/>
  <c r="BO38" i="6"/>
  <c r="BQ34" i="6"/>
  <c r="BP34" i="6"/>
  <c r="BJ43" i="6" l="1"/>
  <c r="BJ44" i="6"/>
  <c r="BJ45" i="6"/>
  <c r="BL42" i="6"/>
  <c r="BK42" i="6"/>
  <c r="BL41" i="6"/>
  <c r="BK41" i="6"/>
  <c r="BK40" i="6"/>
  <c r="BL40" i="6"/>
  <c r="BB232" i="3"/>
  <c r="BC232" i="3"/>
  <c r="BC234" i="3"/>
  <c r="BB234" i="3"/>
  <c r="AX84" i="3"/>
  <c r="BA237" i="3"/>
  <c r="BA236" i="3"/>
  <c r="BA235" i="3"/>
  <c r="BC233" i="3"/>
  <c r="BB233" i="3"/>
  <c r="BP38" i="6"/>
  <c r="BQ38" i="6"/>
  <c r="BP37" i="6"/>
  <c r="BQ37" i="6"/>
  <c r="BP39" i="6"/>
  <c r="BQ39" i="6"/>
  <c r="BA63" i="6"/>
  <c r="BO40" i="6"/>
  <c r="BO41" i="6"/>
  <c r="BO42" i="6"/>
  <c r="BK45" i="6" l="1"/>
  <c r="BL45" i="6"/>
  <c r="BK44" i="6"/>
  <c r="BL44" i="6"/>
  <c r="BJ46" i="6"/>
  <c r="BJ47" i="6"/>
  <c r="BJ48" i="6"/>
  <c r="BL43" i="6"/>
  <c r="BK43" i="6"/>
  <c r="BB236" i="3"/>
  <c r="BC236" i="3"/>
  <c r="BB235" i="3"/>
  <c r="BC235" i="3"/>
  <c r="BC237" i="3"/>
  <c r="BB237" i="3"/>
  <c r="AX85" i="3"/>
  <c r="BA240" i="3"/>
  <c r="BA239" i="3"/>
  <c r="BA238" i="3"/>
  <c r="BP41" i="6"/>
  <c r="BQ41" i="6"/>
  <c r="BA64" i="6"/>
  <c r="BO44" i="6"/>
  <c r="BO45" i="6"/>
  <c r="BO43" i="6"/>
  <c r="BQ40" i="6"/>
  <c r="BP40" i="6"/>
  <c r="BQ42" i="6"/>
  <c r="BP42" i="6"/>
  <c r="BK47" i="6" l="1"/>
  <c r="BL47" i="6"/>
  <c r="BL46" i="6"/>
  <c r="BK46" i="6"/>
  <c r="BJ51" i="6"/>
  <c r="BJ50" i="6"/>
  <c r="BJ49" i="6"/>
  <c r="BL48" i="6"/>
  <c r="BK48" i="6"/>
  <c r="AX86" i="3"/>
  <c r="BA242" i="3"/>
  <c r="BA241" i="3"/>
  <c r="BA243" i="3"/>
  <c r="BC240" i="3"/>
  <c r="BB240" i="3"/>
  <c r="BB238" i="3"/>
  <c r="BC238" i="3"/>
  <c r="BB239" i="3"/>
  <c r="BC239" i="3"/>
  <c r="BQ43" i="6"/>
  <c r="BP43" i="6"/>
  <c r="BP45" i="6"/>
  <c r="BQ45" i="6"/>
  <c r="BP44" i="6"/>
  <c r="BQ44" i="6"/>
  <c r="BA65" i="6"/>
  <c r="BO46" i="6"/>
  <c r="BO47" i="6"/>
  <c r="BO48" i="6"/>
  <c r="BK50" i="6" l="1"/>
  <c r="BL50" i="6"/>
  <c r="BL51" i="6"/>
  <c r="BK51" i="6"/>
  <c r="BK49" i="6"/>
  <c r="BL49" i="6"/>
  <c r="BJ53" i="6"/>
  <c r="BJ54" i="6"/>
  <c r="BJ52" i="6"/>
  <c r="BC243" i="3"/>
  <c r="BB243" i="3"/>
  <c r="BB241" i="3"/>
  <c r="BC241" i="3"/>
  <c r="BB242" i="3"/>
  <c r="BC242" i="3"/>
  <c r="AX87" i="3"/>
  <c r="BA246" i="3"/>
  <c r="BA244" i="3"/>
  <c r="BA245" i="3"/>
  <c r="BP48" i="6"/>
  <c r="BQ48" i="6"/>
  <c r="BA66" i="6"/>
  <c r="BO50" i="6"/>
  <c r="BO49" i="6"/>
  <c r="BO51" i="6"/>
  <c r="BQ47" i="6"/>
  <c r="BP47" i="6"/>
  <c r="BP46" i="6"/>
  <c r="BQ46" i="6"/>
  <c r="BK52" i="6" l="1"/>
  <c r="BL52" i="6"/>
  <c r="BJ57" i="6"/>
  <c r="BJ55" i="6"/>
  <c r="BJ56" i="6"/>
  <c r="BK53" i="6"/>
  <c r="BL53" i="6"/>
  <c r="BL54" i="6"/>
  <c r="BK54" i="6"/>
  <c r="AX88" i="3"/>
  <c r="BA249" i="3"/>
  <c r="BA248" i="3"/>
  <c r="BA247" i="3"/>
  <c r="BC245" i="3"/>
  <c r="BB245" i="3"/>
  <c r="BB244" i="3"/>
  <c r="BC244" i="3"/>
  <c r="BC246" i="3"/>
  <c r="BB246" i="3"/>
  <c r="BQ49" i="6"/>
  <c r="BP49" i="6"/>
  <c r="BP51" i="6"/>
  <c r="BQ51" i="6"/>
  <c r="BQ50" i="6"/>
  <c r="BP50" i="6"/>
  <c r="BA67" i="6"/>
  <c r="BO53" i="6"/>
  <c r="BO54" i="6"/>
  <c r="BO52" i="6"/>
  <c r="BL56" i="6" l="1"/>
  <c r="BK56" i="6"/>
  <c r="BK55" i="6"/>
  <c r="BL55" i="6"/>
  <c r="BK57" i="6"/>
  <c r="BL57" i="6"/>
  <c r="BJ58" i="6"/>
  <c r="BJ59" i="6"/>
  <c r="BJ60" i="6"/>
  <c r="BB247" i="3"/>
  <c r="BC247" i="3"/>
  <c r="BB248" i="3"/>
  <c r="BC248" i="3"/>
  <c r="BC249" i="3"/>
  <c r="BB249" i="3"/>
  <c r="AX89" i="3"/>
  <c r="BA250" i="3"/>
  <c r="BA252" i="3"/>
  <c r="BA251" i="3"/>
  <c r="BQ52" i="6"/>
  <c r="BP52" i="6"/>
  <c r="BA68" i="6"/>
  <c r="BO56" i="6"/>
  <c r="BO55" i="6"/>
  <c r="BO57" i="6"/>
  <c r="BQ54" i="6"/>
  <c r="BP54" i="6"/>
  <c r="BQ53" i="6"/>
  <c r="BP53" i="6"/>
  <c r="BK60" i="6" l="1"/>
  <c r="BL60" i="6"/>
  <c r="BK59" i="6"/>
  <c r="BL59" i="6"/>
  <c r="BJ62" i="6"/>
  <c r="BJ63" i="6"/>
  <c r="BJ61" i="6"/>
  <c r="BL58" i="6"/>
  <c r="BK58" i="6"/>
  <c r="AX90" i="3"/>
  <c r="BA253" i="3"/>
  <c r="BA254" i="3"/>
  <c r="BA255" i="3"/>
  <c r="BB250" i="3"/>
  <c r="BC250" i="3"/>
  <c r="BC252" i="3"/>
  <c r="BB252" i="3"/>
  <c r="BC251" i="3"/>
  <c r="BB251" i="3"/>
  <c r="BA69" i="6"/>
  <c r="BO59" i="6"/>
  <c r="BO60" i="6"/>
  <c r="BO58" i="6"/>
  <c r="BP57" i="6"/>
  <c r="BQ57" i="6"/>
  <c r="BQ55" i="6"/>
  <c r="BP55" i="6"/>
  <c r="BP56" i="6"/>
  <c r="BQ56" i="6"/>
  <c r="BJ65" i="6" l="1"/>
  <c r="BJ66" i="6"/>
  <c r="BJ64" i="6"/>
  <c r="BK61" i="6"/>
  <c r="BL61" i="6"/>
  <c r="BL63" i="6"/>
  <c r="BK63" i="6"/>
  <c r="BK62" i="6"/>
  <c r="BL62" i="6"/>
  <c r="BC255" i="3"/>
  <c r="BB255" i="3"/>
  <c r="BC254" i="3"/>
  <c r="BB254" i="3"/>
  <c r="BB253" i="3"/>
  <c r="BC253" i="3"/>
  <c r="AX91" i="3"/>
  <c r="BA258" i="3"/>
  <c r="BA256" i="3"/>
  <c r="BA257" i="3"/>
  <c r="BQ58" i="6"/>
  <c r="BP58" i="6"/>
  <c r="BQ60" i="6"/>
  <c r="BP60" i="6"/>
  <c r="BQ59" i="6"/>
  <c r="BP59" i="6"/>
  <c r="BA70" i="6"/>
  <c r="BO61" i="6"/>
  <c r="BO62" i="6"/>
  <c r="BO63" i="6"/>
  <c r="BL64" i="6" l="1"/>
  <c r="BK64" i="6"/>
  <c r="BK66" i="6"/>
  <c r="BL66" i="6"/>
  <c r="BJ68" i="6"/>
  <c r="BJ69" i="6"/>
  <c r="BJ67" i="6"/>
  <c r="BK65" i="6"/>
  <c r="BL65" i="6"/>
  <c r="BC257" i="3"/>
  <c r="BB257" i="3"/>
  <c r="AX92" i="3"/>
  <c r="BA259" i="3"/>
  <c r="BA261" i="3"/>
  <c r="BA260" i="3"/>
  <c r="BB256" i="3"/>
  <c r="BC256" i="3"/>
  <c r="BC258" i="3"/>
  <c r="BB258" i="3"/>
  <c r="BQ61" i="6"/>
  <c r="BP61" i="6"/>
  <c r="BP63" i="6"/>
  <c r="BQ63" i="6"/>
  <c r="BP62" i="6"/>
  <c r="BQ62" i="6"/>
  <c r="BA71" i="6"/>
  <c r="BO65" i="6"/>
  <c r="BO64" i="6"/>
  <c r="BO66" i="6"/>
  <c r="BL67" i="6" l="1"/>
  <c r="BK67" i="6"/>
  <c r="BK69" i="6"/>
  <c r="BL69" i="6"/>
  <c r="BK68" i="6"/>
  <c r="BL68" i="6"/>
  <c r="BJ70" i="6"/>
  <c r="BJ71" i="6"/>
  <c r="BJ72" i="6"/>
  <c r="BC260" i="3"/>
  <c r="BB260" i="3"/>
  <c r="BC261" i="3"/>
  <c r="BB261" i="3"/>
  <c r="BB259" i="3"/>
  <c r="BC259" i="3"/>
  <c r="AX93" i="3"/>
  <c r="BA264" i="3"/>
  <c r="BA263" i="3"/>
  <c r="BA262" i="3"/>
  <c r="BP66" i="6"/>
  <c r="BQ66" i="6"/>
  <c r="BA72" i="6"/>
  <c r="BO68" i="6"/>
  <c r="BO69" i="6"/>
  <c r="BO67" i="6"/>
  <c r="BP64" i="6"/>
  <c r="BQ64" i="6"/>
  <c r="BQ65" i="6"/>
  <c r="BP65" i="6"/>
  <c r="BL70" i="6" l="1"/>
  <c r="BK70" i="6"/>
  <c r="BJ74" i="6"/>
  <c r="BJ75" i="6"/>
  <c r="BJ73" i="6"/>
  <c r="BK72" i="6"/>
  <c r="BL72" i="6"/>
  <c r="BK71" i="6"/>
  <c r="BL71" i="6"/>
  <c r="BB263" i="3"/>
  <c r="BC263" i="3"/>
  <c r="AX94" i="3"/>
  <c r="BA266" i="3"/>
  <c r="BA267" i="3"/>
  <c r="BA265" i="3"/>
  <c r="BB262" i="3"/>
  <c r="BC262" i="3"/>
  <c r="BC264" i="3"/>
  <c r="BB264" i="3"/>
  <c r="BA73" i="6"/>
  <c r="BO72" i="6"/>
  <c r="BO71" i="6"/>
  <c r="BO70" i="6"/>
  <c r="BP69" i="6"/>
  <c r="BQ69" i="6"/>
  <c r="BP67" i="6"/>
  <c r="BQ67" i="6"/>
  <c r="BP68" i="6"/>
  <c r="BQ68" i="6"/>
  <c r="BL75" i="6" l="1"/>
  <c r="BK75" i="6"/>
  <c r="BK74" i="6"/>
  <c r="BL74" i="6"/>
  <c r="BJ78" i="6"/>
  <c r="BJ76" i="6"/>
  <c r="BJ77" i="6"/>
  <c r="BL73" i="6"/>
  <c r="BK73" i="6"/>
  <c r="BB265" i="3"/>
  <c r="BC265" i="3"/>
  <c r="BC267" i="3"/>
  <c r="BB267" i="3"/>
  <c r="BB266" i="3"/>
  <c r="BC266" i="3"/>
  <c r="AX95" i="3"/>
  <c r="BA269" i="3"/>
  <c r="BA268" i="3"/>
  <c r="BA270" i="3"/>
  <c r="BP71" i="6"/>
  <c r="BQ71" i="6"/>
  <c r="BP72" i="6"/>
  <c r="BQ72" i="6"/>
  <c r="BQ70" i="6"/>
  <c r="BP70" i="6"/>
  <c r="BA74" i="6"/>
  <c r="BO75" i="6"/>
  <c r="BO73" i="6"/>
  <c r="BO74" i="6"/>
  <c r="BK76" i="6" l="1"/>
  <c r="BL76" i="6"/>
  <c r="BL78" i="6"/>
  <c r="BK78" i="6"/>
  <c r="BK77" i="6"/>
  <c r="BL77" i="6"/>
  <c r="BJ80" i="6"/>
  <c r="BJ81" i="6"/>
  <c r="BJ79" i="6"/>
  <c r="BC270" i="3"/>
  <c r="BB270" i="3"/>
  <c r="AX96" i="3"/>
  <c r="BA271" i="3"/>
  <c r="BA272" i="3"/>
  <c r="BA273" i="3"/>
  <c r="BB268" i="3"/>
  <c r="BC268" i="3"/>
  <c r="BB269" i="3"/>
  <c r="BC269" i="3"/>
  <c r="BA75" i="6"/>
  <c r="BO78" i="6"/>
  <c r="BO77" i="6"/>
  <c r="BO76" i="6"/>
  <c r="BP73" i="6"/>
  <c r="BQ73" i="6"/>
  <c r="BP74" i="6"/>
  <c r="BQ74" i="6"/>
  <c r="BQ75" i="6"/>
  <c r="BP75" i="6"/>
  <c r="BL79" i="6" l="1"/>
  <c r="BK79" i="6"/>
  <c r="BK81" i="6"/>
  <c r="BL81" i="6"/>
  <c r="BJ82" i="6"/>
  <c r="BJ83" i="6"/>
  <c r="BJ84" i="6"/>
  <c r="BK80" i="6"/>
  <c r="BL80" i="6"/>
  <c r="BB272" i="3"/>
  <c r="BC272" i="3"/>
  <c r="BB271" i="3"/>
  <c r="BC271" i="3"/>
  <c r="BC273" i="3"/>
  <c r="BB273" i="3"/>
  <c r="AX97" i="3"/>
  <c r="BA276" i="3"/>
  <c r="BA275" i="3"/>
  <c r="BA274" i="3"/>
  <c r="BP77" i="6"/>
  <c r="BQ77" i="6"/>
  <c r="BQ78" i="6"/>
  <c r="BP78" i="6"/>
  <c r="BQ76" i="6"/>
  <c r="BP76" i="6"/>
  <c r="BA76" i="6"/>
  <c r="BO79" i="6"/>
  <c r="BO81" i="6"/>
  <c r="BO80" i="6"/>
  <c r="BO92" i="6"/>
  <c r="BP92" i="6" s="1"/>
  <c r="BO93" i="6"/>
  <c r="BP93" i="6" s="1"/>
  <c r="BO94" i="6"/>
  <c r="BK83" i="6" l="1"/>
  <c r="BL83" i="6"/>
  <c r="BL84" i="6"/>
  <c r="BK84" i="6"/>
  <c r="BK82" i="6"/>
  <c r="BL82" i="6"/>
  <c r="BJ85" i="6"/>
  <c r="BJ86" i="6"/>
  <c r="BJ87" i="6"/>
  <c r="BB274" i="3"/>
  <c r="BC274" i="3"/>
  <c r="AX98" i="3"/>
  <c r="BA277" i="3"/>
  <c r="BA279" i="3"/>
  <c r="BA278" i="3"/>
  <c r="BB275" i="3"/>
  <c r="BC275" i="3"/>
  <c r="BC276" i="3"/>
  <c r="BB276" i="3"/>
  <c r="BP81" i="6"/>
  <c r="BQ81" i="6"/>
  <c r="BP80" i="6"/>
  <c r="BQ80" i="6"/>
  <c r="BP79" i="6"/>
  <c r="BQ79" i="6"/>
  <c r="BA77" i="6"/>
  <c r="BO82" i="6"/>
  <c r="BO83" i="6"/>
  <c r="BO84" i="6"/>
  <c r="BQ93" i="6"/>
  <c r="BQ92" i="6"/>
  <c r="BO95" i="6"/>
  <c r="BQ95" i="6" s="1"/>
  <c r="BQ94" i="6"/>
  <c r="BP94" i="6"/>
  <c r="BK86" i="6" l="1"/>
  <c r="BL86" i="6"/>
  <c r="BL87" i="6"/>
  <c r="BK87" i="6"/>
  <c r="BL85" i="6"/>
  <c r="BK85" i="6"/>
  <c r="BB277" i="3"/>
  <c r="BC277" i="3"/>
  <c r="AX99" i="3"/>
  <c r="BA281" i="3"/>
  <c r="BA282" i="3"/>
  <c r="BA280" i="3"/>
  <c r="BC279" i="3"/>
  <c r="BB279" i="3"/>
  <c r="BB278" i="3"/>
  <c r="BC278" i="3"/>
  <c r="BP84" i="6"/>
  <c r="BQ84" i="6"/>
  <c r="BA78" i="6"/>
  <c r="BO85" i="6"/>
  <c r="BO86" i="6"/>
  <c r="BO87" i="6"/>
  <c r="BQ82" i="6"/>
  <c r="BP82" i="6"/>
  <c r="BP83" i="6"/>
  <c r="BQ83" i="6"/>
  <c r="BP95" i="6"/>
  <c r="BB281" i="3" l="1"/>
  <c r="BC281" i="3"/>
  <c r="AX100" i="3"/>
  <c r="BA284" i="3"/>
  <c r="BA283" i="3"/>
  <c r="BA285" i="3"/>
  <c r="BB280" i="3"/>
  <c r="BC280" i="3"/>
  <c r="BC282" i="3"/>
  <c r="BB282" i="3"/>
  <c r="BQ85" i="6"/>
  <c r="BP85" i="6"/>
  <c r="BO88" i="6"/>
  <c r="BA79" i="6"/>
  <c r="BO90" i="6"/>
  <c r="BO89" i="6"/>
  <c r="BQ86" i="6"/>
  <c r="BP86" i="6"/>
  <c r="BP87" i="6"/>
  <c r="BQ87" i="6"/>
  <c r="BC285" i="3" l="1"/>
  <c r="BB285" i="3"/>
  <c r="AX101" i="3"/>
  <c r="BA287" i="3"/>
  <c r="BA286" i="3"/>
  <c r="BA288" i="3"/>
  <c r="BB283" i="3"/>
  <c r="BC283" i="3"/>
  <c r="BB284" i="3"/>
  <c r="BC284" i="3"/>
  <c r="BQ90" i="6"/>
  <c r="BP90" i="6"/>
  <c r="BP89" i="6"/>
  <c r="BQ89" i="6"/>
  <c r="BO91" i="6"/>
  <c r="BA80" i="6"/>
  <c r="BP88" i="6"/>
  <c r="BQ88" i="6"/>
  <c r="BC288" i="3" l="1"/>
  <c r="BB288" i="3"/>
  <c r="BB286" i="3"/>
  <c r="BC286" i="3"/>
  <c r="BC287" i="3"/>
  <c r="BB287" i="3"/>
  <c r="AX102" i="3"/>
  <c r="BA290" i="3"/>
  <c r="BA289" i="3"/>
  <c r="BA291" i="3"/>
  <c r="BO96" i="6"/>
  <c r="BA81" i="6"/>
  <c r="BT7" i="6"/>
  <c r="BT8" i="6"/>
  <c r="BT9" i="6"/>
  <c r="BQ91" i="6"/>
  <c r="BP91" i="6"/>
  <c r="BB289" i="3" l="1"/>
  <c r="BC289" i="3"/>
  <c r="BC290" i="3"/>
  <c r="BB290" i="3"/>
  <c r="BC291" i="3"/>
  <c r="BB291" i="3"/>
  <c r="AX103" i="3"/>
  <c r="BA292" i="3"/>
  <c r="BA294" i="3"/>
  <c r="BA293" i="3"/>
  <c r="BV7" i="6"/>
  <c r="BU7" i="6"/>
  <c r="BU6" i="6" s="1"/>
  <c r="BU9" i="6"/>
  <c r="BV9" i="6"/>
  <c r="BA82" i="6"/>
  <c r="BT12" i="6"/>
  <c r="BT10" i="6"/>
  <c r="BV8" i="6"/>
  <c r="BU8" i="6"/>
  <c r="BQ96" i="6"/>
  <c r="BP96" i="6"/>
  <c r="BC293" i="3" l="1"/>
  <c r="BB293" i="3"/>
  <c r="AX104" i="3"/>
  <c r="BA296" i="3"/>
  <c r="BA297" i="3"/>
  <c r="BA295" i="3"/>
  <c r="BC294" i="3"/>
  <c r="BB294" i="3"/>
  <c r="BB292" i="3"/>
  <c r="BC292" i="3"/>
  <c r="BV10" i="6"/>
  <c r="BU10" i="6"/>
  <c r="BU12" i="6"/>
  <c r="BV12" i="6"/>
  <c r="BA83" i="6"/>
  <c r="BT15" i="6"/>
  <c r="BT13" i="6"/>
  <c r="BT14" i="6"/>
  <c r="BB296" i="3" l="1"/>
  <c r="BC296" i="3"/>
  <c r="BC297" i="3"/>
  <c r="BB297" i="3"/>
  <c r="AX105" i="3"/>
  <c r="BA299" i="3"/>
  <c r="BA300" i="3"/>
  <c r="BA298" i="3"/>
  <c r="BB295" i="3"/>
  <c r="BC295" i="3"/>
  <c r="BU13" i="6"/>
  <c r="BV13" i="6"/>
  <c r="BU14" i="6"/>
  <c r="BV14" i="6"/>
  <c r="BU15" i="6"/>
  <c r="BV15" i="6"/>
  <c r="BT11" i="6"/>
  <c r="BA84" i="6"/>
  <c r="BT16" i="6"/>
  <c r="BT18" i="6"/>
  <c r="BT17" i="6"/>
  <c r="BB298" i="3" l="1"/>
  <c r="BC298" i="3"/>
  <c r="BC300" i="3"/>
  <c r="BB300" i="3"/>
  <c r="BB299" i="3"/>
  <c r="BC299" i="3"/>
  <c r="AX106" i="3"/>
  <c r="BA303" i="3"/>
  <c r="BA301" i="3"/>
  <c r="BA302" i="3"/>
  <c r="BV18" i="6"/>
  <c r="BU18" i="6"/>
  <c r="BU17" i="6"/>
  <c r="BV17" i="6"/>
  <c r="BA85" i="6"/>
  <c r="BT19" i="6"/>
  <c r="BT21" i="6"/>
  <c r="BT20" i="6"/>
  <c r="BV11" i="6"/>
  <c r="BU11" i="6"/>
  <c r="BU16" i="6"/>
  <c r="BV16" i="6"/>
  <c r="BB302" i="3" l="1"/>
  <c r="BC302" i="3"/>
  <c r="BB301" i="3"/>
  <c r="BC301" i="3"/>
  <c r="AX107" i="3"/>
  <c r="BA306" i="3"/>
  <c r="BA305" i="3"/>
  <c r="BA304" i="3"/>
  <c r="BC303" i="3"/>
  <c r="BB303" i="3"/>
  <c r="BU20" i="6"/>
  <c r="BV20" i="6"/>
  <c r="BU21" i="6"/>
  <c r="BV21" i="6"/>
  <c r="BU19" i="6"/>
  <c r="BV19" i="6"/>
  <c r="BA86" i="6"/>
  <c r="BT22" i="6"/>
  <c r="BT24" i="6"/>
  <c r="BB304" i="3" l="1"/>
  <c r="BC304" i="3"/>
  <c r="BB305" i="3"/>
  <c r="BC305" i="3"/>
  <c r="AX108" i="3"/>
  <c r="BA307" i="3"/>
  <c r="BA309" i="3"/>
  <c r="BA308" i="3"/>
  <c r="BC306" i="3"/>
  <c r="BB306" i="3"/>
  <c r="BU24" i="6"/>
  <c r="BV24" i="6"/>
  <c r="BA87" i="6"/>
  <c r="BT25" i="6"/>
  <c r="BT26" i="6"/>
  <c r="BU22" i="6"/>
  <c r="BV22" i="6"/>
  <c r="BC309" i="3" l="1"/>
  <c r="BB309" i="3"/>
  <c r="BC308" i="3"/>
  <c r="BB308" i="3"/>
  <c r="AX109" i="3"/>
  <c r="BA310" i="3"/>
  <c r="BA312" i="3"/>
  <c r="BA311" i="3"/>
  <c r="BB307" i="3"/>
  <c r="BC307" i="3"/>
  <c r="BT23" i="6"/>
  <c r="BA88" i="6"/>
  <c r="BT29" i="6"/>
  <c r="BT28" i="6"/>
  <c r="BT30" i="6"/>
  <c r="BU26" i="6"/>
  <c r="BV26" i="6"/>
  <c r="BU25" i="6"/>
  <c r="BV25" i="6"/>
  <c r="BB311" i="3" l="1"/>
  <c r="BC311" i="3"/>
  <c r="AX110" i="3"/>
  <c r="BA315" i="3"/>
  <c r="BA313" i="3"/>
  <c r="BA314" i="3"/>
  <c r="BC312" i="3"/>
  <c r="BB312" i="3"/>
  <c r="BB310" i="3"/>
  <c r="BC310" i="3"/>
  <c r="BU30" i="6"/>
  <c r="BV30" i="6"/>
  <c r="BU28" i="6"/>
  <c r="BV28" i="6"/>
  <c r="BT27" i="6"/>
  <c r="BA89" i="6"/>
  <c r="BT32" i="6"/>
  <c r="BT31" i="6"/>
  <c r="BT33" i="6"/>
  <c r="BV29" i="6"/>
  <c r="BU29" i="6"/>
  <c r="BV23" i="6"/>
  <c r="BU23" i="6"/>
  <c r="BB314" i="3" l="1"/>
  <c r="BC314" i="3"/>
  <c r="BB313" i="3"/>
  <c r="BC313" i="3"/>
  <c r="BC315" i="3"/>
  <c r="BB315" i="3"/>
  <c r="AX111" i="3"/>
  <c r="BA317" i="3"/>
  <c r="BA318" i="3"/>
  <c r="BA316" i="3"/>
  <c r="BU33" i="6"/>
  <c r="BV33" i="6"/>
  <c r="BA90" i="6"/>
  <c r="BT35" i="6"/>
  <c r="BT36" i="6"/>
  <c r="BV31" i="6"/>
  <c r="BU31" i="6"/>
  <c r="BU32" i="6"/>
  <c r="BV32" i="6"/>
  <c r="BU27" i="6"/>
  <c r="BV27" i="6"/>
  <c r="AX112" i="3" l="1"/>
  <c r="BA321" i="3"/>
  <c r="BA319" i="3"/>
  <c r="BA320" i="3"/>
  <c r="BB316" i="3"/>
  <c r="BC316" i="3"/>
  <c r="BC318" i="3"/>
  <c r="BB318" i="3"/>
  <c r="BB317" i="3"/>
  <c r="BC317" i="3"/>
  <c r="BA91" i="6"/>
  <c r="BT37" i="6"/>
  <c r="BT38" i="6"/>
  <c r="BT39" i="6"/>
  <c r="BV36" i="6"/>
  <c r="BU36" i="6"/>
  <c r="BU35" i="6"/>
  <c r="BV35" i="6"/>
  <c r="BB320" i="3" l="1"/>
  <c r="BC320" i="3"/>
  <c r="BB319" i="3"/>
  <c r="BC319" i="3"/>
  <c r="BC321" i="3"/>
  <c r="BB321" i="3"/>
  <c r="AX113" i="3"/>
  <c r="BA323" i="3"/>
  <c r="BA324" i="3"/>
  <c r="BA322" i="3"/>
  <c r="BV38" i="6"/>
  <c r="BU38" i="6"/>
  <c r="BV39" i="6"/>
  <c r="BU39" i="6"/>
  <c r="BU37" i="6"/>
  <c r="BV37" i="6"/>
  <c r="BT34" i="6"/>
  <c r="BA92" i="6"/>
  <c r="BT41" i="6"/>
  <c r="BT40" i="6"/>
  <c r="BT42" i="6"/>
  <c r="BC324" i="3" l="1"/>
  <c r="BB324" i="3"/>
  <c r="BB322" i="3"/>
  <c r="BC322" i="3"/>
  <c r="BC323" i="3"/>
  <c r="BB323" i="3"/>
  <c r="AX114" i="3"/>
  <c r="BA327" i="3"/>
  <c r="BA326" i="3"/>
  <c r="BA325" i="3"/>
  <c r="BV42" i="6"/>
  <c r="BU42" i="6"/>
  <c r="BA93" i="6"/>
  <c r="BT43" i="6"/>
  <c r="BT45" i="6"/>
  <c r="BU40" i="6"/>
  <c r="BV40" i="6"/>
  <c r="BU41" i="6"/>
  <c r="BV41" i="6"/>
  <c r="BU34" i="6"/>
  <c r="BV34" i="6"/>
  <c r="BC326" i="3" l="1"/>
  <c r="BB326" i="3"/>
  <c r="BC327" i="3"/>
  <c r="BB327" i="3"/>
  <c r="AX115" i="3"/>
  <c r="BA328" i="3"/>
  <c r="BA329" i="3"/>
  <c r="BA330" i="3"/>
  <c r="BB325" i="3"/>
  <c r="BC325" i="3"/>
  <c r="BA94" i="6"/>
  <c r="BT48" i="6"/>
  <c r="BT47" i="6"/>
  <c r="BT46" i="6"/>
  <c r="BU45" i="6"/>
  <c r="BV45" i="6"/>
  <c r="BU43" i="6"/>
  <c r="BV43" i="6"/>
  <c r="BY136" i="6"/>
  <c r="BY138" i="6"/>
  <c r="BY137" i="6"/>
  <c r="AX116" i="3" l="1"/>
  <c r="BA333" i="3"/>
  <c r="BA331" i="3"/>
  <c r="BA332" i="3"/>
  <c r="BC330" i="3"/>
  <c r="BB330" i="3"/>
  <c r="BB329" i="3"/>
  <c r="BC329" i="3"/>
  <c r="BB328" i="3"/>
  <c r="BC328" i="3"/>
  <c r="BU47" i="6"/>
  <c r="BV47" i="6"/>
  <c r="BV48" i="6"/>
  <c r="BU48" i="6"/>
  <c r="BU46" i="6"/>
  <c r="BV46" i="6"/>
  <c r="BT44" i="6"/>
  <c r="BA95" i="6"/>
  <c r="BT51" i="6"/>
  <c r="BT50" i="6"/>
  <c r="BZ137" i="6"/>
  <c r="CA137" i="6"/>
  <c r="BZ138" i="6"/>
  <c r="CA138" i="6"/>
  <c r="BY141" i="6"/>
  <c r="BY140" i="6"/>
  <c r="BY139" i="6"/>
  <c r="CA136" i="6"/>
  <c r="BZ136" i="6"/>
  <c r="BC332" i="3" l="1"/>
  <c r="BB332" i="3"/>
  <c r="BB331" i="3"/>
  <c r="BC331" i="3"/>
  <c r="BC333" i="3"/>
  <c r="BB333" i="3"/>
  <c r="AX117" i="3"/>
  <c r="BA334" i="3"/>
  <c r="BA335" i="3"/>
  <c r="BA336" i="3"/>
  <c r="BU51" i="6"/>
  <c r="BV51" i="6"/>
  <c r="BU50" i="6"/>
  <c r="BV50" i="6"/>
  <c r="BA96" i="6"/>
  <c r="BT52" i="6"/>
  <c r="BT54" i="6"/>
  <c r="BT53" i="6"/>
  <c r="BU44" i="6"/>
  <c r="BV44" i="6"/>
  <c r="BZ139" i="6"/>
  <c r="CA139" i="6"/>
  <c r="BZ140" i="6"/>
  <c r="CA140" i="6"/>
  <c r="BZ141" i="6"/>
  <c r="CA141" i="6"/>
  <c r="BY144" i="6"/>
  <c r="BY142" i="6"/>
  <c r="BY143" i="6"/>
  <c r="BY63" i="6"/>
  <c r="BY62" i="6"/>
  <c r="BY61" i="6"/>
  <c r="BC335" i="3" l="1"/>
  <c r="BB335" i="3"/>
  <c r="BC336" i="3"/>
  <c r="BB336" i="3"/>
  <c r="BB334" i="3"/>
  <c r="BC334" i="3"/>
  <c r="AX118" i="3"/>
  <c r="BA339" i="3"/>
  <c r="BA337" i="3"/>
  <c r="BA338" i="3"/>
  <c r="BU53" i="6"/>
  <c r="BV53" i="6"/>
  <c r="BV54" i="6"/>
  <c r="BU54" i="6"/>
  <c r="BU52" i="6"/>
  <c r="BV52" i="6"/>
  <c r="BT49" i="6"/>
  <c r="BA97" i="6"/>
  <c r="BT55" i="6"/>
  <c r="BT56" i="6"/>
  <c r="BZ143" i="6"/>
  <c r="CA143" i="6"/>
  <c r="BZ144" i="6"/>
  <c r="CA144" i="6"/>
  <c r="BZ142" i="6"/>
  <c r="CA142" i="6"/>
  <c r="BY147" i="6"/>
  <c r="BY146" i="6"/>
  <c r="BY145" i="6"/>
  <c r="BY66" i="6"/>
  <c r="BY65" i="6"/>
  <c r="BY64" i="6"/>
  <c r="CA62" i="6"/>
  <c r="BZ62" i="6"/>
  <c r="BZ61" i="6"/>
  <c r="CA61" i="6"/>
  <c r="BZ63" i="6"/>
  <c r="CA63" i="6"/>
  <c r="BB338" i="3" l="1"/>
  <c r="BC338" i="3"/>
  <c r="BC339" i="3"/>
  <c r="BB339" i="3"/>
  <c r="BB337" i="3"/>
  <c r="BC337" i="3"/>
  <c r="BA342" i="3"/>
  <c r="BA340" i="3"/>
  <c r="BA341" i="3"/>
  <c r="BA98" i="6"/>
  <c r="BT59" i="6"/>
  <c r="BT58" i="6"/>
  <c r="BU56" i="6"/>
  <c r="BV56" i="6"/>
  <c r="BV55" i="6"/>
  <c r="BU55" i="6"/>
  <c r="BU49" i="6"/>
  <c r="BV49" i="6"/>
  <c r="BZ145" i="6"/>
  <c r="CA145" i="6"/>
  <c r="BZ146" i="6"/>
  <c r="CA146" i="6"/>
  <c r="BZ147" i="6"/>
  <c r="CA147" i="6"/>
  <c r="BY149" i="6"/>
  <c r="BY150" i="6"/>
  <c r="BY148" i="6"/>
  <c r="BY69" i="6"/>
  <c r="BY67" i="6"/>
  <c r="BY68" i="6"/>
  <c r="BZ65" i="6"/>
  <c r="CA65" i="6"/>
  <c r="BZ64" i="6"/>
  <c r="CA64" i="6"/>
  <c r="BZ66" i="6"/>
  <c r="CA66" i="6"/>
  <c r="BC342" i="3" l="1"/>
  <c r="BB342" i="3"/>
  <c r="BB341" i="3"/>
  <c r="BC341" i="3"/>
  <c r="BB340" i="3"/>
  <c r="BC340" i="3"/>
  <c r="BV58" i="6"/>
  <c r="BU58" i="6"/>
  <c r="BV59" i="6"/>
  <c r="BU59" i="6"/>
  <c r="BT57" i="6"/>
  <c r="BA99" i="6"/>
  <c r="BT63" i="6"/>
  <c r="BT62" i="6"/>
  <c r="BT61" i="6"/>
  <c r="BZ148" i="6"/>
  <c r="CA148" i="6"/>
  <c r="BZ150" i="6"/>
  <c r="CA150" i="6"/>
  <c r="BZ149" i="6"/>
  <c r="CA149" i="6"/>
  <c r="BY151" i="6"/>
  <c r="BY152" i="6"/>
  <c r="BY153" i="6"/>
  <c r="BY70" i="6"/>
  <c r="BY71" i="6"/>
  <c r="BY72" i="6"/>
  <c r="CA68" i="6"/>
  <c r="BZ68" i="6"/>
  <c r="BZ67" i="6"/>
  <c r="CA67" i="6"/>
  <c r="CA69" i="6"/>
  <c r="BZ69" i="6"/>
  <c r="BV63" i="6" l="1"/>
  <c r="BU63" i="6"/>
  <c r="BV61" i="6"/>
  <c r="BU61" i="6"/>
  <c r="BU62" i="6"/>
  <c r="BV62" i="6"/>
  <c r="BT60" i="6"/>
  <c r="BA100" i="6"/>
  <c r="BT66" i="6"/>
  <c r="BT65" i="6"/>
  <c r="BU57" i="6"/>
  <c r="BV57" i="6"/>
  <c r="CA153" i="6"/>
  <c r="BZ153" i="6"/>
  <c r="CA152" i="6"/>
  <c r="BZ152" i="6"/>
  <c r="BZ151" i="6"/>
  <c r="CA151" i="6"/>
  <c r="BY155" i="6"/>
  <c r="BY156" i="6"/>
  <c r="BY154" i="6"/>
  <c r="BZ72" i="6"/>
  <c r="CA72" i="6"/>
  <c r="BZ71" i="6"/>
  <c r="CA71" i="6"/>
  <c r="BY75" i="6"/>
  <c r="BY73" i="6"/>
  <c r="BY74" i="6"/>
  <c r="BZ70" i="6"/>
  <c r="CA70" i="6"/>
  <c r="BU60" i="6" l="1"/>
  <c r="BV60" i="6"/>
  <c r="BA101" i="6"/>
  <c r="BT69" i="6"/>
  <c r="BT67" i="6"/>
  <c r="BT68" i="6"/>
  <c r="BU66" i="6"/>
  <c r="BV66" i="6"/>
  <c r="BV65" i="6"/>
  <c r="BU65" i="6"/>
  <c r="BZ154" i="6"/>
  <c r="CA154" i="6"/>
  <c r="BZ155" i="6"/>
  <c r="CA155" i="6"/>
  <c r="BZ156" i="6"/>
  <c r="CA156" i="6"/>
  <c r="BY157" i="6"/>
  <c r="BY159" i="6"/>
  <c r="BY158" i="6"/>
  <c r="BY76" i="6"/>
  <c r="BY78" i="6"/>
  <c r="BY77" i="6"/>
  <c r="BZ75" i="6"/>
  <c r="CA75" i="6"/>
  <c r="BZ73" i="6"/>
  <c r="CA73" i="6"/>
  <c r="BZ74" i="6"/>
  <c r="CA74" i="6"/>
  <c r="BU69" i="6" l="1"/>
  <c r="BV69" i="6"/>
  <c r="BT64" i="6"/>
  <c r="BA102" i="6"/>
  <c r="BT72" i="6"/>
  <c r="BT71" i="6"/>
  <c r="BU67" i="6"/>
  <c r="BV67" i="6"/>
  <c r="BV68" i="6"/>
  <c r="BU68" i="6"/>
  <c r="CA158" i="6"/>
  <c r="BZ158" i="6"/>
  <c r="BZ157" i="6"/>
  <c r="CA157" i="6"/>
  <c r="BZ159" i="6"/>
  <c r="CA159" i="6"/>
  <c r="BY162" i="6"/>
  <c r="BY160" i="6"/>
  <c r="BY161" i="6"/>
  <c r="BY79" i="6"/>
  <c r="BY81" i="6"/>
  <c r="BY80" i="6"/>
  <c r="CA77" i="6"/>
  <c r="BZ77" i="6"/>
  <c r="BZ78" i="6"/>
  <c r="CA78" i="6"/>
  <c r="BZ76" i="6"/>
  <c r="CA76" i="6"/>
  <c r="BA103" i="6" l="1"/>
  <c r="BT75" i="6"/>
  <c r="BT73" i="6"/>
  <c r="BT74" i="6"/>
  <c r="BV64" i="6"/>
  <c r="BU64" i="6"/>
  <c r="BV71" i="6"/>
  <c r="BU71" i="6"/>
  <c r="BV72" i="6"/>
  <c r="BU72" i="6"/>
  <c r="BZ161" i="6"/>
  <c r="CA161" i="6"/>
  <c r="BZ160" i="6"/>
  <c r="CA160" i="6"/>
  <c r="BZ162" i="6"/>
  <c r="CA162" i="6"/>
  <c r="BY164" i="6"/>
  <c r="BY165" i="6"/>
  <c r="BY163" i="6"/>
  <c r="BY83" i="6"/>
  <c r="BY82" i="6"/>
  <c r="BY84" i="6"/>
  <c r="CA80" i="6"/>
  <c r="BZ80" i="6"/>
  <c r="CA81" i="6"/>
  <c r="BZ81" i="6"/>
  <c r="BZ79" i="6"/>
  <c r="CA79" i="6"/>
  <c r="BU74" i="6" l="1"/>
  <c r="BV74" i="6"/>
  <c r="BU73" i="6"/>
  <c r="BV73" i="6"/>
  <c r="BV75" i="6"/>
  <c r="BU75" i="6"/>
  <c r="BT70" i="6"/>
  <c r="BA104" i="6"/>
  <c r="BT76" i="6"/>
  <c r="BT77" i="6"/>
  <c r="BZ163" i="6"/>
  <c r="CA163" i="6"/>
  <c r="CA165" i="6"/>
  <c r="BZ165" i="6"/>
  <c r="BZ164" i="6"/>
  <c r="CA164" i="6"/>
  <c r="BY168" i="6"/>
  <c r="BY167" i="6"/>
  <c r="BY166" i="6"/>
  <c r="BZ84" i="6"/>
  <c r="CA84" i="6"/>
  <c r="BZ82" i="6"/>
  <c r="CA82" i="6"/>
  <c r="BY87" i="6"/>
  <c r="BY86" i="6"/>
  <c r="BY85" i="6"/>
  <c r="BZ83" i="6"/>
  <c r="CA83" i="6"/>
  <c r="BA105" i="6" l="1"/>
  <c r="BT81" i="6"/>
  <c r="BT80" i="6"/>
  <c r="BT79" i="6"/>
  <c r="BU77" i="6"/>
  <c r="BV77" i="6"/>
  <c r="BU70" i="6"/>
  <c r="BV70" i="6"/>
  <c r="BU76" i="6"/>
  <c r="BV76" i="6"/>
  <c r="BZ166" i="6"/>
  <c r="CA166" i="6"/>
  <c r="BZ167" i="6"/>
  <c r="CA167" i="6"/>
  <c r="BZ168" i="6"/>
  <c r="CA168" i="6"/>
  <c r="BY170" i="6"/>
  <c r="BY169" i="6"/>
  <c r="BY171" i="6"/>
  <c r="BZ87" i="6"/>
  <c r="CA87" i="6"/>
  <c r="CA85" i="6"/>
  <c r="BZ85" i="6"/>
  <c r="BY89" i="6"/>
  <c r="BY90" i="6"/>
  <c r="BY88" i="6"/>
  <c r="BZ86" i="6"/>
  <c r="CA86" i="6"/>
  <c r="BV79" i="6" l="1"/>
  <c r="BU79" i="6"/>
  <c r="BU80" i="6"/>
  <c r="BV80" i="6"/>
  <c r="BU81" i="6"/>
  <c r="BV81" i="6"/>
  <c r="BT78" i="6"/>
  <c r="BA106" i="6"/>
  <c r="BT83" i="6"/>
  <c r="BT84" i="6"/>
  <c r="BZ169" i="6"/>
  <c r="CA169" i="6"/>
  <c r="BZ171" i="6"/>
  <c r="CA171" i="6"/>
  <c r="BY173" i="6"/>
  <c r="BY174" i="6"/>
  <c r="BY172" i="6"/>
  <c r="BZ170" i="6"/>
  <c r="CA170" i="6"/>
  <c r="BZ90" i="6"/>
  <c r="CA90" i="6"/>
  <c r="BZ88" i="6"/>
  <c r="CA88" i="6"/>
  <c r="BZ89" i="6"/>
  <c r="CA89" i="6"/>
  <c r="BY91" i="6"/>
  <c r="BY92" i="6"/>
  <c r="BY93" i="6"/>
  <c r="BU78" i="6" l="1"/>
  <c r="BV78" i="6"/>
  <c r="BV83" i="6"/>
  <c r="BU83" i="6"/>
  <c r="BV84" i="6"/>
  <c r="BU84" i="6"/>
  <c r="BT87" i="6"/>
  <c r="BT86" i="6"/>
  <c r="BA107" i="6"/>
  <c r="BT85" i="6"/>
  <c r="BZ172" i="6"/>
  <c r="CA172" i="6"/>
  <c r="BZ174" i="6"/>
  <c r="CA174" i="6"/>
  <c r="BY177" i="6"/>
  <c r="BY176" i="6"/>
  <c r="BY175" i="6"/>
  <c r="BZ173" i="6"/>
  <c r="CA173" i="6"/>
  <c r="BY96" i="6"/>
  <c r="BY95" i="6"/>
  <c r="BY94" i="6"/>
  <c r="BZ91" i="6"/>
  <c r="CA91" i="6"/>
  <c r="CA93" i="6"/>
  <c r="BZ93" i="6"/>
  <c r="BZ92" i="6"/>
  <c r="CA92" i="6"/>
  <c r="BV85" i="6" l="1"/>
  <c r="BU85" i="6"/>
  <c r="BT82" i="6"/>
  <c r="BA108" i="6"/>
  <c r="BV86" i="6"/>
  <c r="BU86" i="6"/>
  <c r="BV87" i="6"/>
  <c r="BU87" i="6"/>
  <c r="BZ175" i="6"/>
  <c r="CA175" i="6"/>
  <c r="BZ176" i="6"/>
  <c r="CA176" i="6"/>
  <c r="CA177" i="6"/>
  <c r="BZ177" i="6"/>
  <c r="BY178" i="6"/>
  <c r="BY180" i="6"/>
  <c r="BY179" i="6"/>
  <c r="BY98" i="6"/>
  <c r="BY99" i="6"/>
  <c r="BY97" i="6"/>
  <c r="BZ94" i="6"/>
  <c r="CA94" i="6"/>
  <c r="BZ95" i="6"/>
  <c r="CA95" i="6"/>
  <c r="BZ96" i="6"/>
  <c r="CA96" i="6"/>
  <c r="BU82" i="6" l="1"/>
  <c r="BV82" i="6"/>
  <c r="BA109" i="6"/>
  <c r="BY7" i="6"/>
  <c r="BY9" i="6"/>
  <c r="BZ179" i="6"/>
  <c r="CA179" i="6"/>
  <c r="BZ180" i="6"/>
  <c r="CA180" i="6"/>
  <c r="CA178" i="6"/>
  <c r="BZ178" i="6"/>
  <c r="BY181" i="6"/>
  <c r="BY182" i="6"/>
  <c r="BY183" i="6"/>
  <c r="BY100" i="6"/>
  <c r="BY101" i="6"/>
  <c r="BY102" i="6"/>
  <c r="BZ97" i="6"/>
  <c r="CA97" i="6"/>
  <c r="CA99" i="6"/>
  <c r="BZ99" i="6"/>
  <c r="BZ98" i="6"/>
  <c r="CA98" i="6"/>
  <c r="BZ7" i="6" l="1"/>
  <c r="BZ6" i="6" s="1"/>
  <c r="CA7" i="6"/>
  <c r="BY8" i="6"/>
  <c r="BA110" i="6"/>
  <c r="BY10" i="6"/>
  <c r="BY11" i="6"/>
  <c r="CA9" i="6"/>
  <c r="BZ9" i="6"/>
  <c r="CA182" i="6"/>
  <c r="BZ182" i="6"/>
  <c r="BZ183" i="6"/>
  <c r="CA183" i="6"/>
  <c r="BZ181" i="6"/>
  <c r="CA181" i="6"/>
  <c r="BY185" i="6"/>
  <c r="BY186" i="6"/>
  <c r="BY184" i="6"/>
  <c r="CA102" i="6"/>
  <c r="BZ102" i="6"/>
  <c r="BY103" i="6"/>
  <c r="BY104" i="6"/>
  <c r="BY105" i="6"/>
  <c r="BZ101" i="6"/>
  <c r="CA101" i="6"/>
  <c r="BZ100" i="6"/>
  <c r="CA100" i="6"/>
  <c r="BY12" i="6" l="1"/>
  <c r="BA111" i="6"/>
  <c r="BY15" i="6"/>
  <c r="BY13" i="6"/>
  <c r="BZ8" i="6"/>
  <c r="CA8" i="6"/>
  <c r="BZ11" i="6"/>
  <c r="CA11" i="6"/>
  <c r="CA10" i="6"/>
  <c r="BZ10" i="6"/>
  <c r="CA186" i="6"/>
  <c r="BZ186" i="6"/>
  <c r="BZ184" i="6"/>
  <c r="CA184" i="6"/>
  <c r="BZ185" i="6"/>
  <c r="CA185" i="6"/>
  <c r="BY189" i="6"/>
  <c r="BY188" i="6"/>
  <c r="BY187" i="6"/>
  <c r="BZ105" i="6"/>
  <c r="CA105" i="6"/>
  <c r="CA104" i="6"/>
  <c r="BZ104" i="6"/>
  <c r="CA103" i="6"/>
  <c r="BZ103" i="6"/>
  <c r="BY108" i="6"/>
  <c r="BY107" i="6"/>
  <c r="BY106" i="6"/>
  <c r="BZ13" i="6" l="1"/>
  <c r="CA13" i="6"/>
  <c r="BZ15" i="6"/>
  <c r="CA15" i="6"/>
  <c r="BY14" i="6"/>
  <c r="BY18" i="6"/>
  <c r="BY16" i="6"/>
  <c r="BY17" i="6"/>
  <c r="BA112" i="6"/>
  <c r="BZ12" i="6"/>
  <c r="CA12" i="6"/>
  <c r="BZ187" i="6"/>
  <c r="CA187" i="6"/>
  <c r="BZ188" i="6"/>
  <c r="CA188" i="6"/>
  <c r="CA189" i="6"/>
  <c r="BZ189" i="6"/>
  <c r="BY190" i="6"/>
  <c r="BY192" i="6"/>
  <c r="BY191" i="6"/>
  <c r="BZ106" i="6"/>
  <c r="CA106" i="6"/>
  <c r="BZ107" i="6"/>
  <c r="CA107" i="6"/>
  <c r="BY109" i="6"/>
  <c r="BY110" i="6"/>
  <c r="BY111" i="6"/>
  <c r="BZ108" i="6"/>
  <c r="CA108" i="6"/>
  <c r="BY21" i="6" l="1"/>
  <c r="BY20" i="6"/>
  <c r="BY19" i="6"/>
  <c r="BA113" i="6"/>
  <c r="CA17" i="6"/>
  <c r="BZ17" i="6"/>
  <c r="BZ16" i="6"/>
  <c r="CA16" i="6"/>
  <c r="CA18" i="6"/>
  <c r="BZ18" i="6"/>
  <c r="CA14" i="6"/>
  <c r="BZ14" i="6"/>
  <c r="BZ191" i="6"/>
  <c r="CA191" i="6"/>
  <c r="BZ190" i="6"/>
  <c r="CA190" i="6"/>
  <c r="BZ192" i="6"/>
  <c r="CA192" i="6"/>
  <c r="BY194" i="6"/>
  <c r="BY195" i="6"/>
  <c r="BY193" i="6"/>
  <c r="BZ110" i="6"/>
  <c r="CA110" i="6"/>
  <c r="BZ109" i="6"/>
  <c r="CA109" i="6"/>
  <c r="BZ111" i="6"/>
  <c r="CA111" i="6"/>
  <c r="BY113" i="6"/>
  <c r="BY112" i="6"/>
  <c r="BY114" i="6"/>
  <c r="BZ19" i="6" l="1"/>
  <c r="CA19" i="6"/>
  <c r="CA20" i="6"/>
  <c r="BZ20" i="6"/>
  <c r="BY23" i="6"/>
  <c r="BA114" i="6"/>
  <c r="BY22" i="6"/>
  <c r="CA21" i="6"/>
  <c r="BZ21" i="6"/>
  <c r="CA194" i="6"/>
  <c r="BZ194" i="6"/>
  <c r="BZ195" i="6"/>
  <c r="CA195" i="6"/>
  <c r="BZ193" i="6"/>
  <c r="CA193" i="6"/>
  <c r="BY197" i="6"/>
  <c r="BY198" i="6"/>
  <c r="BY196" i="6"/>
  <c r="BY117" i="6"/>
  <c r="BY116" i="6"/>
  <c r="BY115" i="6"/>
  <c r="BZ113" i="6"/>
  <c r="CA113" i="6"/>
  <c r="BZ114" i="6"/>
  <c r="CA114" i="6"/>
  <c r="BZ112" i="6"/>
  <c r="CA112" i="6"/>
  <c r="BZ22" i="6" l="1"/>
  <c r="CA22" i="6"/>
  <c r="BY24" i="6"/>
  <c r="BA115" i="6"/>
  <c r="BY26" i="6"/>
  <c r="BY25" i="6"/>
  <c r="BY27" i="6"/>
  <c r="CA23" i="6"/>
  <c r="BZ23" i="6"/>
  <c r="BZ198" i="6"/>
  <c r="CA198" i="6"/>
  <c r="BZ196" i="6"/>
  <c r="CA196" i="6"/>
  <c r="BZ197" i="6"/>
  <c r="CA197" i="6"/>
  <c r="BY200" i="6"/>
  <c r="BY201" i="6"/>
  <c r="BY199" i="6"/>
  <c r="BY118" i="6"/>
  <c r="BY120" i="6"/>
  <c r="BY119" i="6"/>
  <c r="BZ116" i="6"/>
  <c r="CA116" i="6"/>
  <c r="BZ115" i="6"/>
  <c r="CA115" i="6"/>
  <c r="CA117" i="6"/>
  <c r="BZ117" i="6"/>
  <c r="BA116" i="6" l="1"/>
  <c r="BY29" i="6"/>
  <c r="BY28" i="6"/>
  <c r="BY30" i="6"/>
  <c r="CA25" i="6"/>
  <c r="BZ25" i="6"/>
  <c r="BZ24" i="6"/>
  <c r="CA24" i="6"/>
  <c r="CA27" i="6"/>
  <c r="BZ27" i="6"/>
  <c r="CA26" i="6"/>
  <c r="BZ26" i="6"/>
  <c r="BZ199" i="6"/>
  <c r="CA199" i="6"/>
  <c r="CA201" i="6"/>
  <c r="BZ201" i="6"/>
  <c r="BZ200" i="6"/>
  <c r="CA200" i="6"/>
  <c r="BY204" i="6"/>
  <c r="BY202" i="6"/>
  <c r="BY203" i="6"/>
  <c r="BZ119" i="6"/>
  <c r="CA119" i="6"/>
  <c r="BZ120" i="6"/>
  <c r="CA120" i="6"/>
  <c r="BY123" i="6"/>
  <c r="BY122" i="6"/>
  <c r="BY121" i="6"/>
  <c r="BZ118" i="6"/>
  <c r="CA118" i="6"/>
  <c r="BZ30" i="6" l="1"/>
  <c r="CA30" i="6"/>
  <c r="CA28" i="6"/>
  <c r="BZ28" i="6"/>
  <c r="CA29" i="6"/>
  <c r="BZ29" i="6"/>
  <c r="BA117" i="6"/>
  <c r="BY31" i="6"/>
  <c r="BY32" i="6"/>
  <c r="BY33" i="6"/>
  <c r="BZ203" i="6"/>
  <c r="CA203" i="6"/>
  <c r="BZ204" i="6"/>
  <c r="CA204" i="6"/>
  <c r="BZ202" i="6"/>
  <c r="CA202" i="6"/>
  <c r="BZ122" i="6"/>
  <c r="CA122" i="6"/>
  <c r="BZ123" i="6"/>
  <c r="CA123" i="6"/>
  <c r="BY126" i="6"/>
  <c r="BY124" i="6"/>
  <c r="BY125" i="6"/>
  <c r="CA121" i="6"/>
  <c r="BZ121" i="6"/>
  <c r="BZ33" i="6" l="1"/>
  <c r="CA33" i="6"/>
  <c r="BZ32" i="6"/>
  <c r="CA32" i="6"/>
  <c r="BA118" i="6"/>
  <c r="BY34" i="6"/>
  <c r="BY36" i="6"/>
  <c r="BY35" i="6"/>
  <c r="CA31" i="6"/>
  <c r="BZ31" i="6"/>
  <c r="BZ126" i="6"/>
  <c r="CA126" i="6"/>
  <c r="BZ125" i="6"/>
  <c r="CA125" i="6"/>
  <c r="BY128" i="6"/>
  <c r="BY129" i="6"/>
  <c r="BY127" i="6"/>
  <c r="CA124" i="6"/>
  <c r="BZ124" i="6"/>
  <c r="CA35" i="6" l="1"/>
  <c r="BZ35" i="6"/>
  <c r="BZ36" i="6"/>
  <c r="CA36" i="6"/>
  <c r="CA34" i="6"/>
  <c r="BZ34" i="6"/>
  <c r="BA119" i="6"/>
  <c r="BY37" i="6"/>
  <c r="BY38" i="6"/>
  <c r="BY39" i="6"/>
  <c r="BY130" i="6"/>
  <c r="BY132" i="6"/>
  <c r="BY131" i="6"/>
  <c r="BZ127" i="6"/>
  <c r="CA127" i="6"/>
  <c r="CA129" i="6"/>
  <c r="BZ129" i="6"/>
  <c r="BZ128" i="6"/>
  <c r="CA128" i="6"/>
  <c r="CA39" i="6" l="1"/>
  <c r="BZ39" i="6"/>
  <c r="BZ37" i="6"/>
  <c r="CA37" i="6"/>
  <c r="CA38" i="6"/>
  <c r="BZ38" i="6"/>
  <c r="BA120" i="6"/>
  <c r="BY42" i="6"/>
  <c r="BY40" i="6"/>
  <c r="BY41" i="6"/>
  <c r="BY60" i="6"/>
  <c r="BY58" i="6"/>
  <c r="BY59" i="6"/>
  <c r="BY57" i="6"/>
  <c r="BY55" i="6"/>
  <c r="BY56" i="6"/>
  <c r="BY135" i="6"/>
  <c r="BY134" i="6"/>
  <c r="BY133" i="6"/>
  <c r="BZ131" i="6"/>
  <c r="CA131" i="6"/>
  <c r="BZ132" i="6"/>
  <c r="CA132" i="6"/>
  <c r="CA130" i="6"/>
  <c r="BZ130" i="6"/>
  <c r="BY54" i="6"/>
  <c r="BY53" i="6"/>
  <c r="BY52" i="6"/>
  <c r="BZ42" i="6" l="1"/>
  <c r="CA42" i="6"/>
  <c r="CA40" i="6"/>
  <c r="BZ40" i="6"/>
  <c r="BY205" i="6"/>
  <c r="BA121" i="6"/>
  <c r="BY43" i="6"/>
  <c r="BY45" i="6"/>
  <c r="BY44" i="6"/>
  <c r="CA41" i="6"/>
  <c r="BZ41" i="6"/>
  <c r="CA58" i="6"/>
  <c r="BZ58" i="6"/>
  <c r="BZ59" i="6"/>
  <c r="CA59" i="6"/>
  <c r="CA60" i="6"/>
  <c r="BZ60" i="6"/>
  <c r="CA56" i="6"/>
  <c r="BZ56" i="6"/>
  <c r="CA55" i="6"/>
  <c r="BZ55" i="6"/>
  <c r="BZ57" i="6"/>
  <c r="CA57" i="6"/>
  <c r="BZ133" i="6"/>
  <c r="CA133" i="6"/>
  <c r="CA134" i="6"/>
  <c r="BZ134" i="6"/>
  <c r="BZ135" i="6"/>
  <c r="CA135" i="6"/>
  <c r="BZ53" i="6"/>
  <c r="CA53" i="6"/>
  <c r="BZ52" i="6"/>
  <c r="CA52" i="6"/>
  <c r="BZ54" i="6"/>
  <c r="CA54" i="6"/>
  <c r="AM8" i="6"/>
  <c r="AN8" i="6" s="1"/>
  <c r="CA44" i="6" l="1"/>
  <c r="BZ44" i="6"/>
  <c r="BZ45" i="6"/>
  <c r="CA45" i="6"/>
  <c r="BY46" i="6"/>
  <c r="BA122" i="6"/>
  <c r="BA123" i="6" s="1"/>
  <c r="BA124" i="6" s="1"/>
  <c r="BA125" i="6" s="1"/>
  <c r="BA126" i="6" s="1"/>
  <c r="BA127" i="6" s="1"/>
  <c r="BA128" i="6" s="1"/>
  <c r="BA129" i="6" s="1"/>
  <c r="BA130" i="6" s="1"/>
  <c r="BY47" i="6"/>
  <c r="BY48" i="6"/>
  <c r="CA205" i="6"/>
  <c r="BZ205" i="6"/>
  <c r="BZ43" i="6"/>
  <c r="CA43" i="6"/>
  <c r="AO9" i="6"/>
  <c r="AP9" i="6"/>
  <c r="AR9" i="6" s="1"/>
  <c r="BZ48" i="6" l="1"/>
  <c r="CA48" i="6"/>
  <c r="BY51" i="6"/>
  <c r="BY49" i="6"/>
  <c r="BY50" i="6"/>
  <c r="BZ46" i="6"/>
  <c r="CA46" i="6"/>
  <c r="BZ47" i="6"/>
  <c r="CA47" i="6"/>
  <c r="AQ9" i="6"/>
  <c r="AS9" i="6" s="1"/>
  <c r="AT9" i="6" s="1"/>
  <c r="BZ51" i="6" l="1"/>
  <c r="CA51" i="6"/>
  <c r="CA50" i="6"/>
  <c r="BZ50" i="6"/>
  <c r="BZ49" i="6"/>
  <c r="CA49" i="6"/>
  <c r="AU9" i="6"/>
  <c r="AM9" i="6"/>
  <c r="AN9" i="6" s="1"/>
  <c r="AO10" i="6" s="1"/>
  <c r="AP10" i="6" l="1"/>
  <c r="AR10" i="6" s="1"/>
  <c r="AQ10" i="6"/>
  <c r="AS10" i="6" s="1"/>
  <c r="AT10" i="6" l="1"/>
  <c r="AU10" i="6"/>
  <c r="AM10" i="6"/>
  <c r="AN10" i="6" s="1"/>
  <c r="AO11" i="6" s="1"/>
  <c r="AQ11" i="6" s="1"/>
  <c r="AS11" i="6" s="1"/>
  <c r="AP11" i="6" l="1"/>
  <c r="AR11" i="6" s="1"/>
  <c r="AT11" i="6" s="1"/>
  <c r="AM11" i="6" l="1"/>
  <c r="AN11" i="6" s="1"/>
  <c r="AO12" i="6" s="1"/>
  <c r="AU11" i="6"/>
  <c r="AP12" i="6" l="1"/>
  <c r="AR12" i="6" s="1"/>
  <c r="AQ12" i="6"/>
  <c r="AS12" i="6" s="1"/>
  <c r="AT12" i="6" l="1"/>
  <c r="AM12" i="6"/>
  <c r="AN12" i="6" s="1"/>
  <c r="AP13" i="6" s="1"/>
  <c r="AR13" i="6" s="1"/>
  <c r="AU12" i="6"/>
  <c r="AO13" i="6" l="1"/>
  <c r="AQ13" i="6" s="1"/>
  <c r="AS13" i="6" s="1"/>
  <c r="AT13" i="6" s="1"/>
  <c r="AM13" i="6" l="1"/>
  <c r="AN13" i="6" s="1"/>
  <c r="AP14" i="6" s="1"/>
  <c r="AR14" i="6" s="1"/>
  <c r="AU13" i="6"/>
  <c r="AO14" i="6" l="1"/>
  <c r="AQ14" i="6" s="1"/>
  <c r="AS14" i="6" s="1"/>
  <c r="AT14" i="6" s="1"/>
  <c r="AM14" i="6" l="1"/>
  <c r="AN14" i="6" s="1"/>
  <c r="AP15" i="6" s="1"/>
  <c r="AR15" i="6" s="1"/>
  <c r="AU14" i="6"/>
  <c r="AO15" i="6" l="1"/>
  <c r="AQ15" i="6" l="1"/>
  <c r="AS15" i="6" s="1"/>
  <c r="AT15" i="6" s="1"/>
  <c r="AM15" i="6" l="1"/>
  <c r="AN15" i="6" s="1"/>
  <c r="AU15" i="6"/>
  <c r="AO16" i="6" l="1"/>
  <c r="AP16" i="6"/>
  <c r="AR16" i="6" s="1"/>
  <c r="AQ16" i="6" l="1"/>
  <c r="AS16" i="6" s="1"/>
  <c r="AT16" i="6" s="1"/>
  <c r="AU16" i="6" l="1"/>
  <c r="AM16" i="6"/>
  <c r="AN16" i="6" s="1"/>
  <c r="AO17" i="6" l="1"/>
  <c r="AP17" i="6"/>
  <c r="AR17" i="6" s="1"/>
  <c r="AQ17" i="6" l="1"/>
  <c r="AS17" i="6" s="1"/>
  <c r="AT17" i="6" s="1"/>
  <c r="AM17" i="6" l="1"/>
  <c r="AN17" i="6" s="1"/>
  <c r="AU17" i="6"/>
  <c r="AP18" i="6" l="1"/>
  <c r="AR18" i="6" s="1"/>
  <c r="AO18" i="6"/>
  <c r="AQ18" i="6" s="1"/>
  <c r="AS18" i="6" s="1"/>
  <c r="AT18" i="6" l="1"/>
  <c r="AM18" i="6"/>
  <c r="AN18" i="6" s="1"/>
  <c r="AU18" i="6"/>
  <c r="AP19" i="6" l="1"/>
  <c r="AR19" i="6" s="1"/>
  <c r="AO19" i="6"/>
  <c r="AQ19" i="6" s="1"/>
  <c r="AS19" i="6" s="1"/>
  <c r="AT19" i="6" l="1"/>
  <c r="AM19" i="6"/>
  <c r="AN19" i="6" s="1"/>
  <c r="AU1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U8" authorId="0" shapeId="0" xr:uid="{9AF8E106-8586-40E9-A444-D51887C6FE6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1/2, 2/2</t>
        </r>
      </text>
    </comment>
    <comment ref="U16" authorId="0" shapeId="0" xr:uid="{423FAAD9-0CA5-4525-8773-81AF444ADA0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1/2,2/2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I5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BE6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6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</t>
        </r>
      </text>
    </comment>
    <comment ref="CU6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 xml:space="preserve">作者:
</t>
        </r>
      </text>
    </comment>
    <comment ref="CV6" authorId="0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 xml:space="preserve">作者:
</t>
        </r>
      </text>
    </comment>
    <comment ref="D26" authorId="0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I26" authorId="0" shapeId="0" xr:uid="{00000000-0006-0000-0200-000008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N26" authorId="0" shapeId="0" xr:uid="{00000000-0006-0000-0200-000009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S26" authorId="0" shapeId="0" xr:uid="{00000000-0006-0000-0200-00000A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X26" authorId="0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AI26" authorId="0" shapeId="0" xr:uid="{00000000-0006-0000-0200-000007000000}">
      <text>
        <r>
          <rPr>
            <b/>
            <sz val="14"/>
            <color indexed="81"/>
            <rFont val="宋体"/>
            <family val="3"/>
            <charset val="134"/>
          </rPr>
          <t>作者:</t>
        </r>
        <r>
          <rPr>
            <sz val="14"/>
            <color indexed="81"/>
            <rFont val="宋体"/>
            <family val="3"/>
            <charset val="134"/>
          </rPr>
          <t xml:space="preserve">
如果是锤入式钢桩请填0</t>
        </r>
      </text>
    </comment>
  </commentList>
</comments>
</file>

<file path=xl/sharedStrings.xml><?xml version="1.0" encoding="utf-8"?>
<sst xmlns="http://schemas.openxmlformats.org/spreadsheetml/2006/main" count="1075" uniqueCount="775">
  <si>
    <t>mm</t>
    <phoneticPr fontId="4" type="noConversion"/>
  </si>
  <si>
    <t>free</t>
  </si>
  <si>
    <t>fixed</t>
  </si>
  <si>
    <t>1P / 2P</t>
    <phoneticPr fontId="4" type="noConversion"/>
  </si>
  <si>
    <t>mm</t>
    <phoneticPr fontId="4" type="noConversion"/>
  </si>
  <si>
    <t>mm</t>
    <phoneticPr fontId="4" type="noConversion"/>
  </si>
  <si>
    <t>mm</t>
    <phoneticPr fontId="4" type="noConversion"/>
  </si>
  <si>
    <t>mm</t>
  </si>
  <si>
    <t>1P / 2P</t>
  </si>
  <si>
    <t>°</t>
    <phoneticPr fontId="4" type="noConversion"/>
  </si>
  <si>
    <t>mm</t>
    <phoneticPr fontId="4" type="noConversion"/>
  </si>
  <si>
    <t>mm</t>
    <phoneticPr fontId="4" type="noConversion"/>
  </si>
  <si>
    <t>°</t>
    <phoneticPr fontId="4" type="noConversion"/>
  </si>
  <si>
    <t>mm</t>
    <phoneticPr fontId="4" type="noConversion"/>
  </si>
  <si>
    <t>U120x2.5-Q355</t>
  </si>
  <si>
    <t>U120x2.5-Q420</t>
  </si>
  <si>
    <t>U120x2.5-Q500</t>
  </si>
  <si>
    <t>U120x2.6-Q355</t>
  </si>
  <si>
    <t>U120x2.6-Q420</t>
  </si>
  <si>
    <t>U120x2.6-Q500</t>
  </si>
  <si>
    <t>U120x2.7-Q355</t>
  </si>
  <si>
    <t>U120x2.7-Q420</t>
  </si>
  <si>
    <t>U120x2.7-Q500</t>
  </si>
  <si>
    <t>U120x2.8-Q355</t>
  </si>
  <si>
    <t>U120x2.8-Q420</t>
  </si>
  <si>
    <t>U120x2.8-Q500</t>
  </si>
  <si>
    <t>U120x2.9-Q355</t>
  </si>
  <si>
    <t>U120x2.9-Q420</t>
  </si>
  <si>
    <t>U120x2.9-Q500</t>
  </si>
  <si>
    <t>U120x3.0-Q355</t>
  </si>
  <si>
    <t>U120x3.0-Q420</t>
  </si>
  <si>
    <t>U120x3.0-Q500</t>
  </si>
  <si>
    <t>U120x3.1-Q355</t>
  </si>
  <si>
    <t>U120x3.1-Q420</t>
  </si>
  <si>
    <t>U120x3.1-Q500</t>
  </si>
  <si>
    <t>U120x3.2-Q355</t>
  </si>
  <si>
    <t>U120x3.2-Q420</t>
  </si>
  <si>
    <t>U120x3.2-Q500</t>
  </si>
  <si>
    <t>U120x3.3-Q355</t>
  </si>
  <si>
    <t>U120x3.3-Q420</t>
  </si>
  <si>
    <t>U120x3.3-Q500</t>
  </si>
  <si>
    <t>U120x3.4-Q355</t>
  </si>
  <si>
    <t>U120x3.4-Q420</t>
  </si>
  <si>
    <t>U120x3.4-Q500</t>
  </si>
  <si>
    <t>U120x3.5-Q355</t>
  </si>
  <si>
    <t>U120x3.5-Q420</t>
  </si>
  <si>
    <t>U120x3.5-Q500</t>
  </si>
  <si>
    <t>U120x3.6-Q355</t>
  </si>
  <si>
    <t>U120x3.6-Q420</t>
  </si>
  <si>
    <t>U120x3.6-Q500</t>
  </si>
  <si>
    <t>U120x3.7-Q355</t>
  </si>
  <si>
    <t>U120x3.7-Q420</t>
  </si>
  <si>
    <t>U120x3.7-Q500</t>
  </si>
  <si>
    <t>U120x3.8-Q355</t>
  </si>
  <si>
    <t>U120x3.8-Q420</t>
  </si>
  <si>
    <t>U120x3.8-Q500</t>
  </si>
  <si>
    <t>U120x3.9-Q355</t>
  </si>
  <si>
    <t>U120x3.9-Q420</t>
  </si>
  <si>
    <t>U120x3.9-Q500</t>
  </si>
  <si>
    <t>U120x4.0-Q355</t>
  </si>
  <si>
    <t>U120x4.0-Q420</t>
  </si>
  <si>
    <t>U120x4.0-Q500</t>
  </si>
  <si>
    <t>U120x4.1-Q355</t>
  </si>
  <si>
    <t>U120x4.1-Q420</t>
  </si>
  <si>
    <t>U120x4.1-Q500</t>
  </si>
  <si>
    <t>U120x4.2-Q355</t>
  </si>
  <si>
    <t>U120x4.2-Q420</t>
  </si>
  <si>
    <t>U120x4.2-Q500</t>
  </si>
  <si>
    <t>U120x4.3-Q355</t>
  </si>
  <si>
    <t>U120x4.3-Q420</t>
  </si>
  <si>
    <t>U120x4.3-Q500</t>
  </si>
  <si>
    <t>U120x4.4-Q355</t>
  </si>
  <si>
    <t>U120x4.4-Q420</t>
  </si>
  <si>
    <t>U120x4.4-Q500</t>
  </si>
  <si>
    <t>U120x4.5-Q355</t>
  </si>
  <si>
    <t>U120x4.5-Q420</t>
  </si>
  <si>
    <t>U120x4.5-Q500</t>
  </si>
  <si>
    <t>U120x4.6-Q355</t>
  </si>
  <si>
    <t>U120x4.6-Q420</t>
  </si>
  <si>
    <t>U120x4.6-Q500</t>
  </si>
  <si>
    <t>U120x4.7-Q355</t>
  </si>
  <si>
    <t>U120x4.7-Q420</t>
  </si>
  <si>
    <t>U120x4.7-Q500</t>
  </si>
  <si>
    <t>U120x4.8-Q355</t>
  </si>
  <si>
    <t>U120x4.8-Q420</t>
  </si>
  <si>
    <t>U120x4.8-Q500</t>
  </si>
  <si>
    <t>U120x4.9-Q355</t>
  </si>
  <si>
    <t>U120x4.9-Q420</t>
  </si>
  <si>
    <t>U120x4.9-Q500</t>
  </si>
  <si>
    <t>U120x5.0-Q355</t>
  </si>
  <si>
    <t>U120x5.0-Q420</t>
  </si>
  <si>
    <t>U120x5.0-Q500</t>
  </si>
  <si>
    <t>U120x5.1-Q355</t>
  </si>
  <si>
    <t>U120x5.1-Q420</t>
  </si>
  <si>
    <t>U120x5.1-Q500</t>
  </si>
  <si>
    <t>U120x5.2-Q355</t>
  </si>
  <si>
    <t>U120x5.2-Q420</t>
  </si>
  <si>
    <t>U120x5.2-Q500</t>
  </si>
  <si>
    <t>U120x5.3-Q355</t>
  </si>
  <si>
    <t>U120x5.3-Q420</t>
  </si>
  <si>
    <t>U120x5.3-Q500</t>
  </si>
  <si>
    <t>U120x5.4-Q355</t>
  </si>
  <si>
    <t>U120x5.4-Q420</t>
  </si>
  <si>
    <t>U120x5.4-Q500</t>
  </si>
  <si>
    <t>U120x5.5-Q355</t>
  </si>
  <si>
    <t>U120x5.5-Q420</t>
  </si>
  <si>
    <t>U120x5.5-Q500</t>
  </si>
  <si>
    <t>U120x5.6-Q355</t>
  </si>
  <si>
    <t>U120x5.6-Q420</t>
  </si>
  <si>
    <t>U120x5.6-Q500</t>
  </si>
  <si>
    <t>U120x5.7-Q355</t>
  </si>
  <si>
    <t>U120x5.7-Q420</t>
  </si>
  <si>
    <t>U120x5.7-Q500</t>
  </si>
  <si>
    <t>U120x5.8-Q355</t>
  </si>
  <si>
    <t>U120x5.8-Q420</t>
  </si>
  <si>
    <t>U120x5.8-Q500</t>
  </si>
  <si>
    <t>U120x5.9-Q355</t>
  </si>
  <si>
    <t>U120x5.9-Q420</t>
  </si>
  <si>
    <t>U120x5.9-Q500</t>
  </si>
  <si>
    <t>U120x6.0-Q355</t>
  </si>
  <si>
    <t>U120x6.0-Q420</t>
  </si>
  <si>
    <t>U120x6.0-Q500</t>
  </si>
  <si>
    <t>ST100x2.0-Q235</t>
  </si>
  <si>
    <t>ST100x2.0-Q355</t>
  </si>
  <si>
    <t>ST100x2.0-Q420</t>
  </si>
  <si>
    <t>ST100x2.0-Q500</t>
  </si>
  <si>
    <t>ST100x2.1-Q235</t>
  </si>
  <si>
    <t>ST100x2.1-Q355</t>
  </si>
  <si>
    <t>ST100x2.1-Q420</t>
  </si>
  <si>
    <t>ST100x2.1-Q500</t>
  </si>
  <si>
    <t>ST100x2.2-Q235</t>
  </si>
  <si>
    <t>ST100x2.2-Q355</t>
  </si>
  <si>
    <t>ST100x2.2-Q420</t>
  </si>
  <si>
    <t>ST100x2.2-Q500</t>
  </si>
  <si>
    <t>ST100x2.3-Q235</t>
  </si>
  <si>
    <t>ST100x2.3-Q355</t>
  </si>
  <si>
    <t>ST100x2.3-Q420</t>
  </si>
  <si>
    <t>ST100x2.3-Q500</t>
  </si>
  <si>
    <t>ST100x2.4-Q235</t>
  </si>
  <si>
    <t>ST100x2.4-Q355</t>
  </si>
  <si>
    <t>ST100x2.4-Q420</t>
  </si>
  <si>
    <t>ST100x2.4-Q500</t>
  </si>
  <si>
    <t>ST100x2.5-Q235</t>
  </si>
  <si>
    <t>ST100x2.5-Q355</t>
  </si>
  <si>
    <t>ST100x2.5-Q420</t>
  </si>
  <si>
    <t>ST100x2.5-Q500</t>
  </si>
  <si>
    <t>ST100x2.6-Q235</t>
  </si>
  <si>
    <t>ST100x2.6-Q355</t>
  </si>
  <si>
    <t>ST100x2.6-Q420</t>
  </si>
  <si>
    <t>ST100x2.6-Q500</t>
  </si>
  <si>
    <t>ST100x2.7-Q235</t>
  </si>
  <si>
    <t>ST100x2.7-Q355</t>
  </si>
  <si>
    <t>ST100x2.7-Q420</t>
  </si>
  <si>
    <t>ST100x2.7-Q500</t>
  </si>
  <si>
    <t>ST100x2.8-Q235</t>
  </si>
  <si>
    <t>ST100x2.8-Q355</t>
  </si>
  <si>
    <t>ST100x2.8-Q420</t>
  </si>
  <si>
    <t>ST100x2.8-Q500</t>
  </si>
  <si>
    <t>ST100x2.9-Q235</t>
  </si>
  <si>
    <t>ST100x2.9-Q355</t>
  </si>
  <si>
    <t>ST100x2.9-Q420</t>
  </si>
  <si>
    <t>ST100x2.9-Q500</t>
  </si>
  <si>
    <t>ST100x3.0-Q235</t>
  </si>
  <si>
    <t>ST100x3.0-Q355</t>
  </si>
  <si>
    <t>ST100x3.0-Q420</t>
  </si>
  <si>
    <t>ST100x3.0-Q500</t>
  </si>
  <si>
    <t>ST100x3.1-Q235</t>
  </si>
  <si>
    <t>ST100x3.1-Q355</t>
  </si>
  <si>
    <t>ST100x3.1-Q420</t>
  </si>
  <si>
    <t>ST100x3.1-Q500</t>
  </si>
  <si>
    <t>ST100x3.2-Q235</t>
  </si>
  <si>
    <t>ST100x3.2-Q355</t>
  </si>
  <si>
    <t>ST100x3.2-Q420</t>
  </si>
  <si>
    <t>ST100x3.2-Q500</t>
  </si>
  <si>
    <t>ST100x3.3-Q235</t>
  </si>
  <si>
    <t>ST100x3.3-Q355</t>
  </si>
  <si>
    <t>ST100x3.3-Q420</t>
  </si>
  <si>
    <t>ST100x3.3-Q500</t>
  </si>
  <si>
    <t>ST100x3.4-Q235</t>
  </si>
  <si>
    <t>ST100x3.4-Q355</t>
  </si>
  <si>
    <t>ST100x3.4-Q420</t>
  </si>
  <si>
    <t>ST100x3.4-Q500</t>
  </si>
  <si>
    <t>ST100x3.5-Q235</t>
  </si>
  <si>
    <t>ST100x3.5-Q355</t>
  </si>
  <si>
    <t>ST100x3.5-Q420</t>
  </si>
  <si>
    <t>ST100x3.5-Q500</t>
  </si>
  <si>
    <t>ST100x3.6-Q235</t>
  </si>
  <si>
    <t>ST100x3.6-Q355</t>
  </si>
  <si>
    <t>ST100x3.6-Q420</t>
  </si>
  <si>
    <t>ST100x3.6-Q500</t>
  </si>
  <si>
    <t>ST100x3.7-Q235</t>
  </si>
  <si>
    <t>ST100x3.7-Q355</t>
  </si>
  <si>
    <t>ST100x3.7-Q420</t>
  </si>
  <si>
    <t>ST100x3.7-Q500</t>
  </si>
  <si>
    <t>ST100x3.8-Q235</t>
  </si>
  <si>
    <t>ST100x3.8-Q355</t>
  </si>
  <si>
    <t>ST100x3.8-Q420</t>
  </si>
  <si>
    <t>ST100x3.8-Q500</t>
  </si>
  <si>
    <t>ST100x3.9-Q235</t>
  </si>
  <si>
    <t>ST100x3.9-Q355</t>
  </si>
  <si>
    <t>ST100x3.9-Q420</t>
  </si>
  <si>
    <t>ST100x3.9-Q500</t>
  </si>
  <si>
    <t>ST100x4.0-Q235</t>
  </si>
  <si>
    <t>ST100x4.0-Q355</t>
  </si>
  <si>
    <t>ST100x4.0-Q420</t>
  </si>
  <si>
    <t>ST100x4.0-Q500</t>
  </si>
  <si>
    <t>ST100x4.1-Q235</t>
  </si>
  <si>
    <t>ST100x4.1-Q355</t>
  </si>
  <si>
    <t>ST100x4.1-Q420</t>
  </si>
  <si>
    <t>ST100x4.1-Q500</t>
  </si>
  <si>
    <t>ST100x4.2-Q235</t>
  </si>
  <si>
    <t>ST100x4.2-Q355</t>
  </si>
  <si>
    <t>ST100x4.2-Q420</t>
  </si>
  <si>
    <t>ST100x4.2-Q500</t>
  </si>
  <si>
    <t>ST100x4.3-Q235</t>
  </si>
  <si>
    <t>ST100x4.3-Q355</t>
  </si>
  <si>
    <t>ST100x4.3-Q420</t>
  </si>
  <si>
    <t>ST100x4.3-Q500</t>
  </si>
  <si>
    <t>ST100x4.4-Q235</t>
  </si>
  <si>
    <t>ST100x4.4-Q355</t>
  </si>
  <si>
    <t>ST100x4.4-Q420</t>
  </si>
  <si>
    <t>ST100x4.4-Q500</t>
  </si>
  <si>
    <t>ST100x4.5-Q235</t>
  </si>
  <si>
    <t>ST100x4.5-Q355</t>
  </si>
  <si>
    <t>ST100x4.5-Q420</t>
  </si>
  <si>
    <t>ST100x4.5-Q500</t>
  </si>
  <si>
    <t>ST100x4.6-Q235</t>
  </si>
  <si>
    <t>ST100x4.6-Q355</t>
  </si>
  <si>
    <t>ST100x4.6-Q420</t>
  </si>
  <si>
    <t>ST100x4.6-Q500</t>
  </si>
  <si>
    <t>ST100x4.7-Q235</t>
  </si>
  <si>
    <t>ST100x4.7-Q355</t>
  </si>
  <si>
    <t>ST100x4.7-Q420</t>
  </si>
  <si>
    <t>ST100x4.7-Q500</t>
  </si>
  <si>
    <t>ST100x4.8-Q235</t>
  </si>
  <si>
    <t>ST100x4.8-Q355</t>
  </si>
  <si>
    <t>ST100x4.8-Q420</t>
  </si>
  <si>
    <t>ST100x4.8-Q500</t>
  </si>
  <si>
    <t>ST100x4.9-Q235</t>
  </si>
  <si>
    <t>ST100x4.9-Q355</t>
  </si>
  <si>
    <t>ST100x4.9-Q420</t>
  </si>
  <si>
    <t>ST100x4.9-Q500</t>
  </si>
  <si>
    <t>ST100x5.0-Q235</t>
  </si>
  <si>
    <t>ST100x5.0-Q355</t>
  </si>
  <si>
    <t>ST100x5.0-Q420</t>
  </si>
  <si>
    <t>ST100x5.0-Q500</t>
  </si>
  <si>
    <t>ST100x5.1-Q235</t>
  </si>
  <si>
    <t>ST100x5.1-Q355</t>
  </si>
  <si>
    <t>ST100x5.1-Q420</t>
  </si>
  <si>
    <t>ST100x5.1-Q500</t>
  </si>
  <si>
    <t>ST100x5.2-Q235</t>
  </si>
  <si>
    <t>ST100x5.2-Q355</t>
  </si>
  <si>
    <t>ST100x5.2-Q420</t>
  </si>
  <si>
    <t>ST100x5.2-Q500</t>
  </si>
  <si>
    <t>ST100x5.3-Q235</t>
  </si>
  <si>
    <t>ST100x5.3-Q355</t>
  </si>
  <si>
    <t>ST100x5.3-Q420</t>
  </si>
  <si>
    <t>ST100x5.3-Q500</t>
  </si>
  <si>
    <t>ST100x5.4-Q235</t>
  </si>
  <si>
    <t>ST100x5.4-Q355</t>
  </si>
  <si>
    <t>ST100x5.4-Q420</t>
  </si>
  <si>
    <t>ST100x5.4-Q500</t>
  </si>
  <si>
    <t>ST100x5.5-Q235</t>
  </si>
  <si>
    <t>ST100x5.5-Q355</t>
  </si>
  <si>
    <t>ST100x5.5-Q420</t>
  </si>
  <si>
    <t>ST100x5.5-Q500</t>
  </si>
  <si>
    <t>ST100x5.6-Q235</t>
  </si>
  <si>
    <t>ST100x5.6-Q355</t>
  </si>
  <si>
    <t>ST100x5.6-Q420</t>
  </si>
  <si>
    <t>ST100x5.6-Q500</t>
  </si>
  <si>
    <t>ST100x5.7-Q235</t>
  </si>
  <si>
    <t>ST100x5.7-Q355</t>
  </si>
  <si>
    <t>ST100x5.7-Q420</t>
  </si>
  <si>
    <t>ST100x5.7-Q500</t>
  </si>
  <si>
    <t>ST100x5.8-Q235</t>
  </si>
  <si>
    <t>ST100x5.8-Q355</t>
  </si>
  <si>
    <t>ST100x5.8-Q420</t>
  </si>
  <si>
    <t>ST100x5.8-Q500</t>
  </si>
  <si>
    <t>ST100x5.9-Q235</t>
  </si>
  <si>
    <t>ST100x5.9-Q355</t>
  </si>
  <si>
    <t>ST100x5.9-Q420</t>
  </si>
  <si>
    <t>ST100x5.9-Q500</t>
  </si>
  <si>
    <t>ST100x6.0-Q235</t>
  </si>
  <si>
    <t>ST100x6.0-Q355</t>
  </si>
  <si>
    <t>ST100x6.0-Q420</t>
  </si>
  <si>
    <t>ST100x6.0-Q500</t>
  </si>
  <si>
    <t>ST120x2.0-Q235</t>
  </si>
  <si>
    <t>ST120x2.0-Q355</t>
  </si>
  <si>
    <t>ST120x2.0-Q420</t>
  </si>
  <si>
    <t>ST120x2.0-Q500</t>
  </si>
  <si>
    <t>ST120x2.1-Q235</t>
  </si>
  <si>
    <t>ST120x2.1-Q355</t>
  </si>
  <si>
    <t>ST120x2.1-Q420</t>
  </si>
  <si>
    <t>ST120x2.1-Q500</t>
  </si>
  <si>
    <t>ST120x2.2-Q235</t>
  </si>
  <si>
    <t>ST120x2.2-Q355</t>
  </si>
  <si>
    <t>ST120x2.2-Q420</t>
  </si>
  <si>
    <t>ST120x2.2-Q500</t>
  </si>
  <si>
    <t>ST120x2.3-Q235</t>
  </si>
  <si>
    <t>ST120x2.3-Q355</t>
  </si>
  <si>
    <t>ST120x2.3-Q420</t>
  </si>
  <si>
    <t>ST120x2.3-Q500</t>
  </si>
  <si>
    <t>ST120x2.4-Q235</t>
  </si>
  <si>
    <t>ST120x2.4-Q355</t>
  </si>
  <si>
    <t>ST120x2.4-Q420</t>
  </si>
  <si>
    <t>ST120x2.4-Q500</t>
  </si>
  <si>
    <t>ST120x2.5-Q235</t>
  </si>
  <si>
    <t>ST120x2.5-Q355</t>
  </si>
  <si>
    <t>ST120x2.5-Q420</t>
  </si>
  <si>
    <t>ST120x2.5-Q500</t>
  </si>
  <si>
    <t>ST120x2.6-Q235</t>
  </si>
  <si>
    <t>ST120x2.6-Q355</t>
  </si>
  <si>
    <t>ST120x2.6-Q420</t>
  </si>
  <si>
    <t>ST120x2.6-Q500</t>
  </si>
  <si>
    <t>ST120x2.7-Q235</t>
  </si>
  <si>
    <t>ST120x2.7-Q355</t>
  </si>
  <si>
    <t>ST120x2.7-Q420</t>
  </si>
  <si>
    <t>ST120x2.7-Q500</t>
  </si>
  <si>
    <t>ST120x2.8-Q235</t>
  </si>
  <si>
    <t>ST120x2.8-Q355</t>
  </si>
  <si>
    <t>ST120x2.8-Q420</t>
  </si>
  <si>
    <t>ST120x2.8-Q500</t>
  </si>
  <si>
    <t>ST120x2.9-Q235</t>
  </si>
  <si>
    <t>ST120x2.9-Q355</t>
  </si>
  <si>
    <t>ST120x2.9-Q420</t>
  </si>
  <si>
    <t>ST120x2.9-Q500</t>
  </si>
  <si>
    <t>ST120x3.0-Q235</t>
  </si>
  <si>
    <t>ST120x3.0-Q355</t>
  </si>
  <si>
    <t>ST120x3.0-Q420</t>
  </si>
  <si>
    <t>ST120x3.0-Q500</t>
  </si>
  <si>
    <t>ST120x3.1-Q235</t>
  </si>
  <si>
    <t>ST120x3.1-Q355</t>
  </si>
  <si>
    <t>ST120x3.1-Q420</t>
  </si>
  <si>
    <t>ST120x3.1-Q500</t>
  </si>
  <si>
    <t>ST120x3.2-Q235</t>
  </si>
  <si>
    <t>ST120x3.2-Q355</t>
  </si>
  <si>
    <t>ST120x3.2-Q420</t>
  </si>
  <si>
    <t>ST120x3.2-Q500</t>
  </si>
  <si>
    <t>ST120x3.3-Q235</t>
  </si>
  <si>
    <t>ST120x3.3-Q355</t>
  </si>
  <si>
    <t>ST120x3.3-Q420</t>
  </si>
  <si>
    <t>ST120x3.3-Q500</t>
  </si>
  <si>
    <t>ST120x3.4-Q235</t>
  </si>
  <si>
    <t>ST120x3.4-Q355</t>
  </si>
  <si>
    <t>ST120x3.4-Q420</t>
  </si>
  <si>
    <t>ST120x3.4-Q500</t>
  </si>
  <si>
    <t>ST120x3.5-Q235</t>
  </si>
  <si>
    <t>ST120x3.5-Q355</t>
  </si>
  <si>
    <t>ST120x3.5-Q420</t>
  </si>
  <si>
    <t>ST120x3.5-Q500</t>
  </si>
  <si>
    <t>ST120x4.0-Q235</t>
  </si>
  <si>
    <t>ST120x4.0-Q355</t>
  </si>
  <si>
    <t>ST120x4.0-Q420</t>
  </si>
  <si>
    <t>ST120x4.0-Q500</t>
  </si>
  <si>
    <t>ST120x4.5-Q235</t>
  </si>
  <si>
    <t>ST120x4.5-Q355</t>
  </si>
  <si>
    <t>ST120x4.5-Q420</t>
  </si>
  <si>
    <t>ST120x4.5-Q500</t>
  </si>
  <si>
    <t>ST120x5.0-Q235</t>
  </si>
  <si>
    <t>ST120x5.0-Q355</t>
  </si>
  <si>
    <t>ST120x5.0-Q420</t>
  </si>
  <si>
    <t>ST120x5.0-Q500</t>
  </si>
  <si>
    <t>ST120x5.5-Q235</t>
  </si>
  <si>
    <t>ST120x5.5-Q355</t>
  </si>
  <si>
    <t>ST120x5.5-Q420</t>
  </si>
  <si>
    <t>ST120x5.5-Q500</t>
  </si>
  <si>
    <t>ST120x6.0-Q235</t>
  </si>
  <si>
    <t>ST120x6.0-Q355</t>
  </si>
  <si>
    <t>ST120x6.0-Q420</t>
  </si>
  <si>
    <t>ST120x6.0-Q500</t>
  </si>
  <si>
    <t>ST140x2.0-Q355</t>
  </si>
  <si>
    <t>ST140x2.0-Q420</t>
  </si>
  <si>
    <t>ST140x2.0-Q500</t>
  </si>
  <si>
    <t>ST140x2.1-Q355</t>
  </si>
  <si>
    <t>ST140x2.1-Q420</t>
  </si>
  <si>
    <t>ST140x2.1-Q500</t>
  </si>
  <si>
    <t>ST140x2.2-Q355</t>
  </si>
  <si>
    <t>ST140x2.2-Q420</t>
  </si>
  <si>
    <t>ST140x2.2-Q500</t>
  </si>
  <si>
    <t>ST140x2.3-Q355</t>
  </si>
  <si>
    <t>ST140x2.3-Q420</t>
  </si>
  <si>
    <t>ST140x2.3-Q500</t>
  </si>
  <si>
    <t>ST140x2.4-Q355</t>
  </si>
  <si>
    <t>ST140x2.4-Q420</t>
  </si>
  <si>
    <t>ST140x2.4-Q500</t>
  </si>
  <si>
    <t>ST140x2.5-Q355</t>
  </si>
  <si>
    <t>ST140x2.5-Q420</t>
  </si>
  <si>
    <t>ST140x2.5-Q500</t>
  </si>
  <si>
    <t>ST140x2.6-Q355</t>
  </si>
  <si>
    <t>ST140x2.6-Q420</t>
  </si>
  <si>
    <t>ST140x2.6-Q500</t>
  </si>
  <si>
    <t>ST140x2.7-Q355</t>
  </si>
  <si>
    <t>ST140x2.7-Q420</t>
  </si>
  <si>
    <t>ST140x2.7-Q500</t>
  </si>
  <si>
    <t>ST140x2.8-Q355</t>
  </si>
  <si>
    <t>ST140x2.8-Q420</t>
  </si>
  <si>
    <t>ST140x2.8-Q500</t>
  </si>
  <si>
    <t>ST140x2.9-Q355</t>
  </si>
  <si>
    <t>ST140x2.9-Q420</t>
  </si>
  <si>
    <t>ST140x2.9-Q500</t>
  </si>
  <si>
    <t>ST140x3.0-Q355</t>
  </si>
  <si>
    <t>ST140x3.0-Q420</t>
  </si>
  <si>
    <t>ST140x3.0-Q500</t>
  </si>
  <si>
    <t>ST140x3.1-Q355</t>
  </si>
  <si>
    <t>ST140x3.1-Q420</t>
  </si>
  <si>
    <t>ST140x3.1-Q500</t>
  </si>
  <si>
    <t>ST140x3.2-Q355</t>
  </si>
  <si>
    <t>ST140x3.2-Q420</t>
  </si>
  <si>
    <t>ST140x3.2-Q500</t>
  </si>
  <si>
    <t>ST140x3.3-Q355</t>
  </si>
  <si>
    <t>ST140x3.3-Q420</t>
  </si>
  <si>
    <t>ST140x3.3-Q500</t>
  </si>
  <si>
    <t>ST140x3.4-Q355</t>
  </si>
  <si>
    <t>ST140x3.4-Q420</t>
  </si>
  <si>
    <t>ST140x3.4-Q500</t>
  </si>
  <si>
    <t>ST140x3.5-Q355</t>
  </si>
  <si>
    <t>ST140x3.5-Q420</t>
  </si>
  <si>
    <t>ST140x3.5-Q500</t>
  </si>
  <si>
    <t>ST140x3.6-Q355</t>
  </si>
  <si>
    <t>ST140x3.6-Q420</t>
  </si>
  <si>
    <t>ST140x3.6-Q500</t>
  </si>
  <si>
    <t>ST140x3.7-Q355</t>
  </si>
  <si>
    <t>ST140x3.7-Q420</t>
  </si>
  <si>
    <t>ST140x3.7-Q500</t>
  </si>
  <si>
    <t>ST140x3.8-Q355</t>
  </si>
  <si>
    <t>ST140x3.8-Q420</t>
  </si>
  <si>
    <t>ST140x3.8-Q500</t>
  </si>
  <si>
    <t>ST140x3.9-Q355</t>
  </si>
  <si>
    <t>ST140x3.9-Q420</t>
  </si>
  <si>
    <t>ST140x3.9-Q500</t>
  </si>
  <si>
    <t>ST140x4.0-Q355</t>
  </si>
  <si>
    <t>ST140x4.0-Q420</t>
  </si>
  <si>
    <t>ST140x4.0-Q500</t>
  </si>
  <si>
    <t>ST140x4.5-Q355</t>
  </si>
  <si>
    <t>ST140x4.5-Q420</t>
  </si>
  <si>
    <t>ST140x4.5-Q500</t>
  </si>
  <si>
    <t>ST140x5.0-Q355</t>
  </si>
  <si>
    <t>ST140x5.0-Q420</t>
  </si>
  <si>
    <t>ST140x5.0-Q500</t>
  </si>
  <si>
    <t>ST140x5.5-Q355</t>
  </si>
  <si>
    <t>ST140x5.5-Q420</t>
  </si>
  <si>
    <t>ST140x5.5-Q500</t>
  </si>
  <si>
    <t>ST140x6.0-Q355</t>
  </si>
  <si>
    <t>ST140x6.0-Q420</t>
  </si>
  <si>
    <t>ST140x6.0-Q500</t>
  </si>
  <si>
    <t>C150x100x30x3.0-Q355</t>
  </si>
  <si>
    <t>C150x100x30x3.0-Q420</t>
  </si>
  <si>
    <t>C150x100x30x3.0-Q500</t>
  </si>
  <si>
    <t>C170x100x30x3.0-Q355</t>
  </si>
  <si>
    <t>C170x100x30x3.0-Q420</t>
  </si>
  <si>
    <t>C170x100x30x3.0-Q500</t>
  </si>
  <si>
    <t>C170x100x30x3.5-Q355</t>
  </si>
  <si>
    <t>C170x100x30x3.5-Q420</t>
  </si>
  <si>
    <t>C170x100x30x3.5-Q500</t>
  </si>
  <si>
    <t>C190x100x30x3.0-Q355</t>
  </si>
  <si>
    <t>C190x100x30x3.0-Q420</t>
  </si>
  <si>
    <t>C190x100x30x3.0-Q500</t>
  </si>
  <si>
    <t>C190x100x30x3.5-Q355</t>
  </si>
  <si>
    <t>C190x100x30x3.5-Q420</t>
  </si>
  <si>
    <t>C190x100x30x3.5-Q500</t>
  </si>
  <si>
    <t>C210x100x30x3.0-Q355</t>
  </si>
  <si>
    <t>C210x100x30x3.0-Q420</t>
  </si>
  <si>
    <t>C210x100x30x3.0-Q500</t>
  </si>
  <si>
    <t>C210x100x30x3.5-Q355</t>
  </si>
  <si>
    <t>C210x100x30x3.5-Q420</t>
  </si>
  <si>
    <t>C210x100x30x3.5-Q500</t>
  </si>
  <si>
    <t>C210x100x30x4.0-Q355</t>
  </si>
  <si>
    <t>C210x100x30x4.0-Q420</t>
  </si>
  <si>
    <t>C210x100x30x4.0-Q500</t>
  </si>
  <si>
    <t>C210x100x30x4.5-Q500</t>
  </si>
  <si>
    <t>C210x100x30x5.0-Q500</t>
  </si>
  <si>
    <t>C210x100x30x5.5-Q500</t>
  </si>
  <si>
    <t>H147x100x3.3x4.2-Q235</t>
  </si>
  <si>
    <t>H147x100x3.3x4.2-Q355</t>
  </si>
  <si>
    <t>H148x100x4.3x4.9-Q235</t>
  </si>
  <si>
    <t>H148x100x4.3x4.9-Q355</t>
  </si>
  <si>
    <t>H150x100x4.3x5.5-Q235</t>
  </si>
  <si>
    <t>H150x100x4.3x5.5-Q355</t>
  </si>
  <si>
    <t>H153x102x5.8x7.1-Q235</t>
  </si>
  <si>
    <t>H153x102x5.8x7.1-Q355</t>
  </si>
  <si>
    <t>H152x152x5.8x6.6-Q235</t>
  </si>
  <si>
    <t>H152x152x5.8x6.6-Q355</t>
  </si>
  <si>
    <t>H157x153x6.6x9.3-Q235</t>
  </si>
  <si>
    <t>H157x153x6.6x9.3-Q355</t>
  </si>
  <si>
    <t>H162x154x8.1x11.6-Q235</t>
  </si>
  <si>
    <t>H162x154x8.1x11.6-Q355</t>
  </si>
  <si>
    <t>H200x100x3.2x4.5-Q235</t>
  </si>
  <si>
    <t>H200x100x3.2x4.5-Q355</t>
  </si>
  <si>
    <t>H200x100x4.3x5.2-Q235</t>
  </si>
  <si>
    <t>H200x100x4.3x5.2-Q355</t>
  </si>
  <si>
    <t>H203x102x5.8x6.5-Q235</t>
  </si>
  <si>
    <t>H203x102x5.8x6.5-Q355</t>
  </si>
  <si>
    <t>H206x102x6.2x8.0-Q235</t>
  </si>
  <si>
    <t>H206x102x6.2x8.0-Q355</t>
  </si>
  <si>
    <t>H207x133x5.8x8.4-Q235</t>
  </si>
  <si>
    <t>H207x133x5.8x8.4-Q355</t>
  </si>
  <si>
    <t>H210x134x6.4x10.2-Q235</t>
  </si>
  <si>
    <t>H210x134x6.4x10.2-Q355</t>
  </si>
  <si>
    <t>H201x165x6.2x10.2-Q235</t>
  </si>
  <si>
    <t>H201x165x6.2x10.2-Q355</t>
  </si>
  <si>
    <t>H205x166x7.2x11.8-Q235</t>
  </si>
  <si>
    <t>H205x166x7.2x11.8-Q355</t>
  </si>
  <si>
    <t>mm</t>
    <phoneticPr fontId="4" type="noConversion"/>
  </si>
  <si>
    <t>°</t>
    <phoneticPr fontId="4" type="noConversion"/>
  </si>
  <si>
    <t>MotorGap</t>
    <phoneticPr fontId="4" type="noConversion"/>
  </si>
  <si>
    <r>
      <rPr>
        <sz val="11"/>
        <color theme="1"/>
        <rFont val="宋体"/>
        <family val="3"/>
        <charset val="134"/>
      </rPr>
      <t>立柱规格</t>
    </r>
    <phoneticPr fontId="4" type="noConversion"/>
  </si>
  <si>
    <r>
      <rPr>
        <b/>
        <sz val="14"/>
        <color theme="1"/>
        <rFont val="宋体"/>
        <family val="3"/>
        <charset val="134"/>
      </rPr>
      <t>主梁参数</t>
    </r>
    <phoneticPr fontId="4" type="noConversion"/>
  </si>
  <si>
    <r>
      <rPr>
        <b/>
        <sz val="14"/>
        <color theme="1"/>
        <rFont val="宋体"/>
        <family val="3"/>
        <charset val="134"/>
      </rPr>
      <t>立柱参数</t>
    </r>
    <phoneticPr fontId="4" type="noConversion"/>
  </si>
  <si>
    <r>
      <rPr>
        <sz val="11"/>
        <color theme="1"/>
        <rFont val="宋体"/>
        <family val="3"/>
        <charset val="134"/>
      </rPr>
      <t>主梁规格</t>
    </r>
    <phoneticPr fontId="4" type="noConversion"/>
  </si>
  <si>
    <r>
      <rPr>
        <sz val="11"/>
        <color theme="1"/>
        <rFont val="宋体"/>
        <family val="3"/>
        <charset val="134"/>
      </rPr>
      <t>主梁高度</t>
    </r>
    <r>
      <rPr>
        <sz val="11"/>
        <color theme="1"/>
        <rFont val="Times New Roman"/>
        <family val="1"/>
      </rPr>
      <t>(mm)</t>
    </r>
    <phoneticPr fontId="4" type="noConversion"/>
  </si>
  <si>
    <r>
      <rPr>
        <sz val="11"/>
        <color theme="1"/>
        <rFont val="宋体"/>
        <family val="3"/>
        <charset val="134"/>
      </rPr>
      <t>主梁宽度</t>
    </r>
    <r>
      <rPr>
        <sz val="11"/>
        <color theme="1"/>
        <rFont val="Times New Roman"/>
        <family val="1"/>
      </rPr>
      <t>(mm)</t>
    </r>
    <phoneticPr fontId="4" type="noConversion"/>
  </si>
  <si>
    <t>mm</t>
    <phoneticPr fontId="4" type="noConversion"/>
  </si>
  <si>
    <t>末端余量-左</t>
    <phoneticPr fontId="4" type="noConversion"/>
  </si>
  <si>
    <t>末端余量-右</t>
    <phoneticPr fontId="4" type="noConversion"/>
  </si>
  <si>
    <t>檩条长度</t>
    <phoneticPr fontId="4" type="noConversion"/>
  </si>
  <si>
    <t>mm</t>
    <phoneticPr fontId="4" type="noConversion"/>
  </si>
  <si>
    <t>主梁段号</t>
    <phoneticPr fontId="4" type="noConversion"/>
  </si>
  <si>
    <t>主梁实际长度(mm)</t>
    <phoneticPr fontId="4" type="noConversion"/>
  </si>
  <si>
    <t>主梁参数</t>
    <phoneticPr fontId="4" type="noConversion"/>
  </si>
  <si>
    <t>主梁规格</t>
    <phoneticPr fontId="4" type="noConversion"/>
  </si>
  <si>
    <t>立柱参数</t>
    <phoneticPr fontId="4" type="noConversion"/>
  </si>
  <si>
    <t>立柱序号</t>
    <phoneticPr fontId="4" type="noConversion"/>
  </si>
  <si>
    <t>立柱跨距(mm)</t>
    <phoneticPr fontId="4" type="noConversion"/>
  </si>
  <si>
    <t>约束形式</t>
    <phoneticPr fontId="4" type="noConversion"/>
  </si>
  <si>
    <t>立柱规格</t>
    <phoneticPr fontId="4" type="noConversion"/>
  </si>
  <si>
    <t>实际尺寸</t>
    <phoneticPr fontId="4" type="noConversion"/>
  </si>
  <si>
    <t>组件长度</t>
    <phoneticPr fontId="4" type="noConversion"/>
  </si>
  <si>
    <t>组件宽度</t>
    <phoneticPr fontId="4" type="noConversion"/>
  </si>
  <si>
    <t>mm</t>
    <phoneticPr fontId="4" type="noConversion"/>
  </si>
  <si>
    <t>支架型号</t>
  </si>
  <si>
    <t>组件厚度</t>
  </si>
  <si>
    <t>组件短边孔距</t>
    <phoneticPr fontId="4" type="noConversion"/>
  </si>
  <si>
    <t>檩条高度</t>
    <phoneticPr fontId="4" type="noConversion"/>
  </si>
  <si>
    <t>组件间隙-平行于主梁</t>
  </si>
  <si>
    <t>组件间隙-垂直于主梁</t>
  </si>
  <si>
    <t>组件数量</t>
  </si>
  <si>
    <t>系统角度</t>
    <phoneticPr fontId="4" type="noConversion"/>
  </si>
  <si>
    <t>最小离地高度</t>
    <phoneticPr fontId="4" type="noConversion"/>
  </si>
  <si>
    <t>主梁尺寸</t>
    <phoneticPr fontId="4" type="noConversion"/>
  </si>
  <si>
    <t>旋转中心距离驱动立柱最高点</t>
    <phoneticPr fontId="4" type="noConversion"/>
  </si>
  <si>
    <t>旋转中心距离普通立柱最高点</t>
    <phoneticPr fontId="4" type="noConversion"/>
  </si>
  <si>
    <t>方管连接件长度</t>
  </si>
  <si>
    <t>基础露头</t>
  </si>
  <si>
    <t>基础埋深</t>
  </si>
  <si>
    <t>法兰板厚度</t>
  </si>
  <si>
    <t>檩条宽度</t>
    <phoneticPr fontId="4" type="noConversion"/>
  </si>
  <si>
    <t>基本参数</t>
    <phoneticPr fontId="4" type="noConversion"/>
  </si>
  <si>
    <t>项目信息</t>
    <phoneticPr fontId="4" type="noConversion"/>
  </si>
  <si>
    <t>中间参数</t>
    <phoneticPr fontId="4" type="noConversion"/>
  </si>
  <si>
    <t>组件列数</t>
  </si>
  <si>
    <t>弦长</t>
    <phoneticPr fontId="4" type="noConversion"/>
  </si>
  <si>
    <t>驱动立柱高度</t>
    <phoneticPr fontId="4" type="noConversion"/>
  </si>
  <si>
    <t>普通立柱高度</t>
    <phoneticPr fontId="4" type="noConversion"/>
  </si>
  <si>
    <t>主梁中心离地高度</t>
    <phoneticPr fontId="4" type="noConversion"/>
  </si>
  <si>
    <t>基本参数(请勿在此处修改)</t>
    <phoneticPr fontId="4" type="noConversion"/>
  </si>
  <si>
    <t>立柱相关参数</t>
    <phoneticPr fontId="4" type="noConversion"/>
  </si>
  <si>
    <t>绘图辅助</t>
    <phoneticPr fontId="4" type="noConversion"/>
  </si>
  <si>
    <t>支架型号</t>
    <phoneticPr fontId="4" type="noConversion"/>
  </si>
  <si>
    <t>主轴序号</t>
    <phoneticPr fontId="4" type="noConversion"/>
  </si>
  <si>
    <t>主轴长度</t>
    <phoneticPr fontId="4" type="noConversion"/>
  </si>
  <si>
    <t>主轴起点坐标</t>
    <phoneticPr fontId="4" type="noConversion"/>
  </si>
  <si>
    <t>主轴终点坐标</t>
    <phoneticPr fontId="4" type="noConversion"/>
  </si>
  <si>
    <t>主轴规格</t>
    <phoneticPr fontId="4" type="noConversion"/>
  </si>
  <si>
    <t>普通立柱序号</t>
    <phoneticPr fontId="4" type="noConversion"/>
  </si>
  <si>
    <t>立柱跨距</t>
    <phoneticPr fontId="4" type="noConversion"/>
  </si>
  <si>
    <t>约束</t>
    <phoneticPr fontId="4" type="noConversion"/>
  </si>
  <si>
    <t>基础顶部高程</t>
    <phoneticPr fontId="4" type="noConversion"/>
  </si>
  <si>
    <t>规格</t>
    <phoneticPr fontId="4" type="noConversion"/>
  </si>
  <si>
    <t>立柱位置</t>
    <phoneticPr fontId="4" type="noConversion"/>
  </si>
  <si>
    <t>纵坐标</t>
    <phoneticPr fontId="4" type="noConversion"/>
  </si>
  <si>
    <t>跨距绘制点</t>
    <phoneticPr fontId="4" type="noConversion"/>
  </si>
  <si>
    <t>跨距</t>
    <phoneticPr fontId="4" type="noConversion"/>
  </si>
  <si>
    <t>立柱标签位置</t>
    <phoneticPr fontId="4" type="noConversion"/>
  </si>
  <si>
    <t>立柱标签</t>
    <phoneticPr fontId="4" type="noConversion"/>
  </si>
  <si>
    <t>组件高度</t>
    <phoneticPr fontId="4" type="noConversion"/>
  </si>
  <si>
    <t>组件厚度</t>
    <phoneticPr fontId="4" type="noConversion"/>
  </si>
  <si>
    <t>组件数量</t>
    <phoneticPr fontId="4" type="noConversion"/>
  </si>
  <si>
    <t>组件列数</t>
    <phoneticPr fontId="4" type="noConversion"/>
  </si>
  <si>
    <t>组件间隙-平行于主梁</t>
    <phoneticPr fontId="4" type="noConversion"/>
  </si>
  <si>
    <t>组件间隙-垂直于主梁</t>
    <phoneticPr fontId="4" type="noConversion"/>
  </si>
  <si>
    <t>回转电机间隙</t>
    <phoneticPr fontId="4" type="noConversion"/>
  </si>
  <si>
    <t>驱动立柱数量</t>
    <phoneticPr fontId="4" type="noConversion"/>
  </si>
  <si>
    <t>普通立柱数量</t>
    <phoneticPr fontId="4" type="noConversion"/>
  </si>
  <si>
    <t>主梁间隙</t>
    <phoneticPr fontId="4" type="noConversion"/>
  </si>
  <si>
    <t>主梁分段数</t>
    <phoneticPr fontId="4" type="noConversion"/>
  </si>
  <si>
    <t>左悬臂长度</t>
    <phoneticPr fontId="4" type="noConversion"/>
  </si>
  <si>
    <t>右悬臂长度</t>
    <phoneticPr fontId="4" type="noConversion"/>
  </si>
  <si>
    <t>组件从左至右长度</t>
    <phoneticPr fontId="4" type="noConversion"/>
  </si>
  <si>
    <t>主梁从左至右长度</t>
    <phoneticPr fontId="4" type="noConversion"/>
  </si>
  <si>
    <t>主梁中心高程</t>
    <phoneticPr fontId="4" type="noConversion"/>
  </si>
  <si>
    <t>方管连接件长度</t>
    <phoneticPr fontId="4" type="noConversion"/>
  </si>
  <si>
    <t>最大角度</t>
    <phoneticPr fontId="4" type="noConversion"/>
  </si>
  <si>
    <t>地面高程</t>
    <phoneticPr fontId="4" type="noConversion"/>
  </si>
  <si>
    <t>末端</t>
    <phoneticPr fontId="4" type="noConversion"/>
  </si>
  <si>
    <t>基础露头</t>
    <phoneticPr fontId="4" type="noConversion"/>
  </si>
  <si>
    <t>基础埋深</t>
    <phoneticPr fontId="4" type="noConversion"/>
  </si>
  <si>
    <t>檩条位置信息</t>
    <phoneticPr fontId="4" type="noConversion"/>
  </si>
  <si>
    <t>檩条序号</t>
    <phoneticPr fontId="4" type="noConversion"/>
  </si>
  <si>
    <t>组件短边孔距</t>
  </si>
  <si>
    <t>檩条孔距</t>
  </si>
  <si>
    <t>檩条宽度</t>
  </si>
  <si>
    <t>檩条高度</t>
  </si>
  <si>
    <t>驱动立柱相关参数</t>
    <phoneticPr fontId="4" type="noConversion"/>
  </si>
  <si>
    <t>驱动立柱辅助画图</t>
    <phoneticPr fontId="4" type="noConversion"/>
  </si>
  <si>
    <t>普通立柱辅助画图</t>
    <phoneticPr fontId="4" type="noConversion"/>
  </si>
  <si>
    <t>跨距及编号辅助画图</t>
    <phoneticPr fontId="4" type="noConversion"/>
  </si>
  <si>
    <t>驱动立柱序号</t>
    <phoneticPr fontId="4" type="noConversion"/>
  </si>
  <si>
    <t>驱动立柱位置</t>
    <phoneticPr fontId="4" type="noConversion"/>
  </si>
  <si>
    <t>驱动立柱坐标</t>
    <phoneticPr fontId="4" type="noConversion"/>
  </si>
  <si>
    <t>驱动立柱坐标(绘图用)</t>
    <phoneticPr fontId="4" type="noConversion"/>
  </si>
  <si>
    <t>驱动立柱处主梁高程</t>
    <phoneticPr fontId="4" type="noConversion"/>
  </si>
  <si>
    <t>分段序号</t>
    <phoneticPr fontId="4" type="noConversion"/>
  </si>
  <si>
    <t>普通立柱坐标</t>
    <phoneticPr fontId="4" type="noConversion"/>
  </si>
  <si>
    <t>普通立柱对应坐标</t>
    <phoneticPr fontId="4" type="noConversion"/>
  </si>
  <si>
    <t>普通立柱处主梁高程</t>
    <phoneticPr fontId="4" type="noConversion"/>
  </si>
  <si>
    <t>所有立柱位置坐标</t>
    <phoneticPr fontId="4" type="noConversion"/>
  </si>
  <si>
    <t>首段</t>
    <phoneticPr fontId="4" type="noConversion"/>
  </si>
  <si>
    <t>左端点坐标</t>
    <phoneticPr fontId="4" type="noConversion"/>
  </si>
  <si>
    <t>右端点坐标</t>
    <phoneticPr fontId="4" type="noConversion"/>
  </si>
  <si>
    <t>左端点坐标</t>
  </si>
  <si>
    <t>普通立柱规格</t>
    <phoneticPr fontId="4" type="noConversion"/>
  </si>
  <si>
    <t>次首段</t>
    <phoneticPr fontId="4" type="noConversion"/>
  </si>
  <si>
    <t>末端跨距</t>
    <phoneticPr fontId="4" type="noConversion"/>
  </si>
  <si>
    <t>中间段</t>
    <phoneticPr fontId="4" type="noConversion"/>
  </si>
  <si>
    <t>檩条孔距</t>
    <phoneticPr fontId="4" type="noConversion"/>
  </si>
  <si>
    <t>法兰板厚度</t>
    <phoneticPr fontId="4" type="noConversion"/>
  </si>
  <si>
    <t>次末段</t>
    <phoneticPr fontId="4" type="noConversion"/>
  </si>
  <si>
    <t>末段</t>
    <phoneticPr fontId="4" type="noConversion"/>
  </si>
  <si>
    <t>推杆系列45,50， 回转系列45,50,55,60</t>
    <phoneticPr fontId="4" type="noConversion"/>
  </si>
  <si>
    <t>Steel pile填0，Concrete填基础露出的部分</t>
    <phoneticPr fontId="4" type="noConversion"/>
  </si>
  <si>
    <t>Steel pile填0，Concrete with pile填0，Concrete with flange填大于0的数字</t>
    <phoneticPr fontId="4" type="noConversion"/>
  </si>
  <si>
    <t>旋转中心距离驱动立柱最高点</t>
  </si>
  <si>
    <t>旋转中心距离普通立柱最高点</t>
  </si>
  <si>
    <t>CPP-D-4Motor</t>
    <phoneticPr fontId="4" type="noConversion"/>
  </si>
  <si>
    <t>ST150x3.0-Q500</t>
  </si>
  <si>
    <t>ST150x3.0-Q500</t>
    <phoneticPr fontId="4" type="noConversion"/>
  </si>
  <si>
    <t>图纸语言</t>
    <phoneticPr fontId="4" type="noConversion"/>
  </si>
  <si>
    <t>右端点坐标</t>
    <phoneticPr fontId="4" type="noConversion"/>
  </si>
  <si>
    <t>普通立柱坐标</t>
  </si>
  <si>
    <t>主轴相关参数(实际长度)</t>
    <phoneticPr fontId="4" type="noConversion"/>
  </si>
  <si>
    <t>区域序号</t>
    <phoneticPr fontId="4" type="noConversion"/>
  </si>
  <si>
    <t>区域组件数</t>
    <phoneticPr fontId="4" type="noConversion"/>
  </si>
  <si>
    <t>驱动立柱 (右侧) 规格</t>
    <phoneticPr fontId="4" type="noConversion"/>
  </si>
  <si>
    <t>区域1</t>
    <phoneticPr fontId="4" type="noConversion"/>
  </si>
  <si>
    <t>区域5</t>
    <phoneticPr fontId="4" type="noConversion"/>
  </si>
  <si>
    <t>区域2</t>
    <phoneticPr fontId="4" type="noConversion"/>
  </si>
  <si>
    <t>区域3</t>
    <phoneticPr fontId="4" type="noConversion"/>
  </si>
  <si>
    <t>区域4</t>
    <phoneticPr fontId="4" type="noConversion"/>
  </si>
  <si>
    <t>/</t>
    <phoneticPr fontId="4" type="noConversion"/>
  </si>
  <si>
    <t>驱动立柱数量</t>
    <phoneticPr fontId="4" type="noConversion"/>
  </si>
  <si>
    <t>主梁位置信息</t>
    <phoneticPr fontId="4" type="noConversion"/>
  </si>
  <si>
    <t>主梁序号</t>
    <phoneticPr fontId="4" type="noConversion"/>
  </si>
  <si>
    <t>实际坐标</t>
    <phoneticPr fontId="4" type="noConversion"/>
  </si>
  <si>
    <t>该段主梁起点坐标判断</t>
    <phoneticPr fontId="4" type="noConversion"/>
  </si>
  <si>
    <t>起点驱动</t>
    <phoneticPr fontId="4" type="noConversion"/>
  </si>
  <si>
    <t>起点连接件</t>
    <phoneticPr fontId="4" type="noConversion"/>
  </si>
  <si>
    <t>起点驱动 (中点)</t>
    <phoneticPr fontId="4" type="noConversion"/>
  </si>
  <si>
    <t>起点连接件 (中点)</t>
    <phoneticPr fontId="4" type="noConversion"/>
  </si>
  <si>
    <t>方管连接件坐标</t>
    <phoneticPr fontId="4" type="noConversion"/>
  </si>
  <si>
    <t>起点坐标</t>
    <phoneticPr fontId="4" type="noConversion"/>
  </si>
  <si>
    <t>终点坐标</t>
    <phoneticPr fontId="4" type="noConversion"/>
  </si>
  <si>
    <t>檩条横坐标</t>
    <phoneticPr fontId="4" type="noConversion"/>
  </si>
  <si>
    <t>是否为驱动右侧檩条</t>
    <phoneticPr fontId="4" type="noConversion"/>
  </si>
  <si>
    <t>檩条总数</t>
    <phoneticPr fontId="4" type="noConversion"/>
  </si>
  <si>
    <t>横坐标</t>
    <phoneticPr fontId="4" type="noConversion"/>
  </si>
  <si>
    <t>节点索引</t>
    <phoneticPr fontId="4" type="noConversion"/>
  </si>
  <si>
    <t>区域1檩条及组件</t>
    <phoneticPr fontId="4" type="noConversion"/>
  </si>
  <si>
    <t>对应檩条序号</t>
    <phoneticPr fontId="4" type="noConversion"/>
  </si>
  <si>
    <t>循环结束横坐标</t>
    <phoneticPr fontId="4" type="noConversion"/>
  </si>
  <si>
    <t>区域2檩条及组件</t>
    <phoneticPr fontId="4" type="noConversion"/>
  </si>
  <si>
    <t>区域3檩条及组件</t>
    <phoneticPr fontId="4" type="noConversion"/>
  </si>
  <si>
    <t>区域4檩条及组件</t>
    <phoneticPr fontId="4" type="noConversion"/>
  </si>
  <si>
    <t>区域5檩条及组件</t>
    <phoneticPr fontId="4" type="noConversion"/>
  </si>
  <si>
    <t>檩条绘图辅助</t>
    <phoneticPr fontId="4" type="noConversion"/>
  </si>
  <si>
    <t>基本信息</t>
    <phoneticPr fontId="4" type="noConversion"/>
  </si>
  <si>
    <t>驱动立柱中心距左侧主梁</t>
    <phoneticPr fontId="4" type="noConversion"/>
  </si>
  <si>
    <t>驱动立柱型号</t>
    <phoneticPr fontId="4" type="noConversion"/>
  </si>
  <si>
    <t>立柱总数</t>
    <phoneticPr fontId="4" type="noConversion"/>
  </si>
  <si>
    <t>右端点坐标</t>
  </si>
  <si>
    <t>主轴相关参数</t>
    <phoneticPr fontId="4" type="noConversion"/>
  </si>
  <si>
    <t>驱动立柱中心距左侧主梁</t>
  </si>
  <si>
    <t>檩条坐标</t>
    <phoneticPr fontId="4" type="noConversion"/>
  </si>
  <si>
    <t>驱动立柱中心距右侧主梁</t>
    <phoneticPr fontId="4" type="noConversion"/>
  </si>
  <si>
    <t>图纸信息</t>
    <phoneticPr fontId="4" type="noConversion"/>
  </si>
  <si>
    <t>设计风速</t>
    <phoneticPr fontId="4" type="noConversion"/>
  </si>
  <si>
    <t>m/s</t>
    <phoneticPr fontId="4" type="noConversion"/>
  </si>
  <si>
    <t>风速规范</t>
    <phoneticPr fontId="4" type="noConversion"/>
  </si>
  <si>
    <t>ASCE 7-05</t>
    <phoneticPr fontId="4" type="noConversion"/>
  </si>
  <si>
    <t>功率</t>
    <phoneticPr fontId="4" type="noConversion"/>
  </si>
  <si>
    <t>W</t>
    <phoneticPr fontId="4" type="noConversion"/>
  </si>
  <si>
    <t>产品类型</t>
    <phoneticPr fontId="4" type="noConversion"/>
  </si>
  <si>
    <t>物料编码</t>
    <phoneticPr fontId="4" type="noConversion"/>
  </si>
  <si>
    <t>设计</t>
    <phoneticPr fontId="4" type="noConversion"/>
  </si>
  <si>
    <t>审核</t>
    <phoneticPr fontId="4" type="noConversion"/>
  </si>
  <si>
    <t>批准</t>
    <phoneticPr fontId="4" type="noConversion"/>
  </si>
  <si>
    <t>文档类型</t>
  </si>
  <si>
    <t>重量</t>
  </si>
  <si>
    <t>比例</t>
  </si>
  <si>
    <t>版本号</t>
  </si>
  <si>
    <t>版本号</t>
    <phoneticPr fontId="4" type="noConversion"/>
  </si>
  <si>
    <t>表面处理</t>
  </si>
  <si>
    <t>更新日期</t>
  </si>
  <si>
    <t>材料</t>
  </si>
  <si>
    <t>页码</t>
  </si>
  <si>
    <t>Logo</t>
    <phoneticPr fontId="4" type="noConversion"/>
  </si>
  <si>
    <t>Project Info</t>
    <phoneticPr fontId="4" type="noConversion"/>
  </si>
  <si>
    <t>Tracker Type</t>
    <phoneticPr fontId="4" type="noConversion"/>
  </si>
  <si>
    <t>Project No.</t>
    <phoneticPr fontId="4" type="noConversion"/>
  </si>
  <si>
    <t>Material Code</t>
    <phoneticPr fontId="4" type="noConversion"/>
  </si>
  <si>
    <t>Design</t>
    <phoneticPr fontId="4" type="noConversion"/>
  </si>
  <si>
    <t>Confirm</t>
    <phoneticPr fontId="4" type="noConversion"/>
  </si>
  <si>
    <t>Approval</t>
    <phoneticPr fontId="4" type="noConversion"/>
  </si>
  <si>
    <t>Documents Type</t>
    <phoneticPr fontId="4" type="noConversion"/>
  </si>
  <si>
    <t>Weight</t>
    <phoneticPr fontId="4" type="noConversion"/>
  </si>
  <si>
    <t>Scale</t>
  </si>
  <si>
    <t>Material</t>
  </si>
  <si>
    <t>Page</t>
  </si>
  <si>
    <t>Version</t>
  </si>
  <si>
    <t>Version</t>
    <phoneticPr fontId="4" type="noConversion"/>
  </si>
  <si>
    <t>Update</t>
  </si>
  <si>
    <t>Surface</t>
  </si>
  <si>
    <t>修改细节</t>
    <phoneticPr fontId="4" type="noConversion"/>
  </si>
  <si>
    <t>姓名</t>
    <phoneticPr fontId="4" type="noConversion"/>
  </si>
  <si>
    <t>日期</t>
    <phoneticPr fontId="4" type="noConversion"/>
  </si>
  <si>
    <t>Detail</t>
    <phoneticPr fontId="4" type="noConversion"/>
  </si>
  <si>
    <t>Name</t>
    <phoneticPr fontId="4" type="noConversion"/>
  </si>
  <si>
    <t>Date</t>
    <phoneticPr fontId="4" type="noConversion"/>
  </si>
  <si>
    <t>D2</t>
    <phoneticPr fontId="4" type="noConversion"/>
  </si>
  <si>
    <t>20220508</t>
    <phoneticPr fontId="4" type="noConversion"/>
  </si>
  <si>
    <t>7777777</t>
    <phoneticPr fontId="4" type="noConversion"/>
  </si>
  <si>
    <t>MissBlue</t>
  </si>
  <si>
    <t>??</t>
  </si>
  <si>
    <t>??</t>
    <phoneticPr fontId="4" type="noConversion"/>
  </si>
  <si>
    <t>77</t>
  </si>
  <si>
    <t>77</t>
    <phoneticPr fontId="4" type="noConversion"/>
  </si>
  <si>
    <t>7</t>
  </si>
  <si>
    <t>7</t>
    <phoneticPr fontId="4" type="noConversion"/>
  </si>
  <si>
    <t>7.0</t>
    <phoneticPr fontId="4" type="noConversion"/>
  </si>
  <si>
    <t>777</t>
  </si>
  <si>
    <t>777</t>
    <phoneticPr fontId="4" type="noConversion"/>
  </si>
  <si>
    <t>20220707</t>
  </si>
  <si>
    <t>20220707</t>
    <phoneticPr fontId="4" type="noConversion"/>
  </si>
  <si>
    <t>1/7</t>
    <phoneticPr fontId="4" type="noConversion"/>
  </si>
  <si>
    <t>Steel</t>
    <phoneticPr fontId="4" type="noConversion"/>
  </si>
  <si>
    <t>MagicGunner</t>
  </si>
  <si>
    <t>Aoko</t>
    <phoneticPr fontId="4" type="noConversion"/>
  </si>
  <si>
    <t>thththththth</t>
    <phoneticPr fontId="4" type="noConversion"/>
  </si>
  <si>
    <t>1</t>
  </si>
  <si>
    <t>1</t>
    <phoneticPr fontId="4" type="noConversion"/>
  </si>
  <si>
    <t>2</t>
  </si>
  <si>
    <t>2</t>
    <phoneticPr fontId="4" type="noConversion"/>
  </si>
  <si>
    <t>3</t>
  </si>
  <si>
    <t>3</t>
    <phoneticPr fontId="4" type="noConversion"/>
  </si>
  <si>
    <t>?</t>
  </si>
  <si>
    <t>?</t>
    <phoneticPr fontId="4" type="noConversion"/>
  </si>
  <si>
    <t>???</t>
  </si>
  <si>
    <t>???</t>
    <phoneticPr fontId="4" type="noConversion"/>
  </si>
  <si>
    <t>20220708</t>
  </si>
  <si>
    <t>20220708</t>
    <phoneticPr fontId="4" type="noConversion"/>
  </si>
  <si>
    <t>文件名</t>
    <phoneticPr fontId="4" type="noConversion"/>
  </si>
  <si>
    <t>中文</t>
  </si>
  <si>
    <t>123</t>
    <phoneticPr fontId="4" type="noConversion"/>
  </si>
  <si>
    <t>4</t>
    <phoneticPr fontId="4" type="noConversion"/>
  </si>
  <si>
    <t>5</t>
    <phoneticPr fontId="4" type="noConversion"/>
  </si>
  <si>
    <t>6</t>
    <phoneticPr fontId="4" type="noConversion"/>
  </si>
  <si>
    <t>8</t>
    <phoneticPr fontId="4" type="noConversion"/>
  </si>
  <si>
    <t>9</t>
    <phoneticPr fontId="4" type="noConversion"/>
  </si>
  <si>
    <t>10</t>
    <phoneticPr fontId="4" type="noConversion"/>
  </si>
  <si>
    <t>11</t>
    <phoneticPr fontId="4" type="noConversion"/>
  </si>
  <si>
    <t>12</t>
    <phoneticPr fontId="4" type="noConversion"/>
  </si>
  <si>
    <t>13</t>
    <phoneticPr fontId="4" type="noConversion"/>
  </si>
  <si>
    <t>14</t>
    <phoneticPr fontId="4" type="noConversion"/>
  </si>
  <si>
    <t>15</t>
    <phoneticPr fontId="4" type="noConversion"/>
  </si>
  <si>
    <t>S3</t>
  </si>
  <si>
    <t>S3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</si>
</sst>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8" x14ac:knownFonts="1">
    <font>
      <sz val="11"/>
      <color theme="1"/>
      <name val="楷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楷体"/>
      <family val="3"/>
      <charset val="134"/>
      <scheme val="minor"/>
    </font>
    <font>
      <sz val="11"/>
      <color theme="1"/>
      <name val="楷体"/>
      <family val="2"/>
      <scheme val="minor"/>
    </font>
    <font>
      <sz val="11"/>
      <color theme="1"/>
      <name val="楷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4"/>
      <color indexed="81"/>
      <name val="宋体"/>
      <family val="3"/>
      <charset val="134"/>
    </font>
    <font>
      <b/>
      <sz val="14"/>
      <color indexed="81"/>
      <name val="宋体"/>
      <family val="3"/>
      <charset val="134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宋体"/>
      <family val="3"/>
      <charset val="134"/>
    </font>
    <font>
      <b/>
      <sz val="14"/>
      <color theme="1"/>
      <name val="宋体"/>
      <family val="3"/>
      <charset val="134"/>
    </font>
    <font>
      <b/>
      <sz val="12"/>
      <color theme="1"/>
      <name val="微软雅黑"/>
      <family val="2"/>
      <charset val="134"/>
    </font>
    <font>
      <b/>
      <sz val="16"/>
      <color theme="1"/>
      <name val="微软雅黑"/>
      <family val="2"/>
      <charset val="134"/>
    </font>
    <font>
      <b/>
      <sz val="11"/>
      <color rgb="FF0070C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8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sz val="22"/>
      <color rgb="FF000000"/>
      <name val="微软雅黑"/>
      <family val="2"/>
      <charset val="134"/>
    </font>
    <font>
      <sz val="20"/>
      <color rgb="FF000000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</fonts>
  <fills count="2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lightUp">
        <bgColor theme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darkUp">
        <bgColor theme="0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8">
    <xf numFmtId="0" fontId="0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</cellStyleXfs>
  <cellXfs count="357">
    <xf numFmtId="0" fontId="0" fillId="0" borderId="0" xfId="0"/>
    <xf numFmtId="0" fontId="11" fillId="17" borderId="0" xfId="0" applyFont="1" applyFill="1" applyAlignment="1">
      <alignment horizontal="center"/>
    </xf>
    <xf numFmtId="0" fontId="11" fillId="17" borderId="0" xfId="0" applyFont="1" applyFill="1"/>
    <xf numFmtId="0" fontId="11" fillId="17" borderId="1" xfId="0" applyFont="1" applyFill="1" applyBorder="1" applyAlignment="1">
      <alignment horizontal="center"/>
    </xf>
    <xf numFmtId="0" fontId="11" fillId="17" borderId="5" xfId="0" applyFont="1" applyFill="1" applyBorder="1" applyAlignment="1">
      <alignment horizontal="center"/>
    </xf>
    <xf numFmtId="0" fontId="11" fillId="17" borderId="6" xfId="0" applyFont="1" applyFill="1" applyBorder="1" applyAlignment="1">
      <alignment horizontal="center"/>
    </xf>
    <xf numFmtId="0" fontId="11" fillId="17" borderId="8" xfId="0" applyFont="1" applyFill="1" applyBorder="1" applyAlignment="1">
      <alignment horizontal="center"/>
    </xf>
    <xf numFmtId="0" fontId="11" fillId="17" borderId="9" xfId="0" applyFont="1" applyFill="1" applyBorder="1" applyAlignment="1">
      <alignment horizontal="center"/>
    </xf>
    <xf numFmtId="0" fontId="11" fillId="17" borderId="7" xfId="0" applyFont="1" applyFill="1" applyBorder="1" applyAlignment="1">
      <alignment horizontal="center"/>
    </xf>
    <xf numFmtId="0" fontId="11" fillId="17" borderId="31" xfId="0" applyFont="1" applyFill="1" applyBorder="1" applyAlignment="1">
      <alignment horizontal="center"/>
    </xf>
    <xf numFmtId="0" fontId="11" fillId="17" borderId="32" xfId="0" applyFont="1" applyFill="1" applyBorder="1" applyAlignment="1">
      <alignment horizontal="center"/>
    </xf>
    <xf numFmtId="0" fontId="12" fillId="17" borderId="30" xfId="0" applyFont="1" applyFill="1" applyBorder="1" applyAlignment="1">
      <alignment horizontal="center"/>
    </xf>
    <xf numFmtId="0" fontId="17" fillId="17" borderId="0" xfId="0" applyNumberFormat="1" applyFont="1" applyFill="1" applyBorder="1" applyAlignment="1" applyProtection="1">
      <alignment horizontal="center" vertical="center"/>
      <protection locked="0"/>
    </xf>
    <xf numFmtId="0" fontId="18" fillId="17" borderId="0" xfId="0" applyFont="1" applyFill="1" applyAlignment="1">
      <alignment horizontal="center"/>
    </xf>
    <xf numFmtId="0" fontId="18" fillId="17" borderId="0" xfId="0" applyFont="1" applyFill="1"/>
    <xf numFmtId="0" fontId="17" fillId="17" borderId="1" xfId="0" applyNumberFormat="1" applyFont="1" applyFill="1" applyBorder="1" applyAlignment="1" applyProtection="1">
      <alignment horizontal="center" vertical="center"/>
      <protection locked="0"/>
    </xf>
    <xf numFmtId="0" fontId="18" fillId="17" borderId="10" xfId="0" applyFont="1" applyFill="1" applyBorder="1" applyAlignment="1">
      <alignment horizontal="center"/>
    </xf>
    <xf numFmtId="0" fontId="18" fillId="17" borderId="0" xfId="0" applyFont="1" applyFill="1" applyBorder="1" applyAlignment="1">
      <alignment horizontal="center"/>
    </xf>
    <xf numFmtId="0" fontId="18" fillId="17" borderId="0" xfId="0" applyFont="1" applyFill="1" applyAlignment="1">
      <alignment horizontal="left"/>
    </xf>
    <xf numFmtId="0" fontId="18" fillId="17" borderId="1" xfId="0" applyNumberFormat="1" applyFont="1" applyFill="1" applyBorder="1" applyAlignment="1" applyProtection="1">
      <alignment horizontal="center" vertical="center"/>
      <protection locked="0"/>
    </xf>
    <xf numFmtId="0" fontId="18" fillId="18" borderId="1" xfId="0" applyNumberFormat="1" applyFont="1" applyFill="1" applyBorder="1" applyAlignment="1" applyProtection="1">
      <alignment horizontal="center" vertical="center"/>
      <protection locked="0"/>
    </xf>
    <xf numFmtId="0" fontId="18" fillId="17" borderId="0" xfId="0" applyFont="1" applyFill="1" applyAlignment="1"/>
    <xf numFmtId="0" fontId="18" fillId="17" borderId="5" xfId="0" applyFont="1" applyFill="1" applyBorder="1" applyAlignment="1">
      <alignment horizontal="left"/>
    </xf>
    <xf numFmtId="0" fontId="18" fillId="17" borderId="1" xfId="0" applyFont="1" applyFill="1" applyBorder="1" applyAlignment="1">
      <alignment horizontal="center"/>
    </xf>
    <xf numFmtId="0" fontId="18" fillId="17" borderId="6" xfId="0" applyFont="1" applyFill="1" applyBorder="1" applyAlignment="1">
      <alignment horizontal="left"/>
    </xf>
    <xf numFmtId="0" fontId="18" fillId="17" borderId="5" xfId="0" applyFont="1" applyFill="1" applyBorder="1" applyAlignment="1">
      <alignment horizontal="center"/>
    </xf>
    <xf numFmtId="0" fontId="18" fillId="17" borderId="6" xfId="0" applyFont="1" applyFill="1" applyBorder="1" applyAlignment="1">
      <alignment horizontal="center"/>
    </xf>
    <xf numFmtId="0" fontId="18" fillId="17" borderId="2" xfId="0" applyFont="1" applyFill="1" applyBorder="1" applyAlignment="1">
      <alignment horizontal="center"/>
    </xf>
    <xf numFmtId="0" fontId="18" fillId="17" borderId="3" xfId="0" applyFont="1" applyFill="1" applyBorder="1" applyAlignment="1">
      <alignment horizontal="center"/>
    </xf>
    <xf numFmtId="0" fontId="18" fillId="17" borderId="16" xfId="0" applyFont="1" applyFill="1" applyBorder="1" applyAlignment="1">
      <alignment horizontal="center"/>
    </xf>
    <xf numFmtId="0" fontId="18" fillId="17" borderId="1" xfId="0" applyFont="1" applyFill="1" applyBorder="1" applyAlignment="1">
      <alignment horizontal="left"/>
    </xf>
    <xf numFmtId="0" fontId="18" fillId="18" borderId="1" xfId="0" applyFont="1" applyFill="1" applyBorder="1" applyAlignment="1">
      <alignment horizontal="center"/>
    </xf>
    <xf numFmtId="0" fontId="18" fillId="17" borderId="8" xfId="0" applyFont="1" applyFill="1" applyBorder="1" applyAlignment="1">
      <alignment horizontal="center"/>
    </xf>
    <xf numFmtId="0" fontId="18" fillId="17" borderId="9" xfId="0" applyFont="1" applyFill="1" applyBorder="1" applyAlignment="1">
      <alignment horizontal="center"/>
    </xf>
    <xf numFmtId="0" fontId="18" fillId="17" borderId="7" xfId="0" applyFont="1" applyFill="1" applyBorder="1" applyAlignment="1">
      <alignment horizontal="center"/>
    </xf>
    <xf numFmtId="0" fontId="18" fillId="17" borderId="8" xfId="0" applyFont="1" applyFill="1" applyBorder="1" applyAlignment="1">
      <alignment horizontal="left"/>
    </xf>
    <xf numFmtId="0" fontId="18" fillId="17" borderId="11" xfId="0" applyFont="1" applyFill="1" applyBorder="1" applyAlignment="1">
      <alignment horizontal="center"/>
    </xf>
    <xf numFmtId="0" fontId="18" fillId="17" borderId="9" xfId="0" applyFont="1" applyFill="1" applyBorder="1" applyAlignment="1">
      <alignment horizontal="left"/>
    </xf>
    <xf numFmtId="0" fontId="20" fillId="17" borderId="0" xfId="0" applyFont="1" applyFill="1" applyAlignment="1">
      <alignment horizontal="left"/>
    </xf>
    <xf numFmtId="0" fontId="20" fillId="17" borderId="0" xfId="0" applyFont="1" applyFill="1" applyAlignment="1">
      <alignment horizontal="center"/>
    </xf>
    <xf numFmtId="0" fontId="18" fillId="17" borderId="15" xfId="0" applyFont="1" applyFill="1" applyBorder="1" applyAlignment="1">
      <alignment horizontal="center" vertical="center"/>
    </xf>
    <xf numFmtId="0" fontId="18" fillId="17" borderId="7" xfId="0" applyFont="1" applyFill="1" applyBorder="1" applyAlignment="1">
      <alignment horizontal="left"/>
    </xf>
    <xf numFmtId="0" fontId="18" fillId="17" borderId="0" xfId="0" applyFont="1" applyFill="1" applyAlignment="1">
      <alignment horizontal="left" vertical="center"/>
    </xf>
    <xf numFmtId="0" fontId="18" fillId="17" borderId="0" xfId="0" applyFont="1" applyFill="1" applyAlignment="1">
      <alignment horizontal="center" vertical="center"/>
    </xf>
    <xf numFmtId="0" fontId="19" fillId="17" borderId="0" xfId="0" applyFont="1" applyFill="1" applyBorder="1" applyAlignment="1">
      <alignment vertical="center"/>
    </xf>
    <xf numFmtId="0" fontId="18" fillId="17" borderId="5" xfId="0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0" fontId="18" fillId="17" borderId="6" xfId="0" applyFont="1" applyFill="1" applyBorder="1" applyAlignment="1">
      <alignment horizontal="center" vertical="center"/>
    </xf>
    <xf numFmtId="0" fontId="18" fillId="17" borderId="0" xfId="0" applyFont="1" applyFill="1" applyBorder="1" applyAlignment="1">
      <alignment horizontal="left" vertical="center"/>
    </xf>
    <xf numFmtId="0" fontId="18" fillId="17" borderId="0" xfId="0" applyFont="1" applyFill="1" applyBorder="1" applyAlignment="1">
      <alignment horizontal="center" vertical="center"/>
    </xf>
    <xf numFmtId="0" fontId="18" fillId="0" borderId="5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8" fillId="0" borderId="20" xfId="0" applyFont="1" applyFill="1" applyBorder="1" applyAlignment="1">
      <alignment horizontal="center" vertical="center"/>
    </xf>
    <xf numFmtId="0" fontId="18" fillId="0" borderId="6" xfId="0" applyFont="1" applyFill="1" applyBorder="1" applyAlignment="1">
      <alignment horizontal="center" vertical="center"/>
    </xf>
    <xf numFmtId="0" fontId="18" fillId="0" borderId="14" xfId="0" applyFont="1" applyFill="1" applyBorder="1" applyAlignment="1">
      <alignment horizontal="left" vertical="center"/>
    </xf>
    <xf numFmtId="0" fontId="18" fillId="0" borderId="1" xfId="0" applyFont="1" applyFill="1" applyBorder="1" applyAlignment="1">
      <alignment horizontal="left" vertical="center"/>
    </xf>
    <xf numFmtId="0" fontId="18" fillId="0" borderId="6" xfId="0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/>
    </xf>
    <xf numFmtId="0" fontId="18" fillId="0" borderId="1" xfId="0" applyNumberFormat="1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4" borderId="5" xfId="0" applyFont="1" applyFill="1" applyBorder="1" applyAlignment="1">
      <alignment horizontal="center" vertical="center"/>
    </xf>
    <xf numFmtId="0" fontId="18" fillId="5" borderId="5" xfId="0" applyFont="1" applyFill="1" applyBorder="1" applyAlignment="1">
      <alignment horizontal="center" vertical="center"/>
    </xf>
    <xf numFmtId="0" fontId="18" fillId="17" borderId="7" xfId="0" applyFont="1" applyFill="1" applyBorder="1" applyAlignment="1">
      <alignment horizontal="center" vertical="center"/>
    </xf>
    <xf numFmtId="0" fontId="18" fillId="17" borderId="8" xfId="0" applyFont="1" applyFill="1" applyBorder="1" applyAlignment="1">
      <alignment horizontal="center" vertical="center"/>
    </xf>
    <xf numFmtId="0" fontId="18" fillId="17" borderId="9" xfId="0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7" borderId="5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0" fontId="18" fillId="9" borderId="5" xfId="0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1" borderId="5" xfId="0" applyFont="1" applyFill="1" applyBorder="1" applyAlignment="1">
      <alignment horizontal="center" vertical="center"/>
    </xf>
    <xf numFmtId="0" fontId="18" fillId="12" borderId="5" xfId="0" applyFont="1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/>
    </xf>
    <xf numFmtId="0" fontId="18" fillId="15" borderId="5" xfId="0" applyFont="1" applyFill="1" applyBorder="1" applyAlignment="1">
      <alignment horizontal="center" vertical="center"/>
    </xf>
    <xf numFmtId="0" fontId="18" fillId="17" borderId="25" xfId="0" applyFont="1" applyFill="1" applyBorder="1" applyAlignment="1">
      <alignment horizontal="left" vertical="center"/>
    </xf>
    <xf numFmtId="0" fontId="18" fillId="17" borderId="26" xfId="0" applyFont="1" applyFill="1" applyBorder="1" applyAlignment="1">
      <alignment horizontal="center" vertical="center"/>
    </xf>
    <xf numFmtId="0" fontId="18" fillId="17" borderId="12" xfId="0" applyFont="1" applyFill="1" applyBorder="1" applyAlignment="1">
      <alignment horizontal="center" vertical="center"/>
    </xf>
    <xf numFmtId="0" fontId="18" fillId="17" borderId="7" xfId="0" applyFont="1" applyFill="1" applyBorder="1" applyAlignment="1">
      <alignment horizontal="left" vertical="center"/>
    </xf>
    <xf numFmtId="0" fontId="18" fillId="17" borderId="9" xfId="0" applyFont="1" applyFill="1" applyBorder="1" applyAlignment="1">
      <alignment horizontal="left" vertical="center"/>
    </xf>
    <xf numFmtId="0" fontId="18" fillId="17" borderId="20" xfId="0" applyFont="1" applyFill="1" applyBorder="1" applyAlignment="1">
      <alignment horizontal="center" vertical="center"/>
    </xf>
    <xf numFmtId="0" fontId="18" fillId="0" borderId="1" xfId="0" applyNumberFormat="1" applyFont="1" applyFill="1" applyBorder="1" applyAlignment="1">
      <alignment horizontal="left" vertical="center"/>
    </xf>
    <xf numFmtId="0" fontId="18" fillId="0" borderId="6" xfId="0" applyNumberFormat="1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left" vertical="center"/>
    </xf>
    <xf numFmtId="0" fontId="18" fillId="17" borderId="21" xfId="0" applyFont="1" applyFill="1" applyBorder="1" applyAlignment="1">
      <alignment horizontal="center" vertical="center"/>
    </xf>
    <xf numFmtId="0" fontId="18" fillId="17" borderId="8" xfId="0" applyFont="1" applyFill="1" applyBorder="1" applyAlignment="1">
      <alignment horizontal="left" vertical="center"/>
    </xf>
    <xf numFmtId="0" fontId="18" fillId="17" borderId="8" xfId="0" applyNumberFormat="1" applyFont="1" applyFill="1" applyBorder="1" applyAlignment="1">
      <alignment horizontal="left" vertical="center"/>
    </xf>
    <xf numFmtId="0" fontId="18" fillId="17" borderId="5" xfId="0" applyFont="1" applyFill="1" applyBorder="1"/>
    <xf numFmtId="0" fontId="18" fillId="17" borderId="7" xfId="0" applyFont="1" applyFill="1" applyBorder="1"/>
    <xf numFmtId="0" fontId="18" fillId="17" borderId="0" xfId="0" applyFont="1" applyFill="1" applyBorder="1" applyAlignment="1">
      <alignment horizontal="left"/>
    </xf>
    <xf numFmtId="176" fontId="18" fillId="17" borderId="1" xfId="0" applyNumberFormat="1" applyFont="1" applyFill="1" applyBorder="1" applyAlignment="1" applyProtection="1">
      <alignment horizontal="center" vertical="center"/>
      <protection locked="0"/>
    </xf>
    <xf numFmtId="0" fontId="3" fillId="17" borderId="5" xfId="0" applyFont="1" applyFill="1" applyBorder="1" applyAlignment="1">
      <alignment horizontal="left"/>
    </xf>
    <xf numFmtId="0" fontId="3" fillId="17" borderId="1" xfId="0" applyFont="1" applyFill="1" applyBorder="1" applyAlignment="1">
      <alignment horizontal="center"/>
    </xf>
    <xf numFmtId="0" fontId="3" fillId="17" borderId="5" xfId="0" applyFont="1" applyFill="1" applyBorder="1" applyAlignment="1">
      <alignment horizontal="left" vertical="center"/>
    </xf>
    <xf numFmtId="0" fontId="18" fillId="17" borderId="27" xfId="0" applyFont="1" applyFill="1" applyBorder="1" applyAlignment="1">
      <alignment horizontal="center" vertical="center"/>
    </xf>
    <xf numFmtId="0" fontId="18" fillId="19" borderId="5" xfId="0" applyFont="1" applyFill="1" applyBorder="1" applyAlignment="1">
      <alignment horizontal="center" vertical="center"/>
    </xf>
    <xf numFmtId="0" fontId="17" fillId="19" borderId="1" xfId="0" applyNumberFormat="1" applyFont="1" applyFill="1" applyBorder="1" applyAlignment="1" applyProtection="1">
      <alignment horizontal="center" vertical="center"/>
      <protection locked="0"/>
    </xf>
    <xf numFmtId="0" fontId="18" fillId="19" borderId="1" xfId="0" applyFont="1" applyFill="1" applyBorder="1" applyAlignment="1">
      <alignment horizontal="center" vertical="center"/>
    </xf>
    <xf numFmtId="0" fontId="18" fillId="19" borderId="6" xfId="0" applyFont="1" applyFill="1" applyBorder="1" applyAlignment="1">
      <alignment horizontal="center" vertical="center"/>
    </xf>
    <xf numFmtId="0" fontId="18" fillId="20" borderId="7" xfId="0" applyFont="1" applyFill="1" applyBorder="1" applyAlignment="1">
      <alignment horizontal="center" vertical="center"/>
    </xf>
    <xf numFmtId="0" fontId="17" fillId="20" borderId="8" xfId="0" applyNumberFormat="1" applyFont="1" applyFill="1" applyBorder="1" applyAlignment="1" applyProtection="1">
      <alignment horizontal="center" vertical="center"/>
      <protection locked="0"/>
    </xf>
    <xf numFmtId="0" fontId="18" fillId="20" borderId="9" xfId="0" applyFont="1" applyFill="1" applyBorder="1" applyAlignment="1">
      <alignment horizontal="center" vertical="center"/>
    </xf>
    <xf numFmtId="0" fontId="18" fillId="21" borderId="22" xfId="0" applyFont="1" applyFill="1" applyBorder="1" applyAlignment="1">
      <alignment horizontal="center" vertical="center"/>
    </xf>
    <xf numFmtId="0" fontId="18" fillId="21" borderId="23" xfId="0" applyFont="1" applyFill="1" applyBorder="1" applyAlignment="1">
      <alignment horizontal="center" vertical="center"/>
    </xf>
    <xf numFmtId="0" fontId="18" fillId="21" borderId="24" xfId="0" applyFont="1" applyFill="1" applyBorder="1" applyAlignment="1">
      <alignment horizontal="center" vertical="center"/>
    </xf>
    <xf numFmtId="0" fontId="18" fillId="20" borderId="5" xfId="0" applyFont="1" applyFill="1" applyBorder="1" applyAlignment="1">
      <alignment horizontal="center" vertical="center"/>
    </xf>
    <xf numFmtId="0" fontId="17" fillId="20" borderId="1" xfId="0" applyNumberFormat="1" applyFont="1" applyFill="1" applyBorder="1" applyAlignment="1" applyProtection="1">
      <alignment horizontal="center" vertical="center"/>
      <protection locked="0"/>
    </xf>
    <xf numFmtId="0" fontId="18" fillId="20" borderId="1" xfId="0" applyFont="1" applyFill="1" applyBorder="1" applyAlignment="1">
      <alignment horizontal="center" vertical="center"/>
    </xf>
    <xf numFmtId="0" fontId="18" fillId="20" borderId="6" xfId="0" applyFont="1" applyFill="1" applyBorder="1" applyAlignment="1">
      <alignment horizontal="center" vertical="center"/>
    </xf>
    <xf numFmtId="0" fontId="18" fillId="21" borderId="7" xfId="0" applyFont="1" applyFill="1" applyBorder="1" applyAlignment="1">
      <alignment horizontal="center" vertical="center"/>
    </xf>
    <xf numFmtId="0" fontId="18" fillId="21" borderId="9" xfId="0" applyFont="1" applyFill="1" applyBorder="1" applyAlignment="1">
      <alignment horizontal="center" vertical="center"/>
    </xf>
    <xf numFmtId="0" fontId="18" fillId="19" borderId="7" xfId="0" applyFont="1" applyFill="1" applyBorder="1" applyAlignment="1">
      <alignment horizontal="center" vertical="center"/>
    </xf>
    <xf numFmtId="0" fontId="17" fillId="19" borderId="8" xfId="0" applyNumberFormat="1" applyFont="1" applyFill="1" applyBorder="1" applyAlignment="1" applyProtection="1">
      <alignment horizontal="center" vertical="center"/>
      <protection locked="0"/>
    </xf>
    <xf numFmtId="0" fontId="18" fillId="19" borderId="9" xfId="0" applyFont="1" applyFill="1" applyBorder="1" applyAlignment="1">
      <alignment horizontal="center" vertical="center"/>
    </xf>
    <xf numFmtId="0" fontId="18" fillId="19" borderId="22" xfId="0" applyFont="1" applyFill="1" applyBorder="1" applyAlignment="1">
      <alignment horizontal="center" vertical="center"/>
    </xf>
    <xf numFmtId="0" fontId="18" fillId="19" borderId="23" xfId="0" applyFont="1" applyFill="1" applyBorder="1" applyAlignment="1">
      <alignment horizontal="center" vertical="center"/>
    </xf>
    <xf numFmtId="0" fontId="18" fillId="19" borderId="24" xfId="0" applyFont="1" applyFill="1" applyBorder="1" applyAlignment="1">
      <alignment horizontal="center" vertical="center"/>
    </xf>
    <xf numFmtId="0" fontId="18" fillId="20" borderId="22" xfId="0" applyFont="1" applyFill="1" applyBorder="1" applyAlignment="1">
      <alignment horizontal="center" vertical="center"/>
    </xf>
    <xf numFmtId="0" fontId="18" fillId="20" borderId="23" xfId="0" applyFont="1" applyFill="1" applyBorder="1" applyAlignment="1">
      <alignment horizontal="center" vertical="center"/>
    </xf>
    <xf numFmtId="0" fontId="18" fillId="20" borderId="24" xfId="0" applyFont="1" applyFill="1" applyBorder="1" applyAlignment="1">
      <alignment horizontal="center" vertical="center"/>
    </xf>
    <xf numFmtId="0" fontId="18" fillId="21" borderId="5" xfId="0" applyFont="1" applyFill="1" applyBorder="1" applyAlignment="1">
      <alignment horizontal="center" vertical="center"/>
    </xf>
    <xf numFmtId="0" fontId="18" fillId="21" borderId="1" xfId="0" applyFont="1" applyFill="1" applyBorder="1" applyAlignment="1">
      <alignment horizontal="center" vertical="center"/>
    </xf>
    <xf numFmtId="0" fontId="18" fillId="21" borderId="6" xfId="0" applyFont="1" applyFill="1" applyBorder="1" applyAlignment="1">
      <alignment horizontal="center" vertical="center"/>
    </xf>
    <xf numFmtId="0" fontId="17" fillId="21" borderId="1" xfId="0" applyNumberFormat="1" applyFont="1" applyFill="1" applyBorder="1" applyAlignment="1" applyProtection="1">
      <alignment horizontal="center" vertical="center"/>
      <protection locked="0"/>
    </xf>
    <xf numFmtId="0" fontId="17" fillId="21" borderId="8" xfId="0" applyNumberFormat="1" applyFont="1" applyFill="1" applyBorder="1" applyAlignment="1" applyProtection="1">
      <alignment horizontal="center" vertical="center"/>
      <protection locked="0"/>
    </xf>
    <xf numFmtId="0" fontId="21" fillId="17" borderId="0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 vertical="center"/>
    </xf>
    <xf numFmtId="0" fontId="19" fillId="17" borderId="33" xfId="0" applyFont="1" applyFill="1" applyBorder="1" applyAlignment="1">
      <alignment vertical="center"/>
    </xf>
    <xf numFmtId="0" fontId="2" fillId="17" borderId="5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18" fillId="22" borderId="5" xfId="0" applyFont="1" applyFill="1" applyBorder="1" applyAlignment="1">
      <alignment horizontal="center" vertical="center"/>
    </xf>
    <xf numFmtId="0" fontId="17" fillId="22" borderId="1" xfId="0" applyNumberFormat="1" applyFont="1" applyFill="1" applyBorder="1" applyAlignment="1" applyProtection="1">
      <alignment horizontal="center" vertical="center"/>
      <protection locked="0"/>
    </xf>
    <xf numFmtId="0" fontId="18" fillId="22" borderId="6" xfId="0" applyFont="1" applyFill="1" applyBorder="1" applyAlignment="1">
      <alignment horizontal="center" vertical="center"/>
    </xf>
    <xf numFmtId="0" fontId="18" fillId="23" borderId="5" xfId="0" applyFont="1" applyFill="1" applyBorder="1" applyAlignment="1">
      <alignment horizontal="center" vertical="center"/>
    </xf>
    <xf numFmtId="0" fontId="17" fillId="23" borderId="1" xfId="0" applyNumberFormat="1" applyFont="1" applyFill="1" applyBorder="1" applyAlignment="1" applyProtection="1">
      <alignment horizontal="center" vertical="center"/>
      <protection locked="0"/>
    </xf>
    <xf numFmtId="0" fontId="18" fillId="23" borderId="6" xfId="0" applyFont="1" applyFill="1" applyBorder="1" applyAlignment="1">
      <alignment horizontal="center" vertical="center"/>
    </xf>
    <xf numFmtId="0" fontId="2" fillId="22" borderId="5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2" fillId="22" borderId="6" xfId="0" applyFont="1" applyFill="1" applyBorder="1" applyAlignment="1">
      <alignment horizontal="center" vertical="center"/>
    </xf>
    <xf numFmtId="0" fontId="18" fillId="22" borderId="1" xfId="0" applyFont="1" applyFill="1" applyBorder="1" applyAlignment="1">
      <alignment horizontal="center" vertical="center"/>
    </xf>
    <xf numFmtId="0" fontId="18" fillId="22" borderId="7" xfId="0" applyFont="1" applyFill="1" applyBorder="1" applyAlignment="1">
      <alignment horizontal="center" vertical="center"/>
    </xf>
    <xf numFmtId="0" fontId="17" fillId="22" borderId="8" xfId="0" applyNumberFormat="1" applyFont="1" applyFill="1" applyBorder="1" applyAlignment="1" applyProtection="1">
      <alignment horizontal="center" vertical="center"/>
      <protection locked="0"/>
    </xf>
    <xf numFmtId="0" fontId="18" fillId="22" borderId="9" xfId="0" applyFont="1" applyFill="1" applyBorder="1" applyAlignment="1">
      <alignment horizontal="center" vertical="center"/>
    </xf>
    <xf numFmtId="0" fontId="18" fillId="22" borderId="22" xfId="0" applyFont="1" applyFill="1" applyBorder="1" applyAlignment="1">
      <alignment horizontal="center" vertical="center"/>
    </xf>
    <xf numFmtId="0" fontId="18" fillId="22" borderId="23" xfId="0" applyFont="1" applyFill="1" applyBorder="1" applyAlignment="1">
      <alignment horizontal="center" vertical="center"/>
    </xf>
    <xf numFmtId="0" fontId="18" fillId="22" borderId="24" xfId="0" applyFont="1" applyFill="1" applyBorder="1" applyAlignment="1">
      <alignment horizontal="center" vertical="center"/>
    </xf>
    <xf numFmtId="0" fontId="18" fillId="23" borderId="1" xfId="0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0" fontId="18" fillId="23" borderId="7" xfId="0" applyFont="1" applyFill="1" applyBorder="1" applyAlignment="1">
      <alignment horizontal="center" vertical="center"/>
    </xf>
    <xf numFmtId="0" fontId="17" fillId="23" borderId="8" xfId="0" applyNumberFormat="1" applyFont="1" applyFill="1" applyBorder="1" applyAlignment="1" applyProtection="1">
      <alignment horizontal="center" vertical="center"/>
      <protection locked="0"/>
    </xf>
    <xf numFmtId="0" fontId="18" fillId="23" borderId="9" xfId="0" applyFont="1" applyFill="1" applyBorder="1" applyAlignment="1">
      <alignment horizontal="center" vertical="center"/>
    </xf>
    <xf numFmtId="0" fontId="18" fillId="23" borderId="22" xfId="0" applyFont="1" applyFill="1" applyBorder="1" applyAlignment="1">
      <alignment horizontal="center" vertical="center"/>
    </xf>
    <xf numFmtId="0" fontId="18" fillId="23" borderId="23" xfId="0" applyFont="1" applyFill="1" applyBorder="1" applyAlignment="1">
      <alignment horizontal="center" vertical="center"/>
    </xf>
    <xf numFmtId="0" fontId="18" fillId="23" borderId="24" xfId="0" applyFont="1" applyFill="1" applyBorder="1" applyAlignment="1">
      <alignment horizontal="center" vertical="center"/>
    </xf>
    <xf numFmtId="0" fontId="26" fillId="17" borderId="0" xfId="0" applyFont="1" applyFill="1" applyBorder="1" applyAlignment="1">
      <alignment horizontal="center" vertical="center"/>
    </xf>
    <xf numFmtId="0" fontId="17" fillId="17" borderId="6" xfId="0" applyNumberFormat="1" applyFont="1" applyFill="1" applyBorder="1" applyAlignment="1" applyProtection="1">
      <alignment horizontal="center" vertical="center"/>
      <protection locked="0"/>
    </xf>
    <xf numFmtId="0" fontId="17" fillId="17" borderId="9" xfId="0" applyNumberFormat="1" applyFont="1" applyFill="1" applyBorder="1" applyAlignment="1" applyProtection="1">
      <alignment horizontal="center" vertical="center"/>
      <protection locked="0"/>
    </xf>
    <xf numFmtId="0" fontId="2" fillId="17" borderId="34" xfId="0" applyFont="1" applyFill="1" applyBorder="1" applyAlignment="1">
      <alignment horizontal="center" vertical="center"/>
    </xf>
    <xf numFmtId="0" fontId="2" fillId="17" borderId="20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1" fillId="17" borderId="5" xfId="0" applyFont="1" applyFill="1" applyBorder="1" applyAlignment="1">
      <alignment horizontal="left" vertical="center"/>
    </xf>
    <xf numFmtId="0" fontId="27" fillId="17" borderId="0" xfId="0" applyFont="1" applyFill="1" applyAlignment="1">
      <alignment vertical="center"/>
    </xf>
    <xf numFmtId="0" fontId="1" fillId="17" borderId="6" xfId="0" applyFont="1" applyFill="1" applyBorder="1" applyAlignment="1">
      <alignment horizontal="center" vertical="center"/>
    </xf>
    <xf numFmtId="0" fontId="21" fillId="17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left" vertical="center"/>
    </xf>
    <xf numFmtId="0" fontId="1" fillId="17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8" fillId="7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/>
    </xf>
    <xf numFmtId="0" fontId="18" fillId="13" borderId="1" xfId="0" applyFont="1" applyFill="1" applyBorder="1" applyAlignment="1">
      <alignment horizontal="center" vertical="center"/>
    </xf>
    <xf numFmtId="0" fontId="18" fillId="14" borderId="1" xfId="0" applyFont="1" applyFill="1" applyBorder="1" applyAlignment="1">
      <alignment horizontal="center" vertical="center"/>
    </xf>
    <xf numFmtId="0" fontId="18" fillId="15" borderId="1" xfId="0" applyFont="1" applyFill="1" applyBorder="1" applyAlignment="1">
      <alignment horizontal="center" vertical="center"/>
    </xf>
    <xf numFmtId="0" fontId="18" fillId="16" borderId="1" xfId="0" applyFont="1" applyFill="1" applyBorder="1" applyAlignment="1">
      <alignment horizontal="center" vertical="center"/>
    </xf>
    <xf numFmtId="0" fontId="18" fillId="24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9" fillId="17" borderId="0" xfId="0" applyFont="1" applyFill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9" fillId="17" borderId="0" xfId="0" applyFont="1" applyFill="1" applyAlignment="1">
      <alignment vertical="center"/>
    </xf>
    <xf numFmtId="0" fontId="18" fillId="17" borderId="1" xfId="0" applyFont="1" applyFill="1" applyBorder="1" applyAlignment="1">
      <alignment horizontal="center" vertical="center"/>
    </xf>
    <xf numFmtId="0" fontId="1" fillId="24" borderId="1" xfId="0" applyFont="1" applyFill="1" applyBorder="1" applyAlignment="1">
      <alignment horizontal="center" vertical="center"/>
    </xf>
    <xf numFmtId="0" fontId="1" fillId="17" borderId="0" xfId="0" applyFont="1" applyFill="1" applyAlignment="1">
      <alignment horizontal="left" vertical="center"/>
    </xf>
    <xf numFmtId="0" fontId="18" fillId="0" borderId="26" xfId="0" applyFont="1" applyFill="1" applyBorder="1" applyAlignment="1">
      <alignment horizontal="center" vertical="center"/>
    </xf>
    <xf numFmtId="0" fontId="18" fillId="0" borderId="26" xfId="0" applyNumberFormat="1" applyFont="1" applyFill="1" applyBorder="1" applyAlignment="1">
      <alignment horizontal="center" vertical="center"/>
    </xf>
    <xf numFmtId="0" fontId="18" fillId="0" borderId="27" xfId="0" applyFont="1" applyFill="1" applyBorder="1" applyAlignment="1">
      <alignment horizontal="center" vertical="center"/>
    </xf>
    <xf numFmtId="0" fontId="18" fillId="0" borderId="35" xfId="0" applyFont="1" applyFill="1" applyBorder="1" applyAlignment="1">
      <alignment horizontal="center" vertical="center"/>
    </xf>
    <xf numFmtId="0" fontId="18" fillId="0" borderId="35" xfId="0" applyNumberFormat="1" applyFont="1" applyFill="1" applyBorder="1" applyAlignment="1">
      <alignment horizontal="center" vertical="center"/>
    </xf>
    <xf numFmtId="0" fontId="18" fillId="0" borderId="36" xfId="0" applyFont="1" applyFill="1" applyBorder="1" applyAlignment="1">
      <alignment horizontal="center" vertical="center"/>
    </xf>
    <xf numFmtId="0" fontId="18" fillId="0" borderId="28" xfId="0" applyFont="1" applyFill="1" applyBorder="1" applyAlignment="1">
      <alignment horizontal="center" vertical="center"/>
    </xf>
    <xf numFmtId="0" fontId="18" fillId="0" borderId="28" xfId="0" applyNumberFormat="1" applyFont="1" applyFill="1" applyBorder="1" applyAlignment="1">
      <alignment horizontal="center" vertical="center"/>
    </xf>
    <xf numFmtId="0" fontId="18" fillId="0" borderId="38" xfId="0" applyFont="1" applyFill="1" applyBorder="1" applyAlignment="1">
      <alignment horizontal="center" vertical="center"/>
    </xf>
    <xf numFmtId="0" fontId="18" fillId="0" borderId="29" xfId="0" applyFont="1" applyFill="1" applyBorder="1" applyAlignment="1">
      <alignment horizontal="center" vertical="center"/>
    </xf>
    <xf numFmtId="0" fontId="18" fillId="0" borderId="29" xfId="0" applyNumberFormat="1" applyFont="1" applyFill="1" applyBorder="1" applyAlignment="1">
      <alignment horizontal="center" vertical="center"/>
    </xf>
    <xf numFmtId="0" fontId="18" fillId="0" borderId="40" xfId="0" applyFont="1" applyFill="1" applyBorder="1" applyAlignment="1">
      <alignment horizontal="center" vertical="center"/>
    </xf>
    <xf numFmtId="0" fontId="18" fillId="17" borderId="26" xfId="0" applyNumberFormat="1" applyFont="1" applyFill="1" applyBorder="1" applyAlignment="1">
      <alignment horizontal="center" vertical="center"/>
    </xf>
    <xf numFmtId="0" fontId="18" fillId="17" borderId="35" xfId="0" applyFont="1" applyFill="1" applyBorder="1" applyAlignment="1">
      <alignment horizontal="center" vertical="center"/>
    </xf>
    <xf numFmtId="0" fontId="18" fillId="17" borderId="36" xfId="0" applyFont="1" applyFill="1" applyBorder="1" applyAlignment="1">
      <alignment horizontal="center" vertical="center"/>
    </xf>
    <xf numFmtId="0" fontId="18" fillId="17" borderId="28" xfId="0" applyFont="1" applyFill="1" applyBorder="1" applyAlignment="1">
      <alignment horizontal="center" vertical="center"/>
    </xf>
    <xf numFmtId="0" fontId="18" fillId="17" borderId="38" xfId="0" applyFont="1" applyFill="1" applyBorder="1" applyAlignment="1">
      <alignment horizontal="center" vertical="center"/>
    </xf>
    <xf numFmtId="0" fontId="18" fillId="17" borderId="29" xfId="0" applyFont="1" applyFill="1" applyBorder="1" applyAlignment="1">
      <alignment horizontal="center" vertical="center"/>
    </xf>
    <xf numFmtId="0" fontId="18" fillId="17" borderId="40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19" borderId="6" xfId="0" applyFont="1" applyFill="1" applyBorder="1" applyAlignment="1">
      <alignment horizontal="center" vertical="center"/>
    </xf>
    <xf numFmtId="0" fontId="18" fillId="16" borderId="5" xfId="0" applyFont="1" applyFill="1" applyBorder="1" applyAlignment="1">
      <alignment horizontal="center" vertical="center"/>
    </xf>
    <xf numFmtId="0" fontId="18" fillId="25" borderId="7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/>
    </xf>
    <xf numFmtId="0" fontId="18" fillId="17" borderId="1" xfId="0" applyFont="1" applyFill="1" applyBorder="1" applyAlignment="1">
      <alignment horizontal="center" vertical="center"/>
    </xf>
    <xf numFmtId="0" fontId="21" fillId="17" borderId="0" xfId="0" applyFont="1" applyFill="1" applyBorder="1" applyAlignment="1">
      <alignment horizontal="center"/>
    </xf>
    <xf numFmtId="0" fontId="19" fillId="17" borderId="0" xfId="0" applyFont="1" applyFill="1" applyBorder="1" applyAlignment="1"/>
    <xf numFmtId="0" fontId="15" fillId="17" borderId="0" xfId="0" applyFont="1" applyFill="1" applyBorder="1" applyAlignment="1"/>
    <xf numFmtId="0" fontId="18" fillId="25" borderId="1" xfId="0" applyFont="1" applyFill="1" applyBorder="1" applyAlignment="1">
      <alignment horizontal="center" vertical="center"/>
    </xf>
    <xf numFmtId="0" fontId="18" fillId="17" borderId="14" xfId="0" applyFont="1" applyFill="1" applyBorder="1" applyAlignment="1">
      <alignment horizontal="left"/>
    </xf>
    <xf numFmtId="0" fontId="19" fillId="17" borderId="44" xfId="0" applyFont="1" applyFill="1" applyBorder="1" applyAlignment="1"/>
    <xf numFmtId="0" fontId="18" fillId="17" borderId="44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0" fillId="17" borderId="0" xfId="0" applyFill="1"/>
    <xf numFmtId="0" fontId="1" fillId="17" borderId="6" xfId="0" applyFont="1" applyFill="1" applyBorder="1" applyAlignment="1">
      <alignment horizontal="left"/>
    </xf>
    <xf numFmtId="0" fontId="1" fillId="17" borderId="5" xfId="0" applyFont="1" applyFill="1" applyBorder="1" applyAlignment="1">
      <alignment horizontal="left"/>
    </xf>
    <xf numFmtId="0" fontId="18" fillId="17" borderId="0" xfId="0" applyFont="1" applyFill="1" applyBorder="1" applyAlignment="1"/>
    <xf numFmtId="0" fontId="17" fillId="17" borderId="8" xfId="0" applyNumberFormat="1" applyFont="1" applyFill="1" applyBorder="1" applyAlignment="1" applyProtection="1">
      <alignment horizontal="center" vertical="center"/>
      <protection locked="0"/>
    </xf>
    <xf numFmtId="1" fontId="18" fillId="17" borderId="1" xfId="0" applyNumberFormat="1" applyFont="1" applyFill="1" applyBorder="1" applyAlignment="1">
      <alignment horizontal="center" vertical="center"/>
    </xf>
    <xf numFmtId="2" fontId="18" fillId="17" borderId="1" xfId="0" applyNumberFormat="1" applyFont="1" applyFill="1" applyBorder="1" applyAlignment="1">
      <alignment horizontal="center" vertical="center"/>
    </xf>
    <xf numFmtId="0" fontId="18" fillId="26" borderId="1" xfId="0" applyFont="1" applyFill="1" applyBorder="1" applyAlignment="1">
      <alignment horizontal="center"/>
    </xf>
    <xf numFmtId="49" fontId="18" fillId="17" borderId="1" xfId="0" applyNumberFormat="1" applyFont="1" applyFill="1" applyBorder="1" applyAlignment="1">
      <alignment horizontal="center" vertical="center"/>
    </xf>
    <xf numFmtId="0" fontId="16" fillId="17" borderId="0" xfId="0" applyFont="1" applyFill="1" applyAlignment="1">
      <alignment vertical="center"/>
    </xf>
    <xf numFmtId="0" fontId="18" fillId="17" borderId="1" xfId="0" applyFont="1" applyFill="1" applyBorder="1"/>
    <xf numFmtId="0" fontId="18" fillId="17" borderId="6" xfId="0" applyFont="1" applyFill="1" applyBorder="1"/>
    <xf numFmtId="0" fontId="1" fillId="17" borderId="1" xfId="0" applyFont="1" applyFill="1" applyBorder="1"/>
    <xf numFmtId="0" fontId="1" fillId="17" borderId="7" xfId="0" applyFont="1" applyFill="1" applyBorder="1" applyAlignment="1">
      <alignment horizontal="left"/>
    </xf>
    <xf numFmtId="0" fontId="18" fillId="17" borderId="8" xfId="0" applyFont="1" applyFill="1" applyBorder="1"/>
    <xf numFmtId="0" fontId="1" fillId="17" borderId="2" xfId="0" applyFont="1" applyFill="1" applyBorder="1" applyAlignment="1">
      <alignment horizontal="left"/>
    </xf>
    <xf numFmtId="0" fontId="1" fillId="17" borderId="3" xfId="0" applyFont="1" applyFill="1" applyBorder="1" applyAlignment="1">
      <alignment horizontal="left"/>
    </xf>
    <xf numFmtId="0" fontId="1" fillId="17" borderId="4" xfId="0" applyFont="1" applyFill="1" applyBorder="1" applyAlignment="1">
      <alignment horizontal="left"/>
    </xf>
    <xf numFmtId="49" fontId="18" fillId="17" borderId="1" xfId="0" applyNumberFormat="1" applyFont="1" applyFill="1" applyBorder="1" applyAlignment="1">
      <alignment horizontal="left"/>
    </xf>
    <xf numFmtId="49" fontId="18" fillId="17" borderId="8" xfId="0" applyNumberFormat="1" applyFont="1" applyFill="1" applyBorder="1" applyAlignment="1">
      <alignment horizontal="left"/>
    </xf>
    <xf numFmtId="49" fontId="18" fillId="17" borderId="5" xfId="0" applyNumberFormat="1" applyFont="1" applyFill="1" applyBorder="1" applyAlignment="1">
      <alignment horizontal="left"/>
    </xf>
    <xf numFmtId="49" fontId="18" fillId="17" borderId="6" xfId="0" applyNumberFormat="1" applyFont="1" applyFill="1" applyBorder="1" applyAlignment="1">
      <alignment horizontal="left"/>
    </xf>
    <xf numFmtId="49" fontId="18" fillId="17" borderId="7" xfId="0" applyNumberFormat="1" applyFont="1" applyFill="1" applyBorder="1" applyAlignment="1">
      <alignment horizontal="left"/>
    </xf>
    <xf numFmtId="49" fontId="18" fillId="17" borderId="9" xfId="0" applyNumberFormat="1" applyFont="1" applyFill="1" applyBorder="1" applyAlignment="1">
      <alignment horizontal="left"/>
    </xf>
    <xf numFmtId="49" fontId="1" fillId="17" borderId="1" xfId="0" applyNumberFormat="1" applyFont="1" applyFill="1" applyBorder="1" applyAlignment="1">
      <alignment horizontal="left"/>
    </xf>
    <xf numFmtId="49" fontId="1" fillId="17" borderId="8" xfId="0" applyNumberFormat="1" applyFont="1" applyFill="1" applyBorder="1" applyAlignment="1">
      <alignment horizontal="left"/>
    </xf>
    <xf numFmtId="49" fontId="1" fillId="17" borderId="1" xfId="0" applyNumberFormat="1" applyFont="1" applyFill="1" applyBorder="1"/>
    <xf numFmtId="49" fontId="1" fillId="17" borderId="6" xfId="0" applyNumberFormat="1" applyFont="1" applyFill="1" applyBorder="1"/>
    <xf numFmtId="49" fontId="1" fillId="17" borderId="9" xfId="0" applyNumberFormat="1" applyFont="1" applyFill="1" applyBorder="1"/>
    <xf numFmtId="49" fontId="1" fillId="17" borderId="8" xfId="0" applyNumberFormat="1" applyFont="1" applyFill="1" applyBorder="1"/>
    <xf numFmtId="0" fontId="18" fillId="17" borderId="1" xfId="0" applyFont="1" applyFill="1" applyBorder="1" applyAlignment="1">
      <alignment horizontal="center" vertical="center"/>
    </xf>
    <xf numFmtId="0" fontId="3" fillId="17" borderId="5" xfId="0" applyFont="1" applyFill="1" applyBorder="1" applyAlignment="1">
      <alignment horizontal="center"/>
    </xf>
    <xf numFmtId="0" fontId="1" fillId="17" borderId="5" xfId="0" applyFont="1" applyFill="1" applyBorder="1"/>
    <xf numFmtId="0" fontId="1" fillId="17" borderId="6" xfId="0" applyFont="1" applyFill="1" applyBorder="1"/>
    <xf numFmtId="0" fontId="1" fillId="17" borderId="7" xfId="0" applyFont="1" applyFill="1" applyBorder="1"/>
    <xf numFmtId="0" fontId="1" fillId="17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2" fillId="17" borderId="8" xfId="0" applyFont="1" applyFill="1" applyBorder="1" applyAlignment="1">
      <alignment horizontal="center" vertical="center"/>
    </xf>
    <xf numFmtId="0" fontId="18" fillId="17" borderId="9" xfId="0" applyFont="1" applyFill="1" applyBorder="1"/>
    <xf numFmtId="0" fontId="1" fillId="17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center"/>
    </xf>
    <xf numFmtId="49" fontId="17" fillId="17" borderId="1" xfId="0" applyNumberFormat="1" applyFont="1" applyFill="1" applyBorder="1" applyAlignment="1">
      <alignment horizontal="center"/>
    </xf>
    <xf numFmtId="49" fontId="17" fillId="17" borderId="8" xfId="0" applyNumberFormat="1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 vertical="center"/>
    </xf>
    <xf numFmtId="0" fontId="1" fillId="17" borderId="5" xfId="0" applyFont="1" applyFill="1" applyBorder="1" applyAlignment="1">
      <alignment horizontal="center" vertical="center"/>
    </xf>
    <xf numFmtId="0" fontId="1" fillId="17" borderId="7" xfId="0" applyFont="1" applyFill="1" applyBorder="1" applyAlignment="1">
      <alignment horizontal="center" vertical="center"/>
    </xf>
    <xf numFmtId="49" fontId="17" fillId="17" borderId="1" xfId="0" applyNumberFormat="1" applyFont="1" applyFill="1" applyBorder="1" applyAlignment="1">
      <alignment horizontal="center" vertical="center"/>
    </xf>
    <xf numFmtId="49" fontId="17" fillId="17" borderId="8" xfId="0" applyNumberFormat="1" applyFont="1" applyFill="1" applyBorder="1" applyAlignment="1">
      <alignment horizontal="center" vertical="center"/>
    </xf>
    <xf numFmtId="49" fontId="17" fillId="17" borderId="6" xfId="0" applyNumberFormat="1" applyFont="1" applyFill="1" applyBorder="1" applyAlignment="1">
      <alignment horizontal="center" vertical="center"/>
    </xf>
    <xf numFmtId="49" fontId="17" fillId="17" borderId="9" xfId="0" applyNumberFormat="1" applyFont="1" applyFill="1" applyBorder="1" applyAlignment="1">
      <alignment horizontal="center" vertical="center"/>
    </xf>
    <xf numFmtId="49" fontId="17" fillId="17" borderId="5" xfId="0" applyNumberFormat="1" applyFont="1" applyFill="1" applyBorder="1" applyAlignment="1">
      <alignment horizontal="left"/>
    </xf>
    <xf numFmtId="49" fontId="17" fillId="17" borderId="1" xfId="0" applyNumberFormat="1" applyFont="1" applyFill="1" applyBorder="1" applyAlignment="1">
      <alignment horizontal="left"/>
    </xf>
    <xf numFmtId="49" fontId="17" fillId="17" borderId="6" xfId="0" applyNumberFormat="1" applyFont="1" applyFill="1" applyBorder="1" applyAlignment="1">
      <alignment horizontal="left"/>
    </xf>
    <xf numFmtId="49" fontId="17" fillId="17" borderId="7" xfId="0" applyNumberFormat="1" applyFont="1" applyFill="1" applyBorder="1" applyAlignment="1">
      <alignment horizontal="left"/>
    </xf>
    <xf numFmtId="49" fontId="17" fillId="17" borderId="8" xfId="0" applyNumberFormat="1" applyFont="1" applyFill="1" applyBorder="1" applyAlignment="1">
      <alignment horizontal="left"/>
    </xf>
    <xf numFmtId="49" fontId="17" fillId="17" borderId="9" xfId="0" applyNumberFormat="1" applyFont="1" applyFill="1" applyBorder="1" applyAlignment="1">
      <alignment horizontal="left"/>
    </xf>
    <xf numFmtId="49" fontId="1" fillId="17" borderId="1" xfId="0" applyNumberFormat="1" applyFont="1" applyFill="1" applyBorder="1" applyAlignment="1">
      <alignment horizontal="center" vertical="center"/>
    </xf>
    <xf numFmtId="49" fontId="18" fillId="17" borderId="1" xfId="0" applyNumberFormat="1" applyFont="1" applyFill="1" applyBorder="1" applyAlignment="1">
      <alignment horizontal="center" vertical="center"/>
    </xf>
    <xf numFmtId="49" fontId="18" fillId="17" borderId="8" xfId="0" applyNumberFormat="1" applyFont="1" applyFill="1" applyBorder="1" applyAlignment="1">
      <alignment horizontal="center" vertical="center"/>
    </xf>
    <xf numFmtId="0" fontId="19" fillId="17" borderId="45" xfId="0" applyFont="1" applyFill="1" applyBorder="1" applyAlignment="1">
      <alignment horizontal="center" vertical="center"/>
    </xf>
    <xf numFmtId="0" fontId="19" fillId="17" borderId="46" xfId="0" applyFont="1" applyFill="1" applyBorder="1" applyAlignment="1">
      <alignment horizontal="center" vertical="center"/>
    </xf>
    <xf numFmtId="0" fontId="19" fillId="17" borderId="47" xfId="0" applyFont="1" applyFill="1" applyBorder="1" applyAlignment="1">
      <alignment horizontal="center" vertical="center"/>
    </xf>
    <xf numFmtId="0" fontId="19" fillId="17" borderId="51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 vertical="center"/>
    </xf>
    <xf numFmtId="0" fontId="19" fillId="17" borderId="44" xfId="0" applyFont="1" applyFill="1" applyBorder="1" applyAlignment="1">
      <alignment horizontal="center" vertical="center"/>
    </xf>
    <xf numFmtId="0" fontId="19" fillId="17" borderId="48" xfId="0" applyFont="1" applyFill="1" applyBorder="1" applyAlignment="1">
      <alignment horizontal="center" vertical="center"/>
    </xf>
    <xf numFmtId="0" fontId="19" fillId="17" borderId="49" xfId="0" applyFont="1" applyFill="1" applyBorder="1" applyAlignment="1">
      <alignment horizontal="center" vertical="center"/>
    </xf>
    <xf numFmtId="0" fontId="19" fillId="17" borderId="50" xfId="0" applyFont="1" applyFill="1" applyBorder="1" applyAlignment="1">
      <alignment horizontal="center" vertical="center"/>
    </xf>
    <xf numFmtId="49" fontId="17" fillId="17" borderId="1" xfId="0" applyNumberFormat="1" applyFont="1" applyFill="1" applyBorder="1" applyAlignment="1">
      <alignment horizontal="center" vertical="center"/>
    </xf>
    <xf numFmtId="49" fontId="17" fillId="17" borderId="8" xfId="0" applyNumberFormat="1" applyFont="1" applyFill="1" applyBorder="1" applyAlignment="1">
      <alignment horizontal="center" vertical="center"/>
    </xf>
    <xf numFmtId="49" fontId="17" fillId="17" borderId="3" xfId="0" applyNumberFormat="1" applyFont="1" applyFill="1" applyBorder="1" applyAlignment="1" applyProtection="1">
      <alignment horizontal="center" vertical="center"/>
      <protection locked="0"/>
    </xf>
    <xf numFmtId="49" fontId="1" fillId="17" borderId="1" xfId="0" applyNumberFormat="1" applyFont="1" applyFill="1" applyBorder="1" applyAlignment="1">
      <alignment horizontal="center"/>
    </xf>
    <xf numFmtId="49" fontId="18" fillId="17" borderId="1" xfId="0" applyNumberFormat="1" applyFont="1" applyFill="1" applyBorder="1" applyAlignment="1">
      <alignment horizontal="center"/>
    </xf>
    <xf numFmtId="0" fontId="16" fillId="17" borderId="2" xfId="0" applyFont="1" applyFill="1" applyBorder="1" applyAlignment="1">
      <alignment horizontal="center"/>
    </xf>
    <xf numFmtId="0" fontId="16" fillId="17" borderId="3" xfId="0" applyFont="1" applyFill="1" applyBorder="1" applyAlignment="1">
      <alignment horizontal="center"/>
    </xf>
    <xf numFmtId="0" fontId="16" fillId="17" borderId="4" xfId="0" applyFont="1" applyFill="1" applyBorder="1" applyAlignment="1">
      <alignment horizontal="center"/>
    </xf>
    <xf numFmtId="0" fontId="16" fillId="17" borderId="2" xfId="0" applyFont="1" applyFill="1" applyBorder="1" applyAlignment="1">
      <alignment horizontal="center" vertical="center"/>
    </xf>
    <xf numFmtId="0" fontId="16" fillId="17" borderId="3" xfId="0" applyFont="1" applyFill="1" applyBorder="1" applyAlignment="1">
      <alignment horizontal="center" vertical="center"/>
    </xf>
    <xf numFmtId="0" fontId="16" fillId="17" borderId="4" xfId="0" applyFont="1" applyFill="1" applyBorder="1" applyAlignment="1">
      <alignment horizontal="center" vertical="center"/>
    </xf>
    <xf numFmtId="0" fontId="19" fillId="17" borderId="17" xfId="0" applyFont="1" applyFill="1" applyBorder="1" applyAlignment="1">
      <alignment horizontal="center"/>
    </xf>
    <xf numFmtId="0" fontId="19" fillId="17" borderId="18" xfId="0" applyFont="1" applyFill="1" applyBorder="1" applyAlignment="1">
      <alignment horizontal="center"/>
    </xf>
    <xf numFmtId="0" fontId="19" fillId="17" borderId="19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 vertical="center"/>
    </xf>
    <xf numFmtId="0" fontId="19" fillId="17" borderId="1" xfId="0" applyFont="1" applyFill="1" applyBorder="1" applyAlignment="1">
      <alignment horizontal="center" vertical="center"/>
    </xf>
    <xf numFmtId="0" fontId="20" fillId="17" borderId="0" xfId="0" applyFont="1" applyFill="1" applyAlignment="1">
      <alignment horizontal="center"/>
    </xf>
    <xf numFmtId="0" fontId="19" fillId="17" borderId="41" xfId="0" applyFont="1" applyFill="1" applyBorder="1" applyAlignment="1">
      <alignment horizontal="center"/>
    </xf>
    <xf numFmtId="0" fontId="19" fillId="17" borderId="42" xfId="0" applyFont="1" applyFill="1" applyBorder="1" applyAlignment="1">
      <alignment horizontal="center"/>
    </xf>
    <xf numFmtId="0" fontId="19" fillId="17" borderId="43" xfId="0" applyFont="1" applyFill="1" applyBorder="1" applyAlignment="1">
      <alignment horizontal="center"/>
    </xf>
    <xf numFmtId="0" fontId="19" fillId="17" borderId="0" xfId="0" applyFont="1" applyFill="1" applyBorder="1" applyAlignment="1">
      <alignment horizontal="center"/>
    </xf>
    <xf numFmtId="0" fontId="19" fillId="17" borderId="20" xfId="0" applyFont="1" applyFill="1" applyBorder="1" applyAlignment="1">
      <alignment horizontal="center" vertical="center"/>
    </xf>
    <xf numFmtId="0" fontId="19" fillId="17" borderId="12" xfId="0" applyFont="1" applyFill="1" applyBorder="1" applyAlignment="1">
      <alignment horizontal="center" vertical="center"/>
    </xf>
    <xf numFmtId="0" fontId="19" fillId="17" borderId="14" xfId="0" applyFont="1" applyFill="1" applyBorder="1" applyAlignment="1">
      <alignment horizontal="center" vertical="center"/>
    </xf>
    <xf numFmtId="0" fontId="19" fillId="17" borderId="17" xfId="0" applyFont="1" applyFill="1" applyBorder="1" applyAlignment="1">
      <alignment horizontal="center" vertical="center"/>
    </xf>
    <xf numFmtId="0" fontId="19" fillId="17" borderId="18" xfId="0" applyFont="1" applyFill="1" applyBorder="1" applyAlignment="1">
      <alignment horizontal="center" vertical="center"/>
    </xf>
    <xf numFmtId="0" fontId="19" fillId="17" borderId="19" xfId="0" applyFont="1" applyFill="1" applyBorder="1" applyAlignment="1">
      <alignment horizontal="center" vertical="center"/>
    </xf>
    <xf numFmtId="0" fontId="15" fillId="17" borderId="0" xfId="0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 wrapText="1"/>
    </xf>
    <xf numFmtId="0" fontId="22" fillId="17" borderId="5" xfId="0" applyFont="1" applyFill="1" applyBorder="1" applyAlignment="1">
      <alignment horizontal="center" vertical="center" wrapText="1"/>
    </xf>
    <xf numFmtId="0" fontId="22" fillId="17" borderId="39" xfId="0" applyFont="1" applyFill="1" applyBorder="1" applyAlignment="1">
      <alignment horizontal="center" vertical="center" wrapText="1"/>
    </xf>
    <xf numFmtId="0" fontId="22" fillId="0" borderId="37" xfId="0" applyFont="1" applyFill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/>
    </xf>
    <xf numFmtId="0" fontId="22" fillId="0" borderId="39" xfId="0" applyFont="1" applyFill="1" applyBorder="1" applyAlignment="1">
      <alignment horizontal="center" vertical="center"/>
    </xf>
    <xf numFmtId="0" fontId="22" fillId="0" borderId="15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26" fillId="22" borderId="17" xfId="0" applyFont="1" applyFill="1" applyBorder="1" applyAlignment="1">
      <alignment horizontal="center" vertical="center"/>
    </xf>
    <xf numFmtId="0" fontId="26" fillId="22" borderId="18" xfId="0" applyFont="1" applyFill="1" applyBorder="1" applyAlignment="1">
      <alignment horizontal="center" vertical="center"/>
    </xf>
    <xf numFmtId="0" fontId="26" fillId="22" borderId="19" xfId="0" applyFont="1" applyFill="1" applyBorder="1" applyAlignment="1">
      <alignment horizontal="center" vertical="center"/>
    </xf>
    <xf numFmtId="0" fontId="26" fillId="17" borderId="17" xfId="0" applyFont="1" applyFill="1" applyBorder="1" applyAlignment="1">
      <alignment horizontal="center" vertical="center"/>
    </xf>
    <xf numFmtId="0" fontId="26" fillId="17" borderId="18" xfId="0" applyFont="1" applyFill="1" applyBorder="1" applyAlignment="1">
      <alignment horizontal="center" vertical="center"/>
    </xf>
    <xf numFmtId="0" fontId="26" fillId="17" borderId="19" xfId="0" applyFont="1" applyFill="1" applyBorder="1" applyAlignment="1">
      <alignment horizontal="center" vertical="center"/>
    </xf>
    <xf numFmtId="0" fontId="26" fillId="19" borderId="17" xfId="0" applyFont="1" applyFill="1" applyBorder="1" applyAlignment="1">
      <alignment horizontal="center" vertical="center"/>
    </xf>
    <xf numFmtId="0" fontId="26" fillId="19" borderId="18" xfId="0" applyFont="1" applyFill="1" applyBorder="1" applyAlignment="1">
      <alignment horizontal="center" vertical="center"/>
    </xf>
    <xf numFmtId="0" fontId="26" fillId="19" borderId="19" xfId="0" applyFont="1" applyFill="1" applyBorder="1" applyAlignment="1">
      <alignment horizontal="center" vertical="center"/>
    </xf>
    <xf numFmtId="0" fontId="26" fillId="23" borderId="17" xfId="0" applyFont="1" applyFill="1" applyBorder="1" applyAlignment="1">
      <alignment horizontal="center" vertical="center"/>
    </xf>
    <xf numFmtId="0" fontId="26" fillId="23" borderId="18" xfId="0" applyFont="1" applyFill="1" applyBorder="1" applyAlignment="1">
      <alignment horizontal="center" vertical="center"/>
    </xf>
    <xf numFmtId="0" fontId="26" fillId="23" borderId="19" xfId="0" applyFont="1" applyFill="1" applyBorder="1" applyAlignment="1">
      <alignment horizontal="center" vertical="center"/>
    </xf>
    <xf numFmtId="0" fontId="26" fillId="21" borderId="17" xfId="0" applyFont="1" applyFill="1" applyBorder="1" applyAlignment="1">
      <alignment horizontal="center" vertical="center"/>
    </xf>
    <xf numFmtId="0" fontId="26" fillId="21" borderId="18" xfId="0" applyFont="1" applyFill="1" applyBorder="1" applyAlignment="1">
      <alignment horizontal="center" vertical="center"/>
    </xf>
    <xf numFmtId="0" fontId="26" fillId="21" borderId="19" xfId="0" applyFont="1" applyFill="1" applyBorder="1" applyAlignment="1">
      <alignment horizontal="center" vertical="center"/>
    </xf>
    <xf numFmtId="0" fontId="26" fillId="20" borderId="17" xfId="0" applyFont="1" applyFill="1" applyBorder="1" applyAlignment="1">
      <alignment horizontal="center" vertical="center"/>
    </xf>
    <xf numFmtId="0" fontId="26" fillId="20" borderId="18" xfId="0" applyFont="1" applyFill="1" applyBorder="1" applyAlignment="1">
      <alignment horizontal="center" vertical="center"/>
    </xf>
    <xf numFmtId="0" fontId="26" fillId="20" borderId="19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19" fillId="17" borderId="5" xfId="0" applyFont="1" applyFill="1" applyBorder="1" applyAlignment="1">
      <alignment horizontal="center"/>
    </xf>
    <xf numFmtId="0" fontId="19" fillId="17" borderId="1" xfId="0" applyFont="1" applyFill="1" applyBorder="1" applyAlignment="1">
      <alignment horizontal="center"/>
    </xf>
    <xf numFmtId="0" fontId="19" fillId="17" borderId="6" xfId="0" applyFont="1" applyFill="1" applyBorder="1" applyAlignment="1">
      <alignment horizontal="center"/>
    </xf>
    <xf numFmtId="0" fontId="23" fillId="17" borderId="2" xfId="0" applyFont="1" applyFill="1" applyBorder="1" applyAlignment="1">
      <alignment horizontal="center"/>
    </xf>
    <xf numFmtId="0" fontId="23" fillId="17" borderId="3" xfId="0" applyFont="1" applyFill="1" applyBorder="1" applyAlignment="1">
      <alignment horizontal="center"/>
    </xf>
    <xf numFmtId="0" fontId="23" fillId="17" borderId="4" xfId="0" applyFont="1" applyFill="1" applyBorder="1" applyAlignment="1">
      <alignment horizontal="center"/>
    </xf>
    <xf numFmtId="0" fontId="12" fillId="17" borderId="2" xfId="0" applyFont="1" applyFill="1" applyBorder="1" applyAlignment="1">
      <alignment horizontal="center"/>
    </xf>
    <xf numFmtId="0" fontId="12" fillId="17" borderId="3" xfId="0" applyFont="1" applyFill="1" applyBorder="1" applyAlignment="1">
      <alignment horizontal="center"/>
    </xf>
    <xf numFmtId="0" fontId="12" fillId="17" borderId="4" xfId="0" applyFont="1" applyFill="1" applyBorder="1" applyAlignment="1">
      <alignment horizontal="center"/>
    </xf>
  </cellXfs>
  <cellStyles count="8">
    <cellStyle name="Normal 3" xfId="4" xr:uid="{00000000-0005-0000-0000-000000000000}"/>
    <cellStyle name="常规" xfId="0" builtinId="0"/>
    <cellStyle name="常规 2" xfId="1" xr:uid="{00000000-0005-0000-0000-000002000000}"/>
    <cellStyle name="常规 3" xfId="2" xr:uid="{00000000-0005-0000-0000-000003000000}"/>
    <cellStyle name="常规 4" xfId="3" xr:uid="{00000000-0005-0000-0000-000004000000}"/>
    <cellStyle name="常规 5" xfId="5" xr:uid="{00000000-0005-0000-0000-000005000000}"/>
    <cellStyle name="常规 6" xfId="6" xr:uid="{00000000-0005-0000-0000-000006000000}"/>
    <cellStyle name="常规 7" xfId="7" xr:uid="{00000000-0005-0000-0000-000007000000}"/>
  </cellStyles>
  <dxfs count="11"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</dxf>
    <dxf>
      <fill>
        <patternFill patternType="lightUp"/>
      </fill>
    </dxf>
    <dxf>
      <fill>
        <patternFill patternType="lightUp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8584281175838E-3"/>
          <c:y val="4.0332127839083631E-2"/>
          <c:w val="0.9900283143764832"/>
          <c:h val="0.90141035417112891"/>
        </c:manualLayout>
      </c:layout>
      <c:scatterChart>
        <c:scatterStyle val="lineMarker"/>
        <c:varyColors val="0"/>
        <c:ser>
          <c:idx val="8"/>
          <c:order val="0"/>
          <c:tx>
            <c:v>主梁1</c:v>
          </c:tx>
          <c:spPr>
            <a:ln w="50800" cap="flat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('GA-无MotorGap'!$AM$6,'GA-无MotorGap'!$AN$6)</c:f>
              <c:numCache>
                <c:formatCode>General</c:formatCode>
                <c:ptCount val="2"/>
                <c:pt idx="0">
                  <c:v>0</c:v>
                </c:pt>
                <c:pt idx="1">
                  <c:v>8897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9E6-4D53-BF7C-7F8289F9614C}"/>
            </c:ext>
          </c:extLst>
        </c:ser>
        <c:ser>
          <c:idx val="9"/>
          <c:order val="1"/>
          <c:tx>
            <c:v>主梁2</c:v>
          </c:tx>
          <c:spPr>
            <a:ln w="44450" cap="flat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('GA-无MotorGap'!$AM$7,'GA-无MotorGap'!$AN$7)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9E6-4D53-BF7C-7F8289F9614C}"/>
            </c:ext>
          </c:extLst>
        </c:ser>
        <c:ser>
          <c:idx val="10"/>
          <c:order val="2"/>
          <c:tx>
            <c:v>主梁3</c:v>
          </c:tx>
          <c:spPr>
            <a:ln w="44450" cap="flat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('GA-无MotorGap'!$AM$8,'GA-无MotorGap'!$AN$8)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9E6-4D53-BF7C-7F8289F9614C}"/>
            </c:ext>
          </c:extLst>
        </c:ser>
        <c:ser>
          <c:idx val="11"/>
          <c:order val="3"/>
          <c:tx>
            <c:v>主梁4</c:v>
          </c:tx>
          <c:spPr>
            <a:ln w="44450" cap="flat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('GA-无MotorGap'!$AM$9,'GA-无MotorGap'!$AN$9)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9E6-4D53-BF7C-7F8289F9614C}"/>
            </c:ext>
          </c:extLst>
        </c:ser>
        <c:ser>
          <c:idx val="12"/>
          <c:order val="4"/>
          <c:tx>
            <c:v>主梁5</c:v>
          </c:tx>
          <c:spPr>
            <a:ln w="44450" cap="flat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('GA-无MotorGap'!$AM$10,'GA-无MotorGap'!$AN$10)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9E6-4D53-BF7C-7F8289F9614C}"/>
            </c:ext>
          </c:extLst>
        </c:ser>
        <c:ser>
          <c:idx val="13"/>
          <c:order val="5"/>
          <c:tx>
            <c:v>主梁6</c:v>
          </c:tx>
          <c:spPr>
            <a:ln w="44450" cap="flat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('GA-无MotorGap'!$AM$11,'GA-无MotorGap'!$AN$11)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9E6-4D53-BF7C-7F8289F9614C}"/>
            </c:ext>
          </c:extLst>
        </c:ser>
        <c:ser>
          <c:idx val="14"/>
          <c:order val="6"/>
          <c:tx>
            <c:v>主梁7</c:v>
          </c:tx>
          <c:spPr>
            <a:ln w="44450" cap="flat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('GA-无MotorGap'!$AM$12,'GA-无MotorGap'!$AN$12)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E6-4D53-BF7C-7F8289F9614C}"/>
            </c:ext>
          </c:extLst>
        </c:ser>
        <c:ser>
          <c:idx val="15"/>
          <c:order val="7"/>
          <c:tx>
            <c:v>主梁8</c:v>
          </c:tx>
          <c:spPr>
            <a:ln w="44450" cap="flat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('GA-无MotorGap'!$AM$13,'GA-无MotorGap'!$AN$13)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9E6-4D53-BF7C-7F8289F9614C}"/>
            </c:ext>
          </c:extLst>
        </c:ser>
        <c:ser>
          <c:idx val="16"/>
          <c:order val="8"/>
          <c:tx>
            <c:v>主梁9</c:v>
          </c:tx>
          <c:spPr>
            <a:ln w="44450" cap="flat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('GA-无MotorGap'!$AM$14,'GA-无MotorGap'!$AN$14)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E6-4D53-BF7C-7F8289F9614C}"/>
            </c:ext>
          </c:extLst>
        </c:ser>
        <c:ser>
          <c:idx val="17"/>
          <c:order val="9"/>
          <c:tx>
            <c:v>主梁10</c:v>
          </c:tx>
          <c:spPr>
            <a:ln w="44450" cap="flat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('GA-无MotorGap'!$AM$15,'GA-无MotorGap'!$AN$15)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9E6-4D53-BF7C-7F8289F9614C}"/>
            </c:ext>
          </c:extLst>
        </c:ser>
        <c:ser>
          <c:idx val="18"/>
          <c:order val="10"/>
          <c:tx>
            <c:v>主梁11</c:v>
          </c:tx>
          <c:spPr>
            <a:ln w="44450" cap="flat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('GA-无MotorGap'!$AM$16,'GA-无MotorGap'!$AN$16)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E6-4D53-BF7C-7F8289F9614C}"/>
            </c:ext>
          </c:extLst>
        </c:ser>
        <c:ser>
          <c:idx val="19"/>
          <c:order val="11"/>
          <c:tx>
            <c:v>主梁12</c:v>
          </c:tx>
          <c:spPr>
            <a:ln w="44450" cap="flat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('GA-无MotorGap'!$AM$17,'GA-无MotorGap'!$AN$17)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9E6-4D53-BF7C-7F8289F9614C}"/>
            </c:ext>
          </c:extLst>
        </c:ser>
        <c:ser>
          <c:idx val="20"/>
          <c:order val="12"/>
          <c:tx>
            <c:v>主梁13</c:v>
          </c:tx>
          <c:spPr>
            <a:ln w="44450" cap="flat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('GA-无MotorGap'!$AM$18,'GA-无MotorGap'!$AN$18)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E6-4D53-BF7C-7F8289F9614C}"/>
            </c:ext>
          </c:extLst>
        </c:ser>
        <c:ser>
          <c:idx val="21"/>
          <c:order val="13"/>
          <c:tx>
            <c:v>主梁14</c:v>
          </c:tx>
          <c:spPr>
            <a:ln w="44450" cap="flat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('GA-无MotorGap'!$AM$19,'GA-无MotorGap'!$AN$19)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9E6-4D53-BF7C-7F8289F9614C}"/>
            </c:ext>
          </c:extLst>
        </c:ser>
        <c:ser>
          <c:idx val="22"/>
          <c:order val="14"/>
          <c:tx>
            <c:v>主梁15</c:v>
          </c:tx>
          <c:spPr>
            <a:ln w="44450" cap="flat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44450" cap="flat">
                <a:solidFill>
                  <a:schemeClr val="accent4">
                    <a:lumMod val="40000"/>
                    <a:lumOff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7F2-4318-A865-958CD406CB8B}"/>
              </c:ext>
            </c:extLst>
          </c:dPt>
          <c:xVal>
            <c:numRef>
              <c:f>('GA-无MotorGap'!$AM$20,'GA-无MotorGap'!$AN$20)</c:f>
              <c:numCache>
                <c:formatCode>General</c:formatCode>
                <c:ptCount val="2"/>
                <c:pt idx="0">
                  <c:v>0</c:v>
                </c:pt>
                <c:pt idx="1">
                  <c:v>96386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9E6-4D53-BF7C-7F8289F9614C}"/>
            </c:ext>
          </c:extLst>
        </c:ser>
        <c:ser>
          <c:idx val="23"/>
          <c:order val="15"/>
          <c:tx>
            <c:v>普通立柱1-基础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('GA-无MotorGap'!$AN$50,'GA-无MotorGap'!$AN$50)</c:f>
              <c:numCache>
                <c:formatCode>General</c:formatCode>
                <c:ptCount val="2"/>
                <c:pt idx="0">
                  <c:v>1984</c:v>
                </c:pt>
                <c:pt idx="1">
                  <c:v>1984</c:v>
                </c:pt>
              </c:numCache>
            </c:numRef>
          </c:xVal>
          <c:yVal>
            <c:numRef>
              <c:f>('GA-无MotorGap'!$AO$50,'GA-无MotorGap'!$AP$50)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9E6-4D53-BF7C-7F8289F9614C}"/>
            </c:ext>
          </c:extLst>
        </c:ser>
        <c:ser>
          <c:idx val="24"/>
          <c:order val="16"/>
          <c:tx>
            <c:v>普通立柱1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('GA-无MotorGap'!$AN$50,'GA-无MotorGap'!$AN$50)</c:f>
              <c:numCache>
                <c:formatCode>General</c:formatCode>
                <c:ptCount val="2"/>
                <c:pt idx="0">
                  <c:v>1984</c:v>
                </c:pt>
                <c:pt idx="1">
                  <c:v>1984</c:v>
                </c:pt>
              </c:numCache>
            </c:numRef>
          </c:xVal>
          <c:yVal>
            <c:numRef>
              <c:f>('GA-无MotorGap'!$AP$50,'GA-无MotorGap'!$AQ$50)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E6-4D53-BF7C-7F8289F9614C}"/>
            </c:ext>
          </c:extLst>
        </c:ser>
        <c:ser>
          <c:idx val="25"/>
          <c:order val="17"/>
          <c:tx>
            <c:v>普通立柱2-基础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('GA-无MotorGap'!$AN$51,'GA-无MotorGap'!$AN$51)</c:f>
              <c:numCache>
                <c:formatCode>General</c:formatCode>
                <c:ptCount val="2"/>
                <c:pt idx="0">
                  <c:v>16884</c:v>
                </c:pt>
                <c:pt idx="1">
                  <c:v>16884</c:v>
                </c:pt>
              </c:numCache>
            </c:numRef>
          </c:xVal>
          <c:yVal>
            <c:numRef>
              <c:f>('GA-无MotorGap'!$AO$51,'GA-无MotorGap'!$AP$51)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9E6-4D53-BF7C-7F8289F9614C}"/>
            </c:ext>
          </c:extLst>
        </c:ser>
        <c:ser>
          <c:idx val="26"/>
          <c:order val="18"/>
          <c:tx>
            <c:v>普通立柱2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('GA-无MotorGap'!$AN$51,'GA-无MotorGap'!$AN$51)</c:f>
              <c:numCache>
                <c:formatCode>General</c:formatCode>
                <c:ptCount val="2"/>
                <c:pt idx="0">
                  <c:v>16884</c:v>
                </c:pt>
                <c:pt idx="1">
                  <c:v>16884</c:v>
                </c:pt>
              </c:numCache>
            </c:numRef>
          </c:xVal>
          <c:yVal>
            <c:numRef>
              <c:f>('GA-无MotorGap'!$AP$51,'GA-无MotorGap'!$AQ$51)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9E6-4D53-BF7C-7F8289F9614C}"/>
            </c:ext>
          </c:extLst>
        </c:ser>
        <c:ser>
          <c:idx val="27"/>
          <c:order val="19"/>
          <c:tx>
            <c:v>普通立柱3-基础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('GA-无MotorGap'!$AN$52,'GA-无MotorGap'!$AN$52)</c:f>
              <c:numCache>
                <c:formatCode>General</c:formatCode>
                <c:ptCount val="2"/>
                <c:pt idx="0">
                  <c:v>24884</c:v>
                </c:pt>
                <c:pt idx="1">
                  <c:v>24884</c:v>
                </c:pt>
              </c:numCache>
            </c:numRef>
          </c:xVal>
          <c:yVal>
            <c:numRef>
              <c:f>('GA-无MotorGap'!$AO$52,'GA-无MotorGap'!$AP$52)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9E6-4D53-BF7C-7F8289F9614C}"/>
            </c:ext>
          </c:extLst>
        </c:ser>
        <c:ser>
          <c:idx val="28"/>
          <c:order val="20"/>
          <c:tx>
            <c:v>普通立柱3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('GA-无MotorGap'!$AN$52,'GA-无MotorGap'!$AN$52)</c:f>
              <c:numCache>
                <c:formatCode>General</c:formatCode>
                <c:ptCount val="2"/>
                <c:pt idx="0">
                  <c:v>24884</c:v>
                </c:pt>
                <c:pt idx="1">
                  <c:v>24884</c:v>
                </c:pt>
              </c:numCache>
            </c:numRef>
          </c:xVal>
          <c:yVal>
            <c:numRef>
              <c:f>('GA-无MotorGap'!$AP$52,'GA-无MotorGap'!$AQ$52)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9E6-4D53-BF7C-7F8289F9614C}"/>
            </c:ext>
          </c:extLst>
        </c:ser>
        <c:ser>
          <c:idx val="29"/>
          <c:order val="21"/>
          <c:tx>
            <c:v>普通立柱4-基础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('GA-无MotorGap'!$AN$53,'GA-无MotorGap'!$AN$53)</c:f>
              <c:numCache>
                <c:formatCode>General</c:formatCode>
                <c:ptCount val="2"/>
                <c:pt idx="0">
                  <c:v>32684</c:v>
                </c:pt>
                <c:pt idx="1">
                  <c:v>32684</c:v>
                </c:pt>
              </c:numCache>
            </c:numRef>
          </c:xVal>
          <c:yVal>
            <c:numRef>
              <c:f>('GA-无MotorGap'!$AO$53,'GA-无MotorGap'!$AP$53)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9E6-4D53-BF7C-7F8289F9614C}"/>
            </c:ext>
          </c:extLst>
        </c:ser>
        <c:ser>
          <c:idx val="30"/>
          <c:order val="22"/>
          <c:tx>
            <c:v>普通立柱4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('GA-无MotorGap'!$AN$53,'GA-无MotorGap'!$AN$53)</c:f>
              <c:numCache>
                <c:formatCode>General</c:formatCode>
                <c:ptCount val="2"/>
                <c:pt idx="0">
                  <c:v>32684</c:v>
                </c:pt>
                <c:pt idx="1">
                  <c:v>32684</c:v>
                </c:pt>
              </c:numCache>
            </c:numRef>
          </c:xVal>
          <c:yVal>
            <c:numRef>
              <c:f>('GA-无MotorGap'!$AP$53,'GA-无MotorGap'!$AQ$53)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9E6-4D53-BF7C-7F8289F9614C}"/>
            </c:ext>
          </c:extLst>
        </c:ser>
        <c:ser>
          <c:idx val="31"/>
          <c:order val="23"/>
          <c:tx>
            <c:v>普通立柱5-基础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('GA-无MotorGap'!$AN$54,'GA-无MotorGap'!$AN$54)</c:f>
              <c:numCache>
                <c:formatCode>General</c:formatCode>
                <c:ptCount val="2"/>
                <c:pt idx="0">
                  <c:v>39584</c:v>
                </c:pt>
                <c:pt idx="1">
                  <c:v>39584</c:v>
                </c:pt>
              </c:numCache>
            </c:numRef>
          </c:xVal>
          <c:yVal>
            <c:numRef>
              <c:f>('GA-无MotorGap'!$AO$54,'GA-无MotorGap'!$AP$54)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9E6-4D53-BF7C-7F8289F9614C}"/>
            </c:ext>
          </c:extLst>
        </c:ser>
        <c:ser>
          <c:idx val="32"/>
          <c:order val="24"/>
          <c:tx>
            <c:v>普通立柱5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('GA-无MotorGap'!$AN$54,'GA-无MotorGap'!$AN$54)</c:f>
              <c:numCache>
                <c:formatCode>General</c:formatCode>
                <c:ptCount val="2"/>
                <c:pt idx="0">
                  <c:v>39584</c:v>
                </c:pt>
                <c:pt idx="1">
                  <c:v>39584</c:v>
                </c:pt>
              </c:numCache>
            </c:numRef>
          </c:xVal>
          <c:yVal>
            <c:numRef>
              <c:f>('GA-无MotorGap'!$AP$54,'GA-无MotorGap'!$AQ$54)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9E6-4D53-BF7C-7F8289F9614C}"/>
            </c:ext>
          </c:extLst>
        </c:ser>
        <c:ser>
          <c:idx val="33"/>
          <c:order val="25"/>
          <c:tx>
            <c:v>普通立柱6-基础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('GA-无MotorGap'!$AN$55,'GA-无MotorGap'!$AN$55)</c:f>
              <c:numCache>
                <c:formatCode>General</c:formatCode>
                <c:ptCount val="2"/>
                <c:pt idx="0">
                  <c:v>52384</c:v>
                </c:pt>
                <c:pt idx="1">
                  <c:v>52384</c:v>
                </c:pt>
              </c:numCache>
            </c:numRef>
          </c:xVal>
          <c:yVal>
            <c:numRef>
              <c:f>('GA-无MotorGap'!$AO$55,'GA-无MotorGap'!$AP$55)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9E6-4D53-BF7C-7F8289F9614C}"/>
            </c:ext>
          </c:extLst>
        </c:ser>
        <c:ser>
          <c:idx val="34"/>
          <c:order val="26"/>
          <c:tx>
            <c:v>普通立柱6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('GA-无MotorGap'!$AN$55,'GA-无MotorGap'!$AN$55)</c:f>
              <c:numCache>
                <c:formatCode>General</c:formatCode>
                <c:ptCount val="2"/>
                <c:pt idx="0">
                  <c:v>52384</c:v>
                </c:pt>
                <c:pt idx="1">
                  <c:v>52384</c:v>
                </c:pt>
              </c:numCache>
            </c:numRef>
          </c:xVal>
          <c:yVal>
            <c:numRef>
              <c:f>('GA-无MotorGap'!$AP$55,'GA-无MotorGap'!$AQ$55)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9E6-4D53-BF7C-7F8289F9614C}"/>
            </c:ext>
          </c:extLst>
        </c:ser>
        <c:ser>
          <c:idx val="35"/>
          <c:order val="27"/>
          <c:tx>
            <c:v>普通立柱7-基础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('GA-无MotorGap'!$AN$56,'GA-无MotorGap'!$AN$56)</c:f>
              <c:numCache>
                <c:formatCode>General</c:formatCode>
                <c:ptCount val="2"/>
                <c:pt idx="0">
                  <c:v>59384</c:v>
                </c:pt>
                <c:pt idx="1">
                  <c:v>59384</c:v>
                </c:pt>
              </c:numCache>
            </c:numRef>
          </c:xVal>
          <c:yVal>
            <c:numRef>
              <c:f>('GA-无MotorGap'!$AO$56,'GA-无MotorGap'!$AP$56)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9E6-4D53-BF7C-7F8289F9614C}"/>
            </c:ext>
          </c:extLst>
        </c:ser>
        <c:ser>
          <c:idx val="36"/>
          <c:order val="28"/>
          <c:tx>
            <c:v>普通立柱7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('GA-无MotorGap'!$AN$56,'GA-无MotorGap'!$AN$56)</c:f>
              <c:numCache>
                <c:formatCode>General</c:formatCode>
                <c:ptCount val="2"/>
                <c:pt idx="0">
                  <c:v>59384</c:v>
                </c:pt>
                <c:pt idx="1">
                  <c:v>59384</c:v>
                </c:pt>
              </c:numCache>
            </c:numRef>
          </c:xVal>
          <c:yVal>
            <c:numRef>
              <c:f>('GA-无MotorGap'!$AP$56,'GA-无MotorGap'!$AQ$56)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9E6-4D53-BF7C-7F8289F9614C}"/>
            </c:ext>
          </c:extLst>
        </c:ser>
        <c:ser>
          <c:idx val="37"/>
          <c:order val="29"/>
          <c:tx>
            <c:v>普通立柱8-基础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('GA-无MotorGap'!$AN$57,'GA-无MotorGap'!$AN$57)</c:f>
              <c:numCache>
                <c:formatCode>General</c:formatCode>
                <c:ptCount val="2"/>
                <c:pt idx="0">
                  <c:v>67184</c:v>
                </c:pt>
                <c:pt idx="1">
                  <c:v>67184</c:v>
                </c:pt>
              </c:numCache>
            </c:numRef>
          </c:xVal>
          <c:yVal>
            <c:numRef>
              <c:f>('GA-无MotorGap'!$AO$57,'GA-无MotorGap'!$AP$57)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9E6-4D53-BF7C-7F8289F9614C}"/>
            </c:ext>
          </c:extLst>
        </c:ser>
        <c:ser>
          <c:idx val="38"/>
          <c:order val="30"/>
          <c:tx>
            <c:v>普通立柱8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('GA-无MotorGap'!$AN$57,'GA-无MotorGap'!$AN$57)</c:f>
              <c:numCache>
                <c:formatCode>General</c:formatCode>
                <c:ptCount val="2"/>
                <c:pt idx="0">
                  <c:v>67184</c:v>
                </c:pt>
                <c:pt idx="1">
                  <c:v>67184</c:v>
                </c:pt>
              </c:numCache>
            </c:numRef>
          </c:xVal>
          <c:yVal>
            <c:numRef>
              <c:f>('GA-无MotorGap'!$AP$57,'GA-无MotorGap'!$AQ$57)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9E6-4D53-BF7C-7F8289F9614C}"/>
            </c:ext>
          </c:extLst>
        </c:ser>
        <c:ser>
          <c:idx val="39"/>
          <c:order val="31"/>
          <c:tx>
            <c:v>普通立柱9-基础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('GA-无MotorGap'!$AN$58,'GA-无MotorGap'!$AN$58)</c:f>
              <c:numCache>
                <c:formatCode>General</c:formatCode>
                <c:ptCount val="2"/>
                <c:pt idx="0">
                  <c:v>74984</c:v>
                </c:pt>
                <c:pt idx="1">
                  <c:v>74984</c:v>
                </c:pt>
              </c:numCache>
            </c:numRef>
          </c:xVal>
          <c:yVal>
            <c:numRef>
              <c:f>('GA-无MotorGap'!$AO$58,'GA-无MotorGap'!$AP$58)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9E6-4D53-BF7C-7F8289F9614C}"/>
            </c:ext>
          </c:extLst>
        </c:ser>
        <c:ser>
          <c:idx val="40"/>
          <c:order val="32"/>
          <c:tx>
            <c:v>普通立柱9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('GA-无MotorGap'!$AN$58,'GA-无MotorGap'!$AN$58)</c:f>
              <c:numCache>
                <c:formatCode>General</c:formatCode>
                <c:ptCount val="2"/>
                <c:pt idx="0">
                  <c:v>74984</c:v>
                </c:pt>
                <c:pt idx="1">
                  <c:v>74984</c:v>
                </c:pt>
              </c:numCache>
            </c:numRef>
          </c:xVal>
          <c:yVal>
            <c:numRef>
              <c:f>('GA-无MotorGap'!$AP$58,'GA-无MotorGap'!$AQ$58)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9E6-4D53-BF7C-7F8289F9614C}"/>
            </c:ext>
          </c:extLst>
        </c:ser>
        <c:ser>
          <c:idx val="41"/>
          <c:order val="33"/>
          <c:tx>
            <c:v>普通立柱10-基础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('GA-无MotorGap'!$AN$59,'GA-无MotorGap'!$AN$59)</c:f>
              <c:numCache>
                <c:formatCode>General</c:formatCode>
                <c:ptCount val="2"/>
                <c:pt idx="0">
                  <c:v>89984</c:v>
                </c:pt>
                <c:pt idx="1">
                  <c:v>89984</c:v>
                </c:pt>
              </c:numCache>
            </c:numRef>
          </c:xVal>
          <c:yVal>
            <c:numRef>
              <c:f>('GA-无MotorGap'!$AO$59,'GA-无MotorGap'!$AP$59)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9E6-4D53-BF7C-7F8289F9614C}"/>
            </c:ext>
          </c:extLst>
        </c:ser>
        <c:ser>
          <c:idx val="42"/>
          <c:order val="34"/>
          <c:tx>
            <c:v>普通立柱10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('GA-无MotorGap'!$AN$59,'GA-无MotorGap'!$AN$59)</c:f>
              <c:numCache>
                <c:formatCode>General</c:formatCode>
                <c:ptCount val="2"/>
                <c:pt idx="0">
                  <c:v>89984</c:v>
                </c:pt>
                <c:pt idx="1">
                  <c:v>89984</c:v>
                </c:pt>
              </c:numCache>
            </c:numRef>
          </c:xVal>
          <c:yVal>
            <c:numRef>
              <c:f>('GA-无MotorGap'!$AP$59,'GA-无MotorGap'!$AQ$59)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9E6-4D53-BF7C-7F8289F9614C}"/>
            </c:ext>
          </c:extLst>
        </c:ser>
        <c:ser>
          <c:idx val="43"/>
          <c:order val="35"/>
          <c:tx>
            <c:v>普通立柱11-基础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('GA-无MotorGap'!$AN$60,'GA-无MotorGap'!$AN$60)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('GA-无MotorGap'!$AO$60,'GA-无MotorGap'!$AP$60)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9E6-4D53-BF7C-7F8289F9614C}"/>
            </c:ext>
          </c:extLst>
        </c:ser>
        <c:ser>
          <c:idx val="44"/>
          <c:order val="36"/>
          <c:tx>
            <c:v>普通立柱11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('GA-无MotorGap'!$AN$60,'GA-无MotorGap'!$AN$60)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('GA-无MotorGap'!$AP$60,'GA-无MotorGap'!$AQ$60)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9E6-4D53-BF7C-7F8289F9614C}"/>
            </c:ext>
          </c:extLst>
        </c:ser>
        <c:ser>
          <c:idx val="45"/>
          <c:order val="37"/>
          <c:tx>
            <c:v>普通立柱12-基础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('GA-无MotorGap'!$AN$61,'GA-无MotorGap'!$AN$61)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('GA-无MotorGap'!$AO$61,'GA-无MotorGap'!$AP$61)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9E6-4D53-BF7C-7F8289F9614C}"/>
            </c:ext>
          </c:extLst>
        </c:ser>
        <c:ser>
          <c:idx val="46"/>
          <c:order val="38"/>
          <c:tx>
            <c:v>普通立柱12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('GA-无MotorGap'!$AN$61,'GA-无MotorGap'!$AN$61)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('GA-无MotorGap'!$AP$61,'GA-无MotorGap'!$AQ$61)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9E6-4D53-BF7C-7F8289F9614C}"/>
            </c:ext>
          </c:extLst>
        </c:ser>
        <c:ser>
          <c:idx val="47"/>
          <c:order val="39"/>
          <c:tx>
            <c:v>普通立柱13-基础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('GA-无MotorGap'!$AN$62,'GA-无MotorGap'!$AN$62)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('GA-无MotorGap'!$AO$62,'GA-无MotorGap'!$AP$62)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9E6-4D53-BF7C-7F8289F9614C}"/>
            </c:ext>
          </c:extLst>
        </c:ser>
        <c:ser>
          <c:idx val="48"/>
          <c:order val="40"/>
          <c:tx>
            <c:v>普通立柱13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('GA-无MotorGap'!$AN$62,'GA-无MotorGap'!$AN$62)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('GA-无MotorGap'!$AP$62,'GA-无MotorGap'!$AQ$62)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9E6-4D53-BF7C-7F8289F9614C}"/>
            </c:ext>
          </c:extLst>
        </c:ser>
        <c:ser>
          <c:idx val="49"/>
          <c:order val="41"/>
          <c:tx>
            <c:v>普通立柱14-基础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('GA-无MotorGap'!$AN$63,'GA-无MotorGap'!$AN$63)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('GA-无MotorGap'!$AO$63,'GA-无MotorGap'!$AP$63)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9E6-4D53-BF7C-7F8289F9614C}"/>
            </c:ext>
          </c:extLst>
        </c:ser>
        <c:ser>
          <c:idx val="50"/>
          <c:order val="42"/>
          <c:tx>
            <c:v>普通立柱14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('GA-无MotorGap'!$AN$63,'GA-无MotorGap'!$AN$63)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('GA-无MotorGap'!$AP$63,'GA-无MotorGap'!$AQ$63)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9E6-4D53-BF7C-7F8289F9614C}"/>
            </c:ext>
          </c:extLst>
        </c:ser>
        <c:ser>
          <c:idx val="51"/>
          <c:order val="43"/>
          <c:tx>
            <c:v>普通立柱15-基础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('GA-无MotorGap'!$AN$64,'GA-无MotorGap'!$AN$64)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('GA-无MotorGap'!$AO$64,'GA-无MotorGap'!$AP$64)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9E6-4D53-BF7C-7F8289F9614C}"/>
            </c:ext>
          </c:extLst>
        </c:ser>
        <c:ser>
          <c:idx val="52"/>
          <c:order val="44"/>
          <c:tx>
            <c:v>普通立柱15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('GA-无MotorGap'!$AN$64,'GA-无MotorGap'!$AN$64)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('GA-无MotorGap'!$AP$64,'GA-无MotorGap'!$AQ$64)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9E6-4D53-BF7C-7F8289F9614C}"/>
            </c:ext>
          </c:extLst>
        </c:ser>
        <c:ser>
          <c:idx val="53"/>
          <c:order val="45"/>
          <c:tx>
            <c:v>普通立柱16-基础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('GA-无MotorGap'!$AN$65,'GA-无MotorGap'!$AN$65)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('GA-无MotorGap'!$AO$65,'GA-无MotorGap'!$AP$65)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9E6-4D53-BF7C-7F8289F9614C}"/>
            </c:ext>
          </c:extLst>
        </c:ser>
        <c:ser>
          <c:idx val="54"/>
          <c:order val="46"/>
          <c:tx>
            <c:v>普通立柱16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('GA-无MotorGap'!$AN$65,'GA-无MotorGap'!$AN$65)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('GA-无MotorGap'!$AP$65,'GA-无MotorGap'!$AQ$65)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9E6-4D53-BF7C-7F8289F9614C}"/>
            </c:ext>
          </c:extLst>
        </c:ser>
        <c:ser>
          <c:idx val="55"/>
          <c:order val="47"/>
          <c:tx>
            <c:v>普通立柱17-基础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('GA-无MotorGap'!$AN$66,'GA-无MotorGap'!$AN$66)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('GA-无MotorGap'!$AO$66,'GA-无MotorGap'!$AP$66)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9E6-4D53-BF7C-7F8289F9614C}"/>
            </c:ext>
          </c:extLst>
        </c:ser>
        <c:ser>
          <c:idx val="56"/>
          <c:order val="48"/>
          <c:tx>
            <c:v>普通立柱17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('GA-无MotorGap'!$AN$66,'GA-无MotorGap'!$AN$66)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('GA-无MotorGap'!$AP$66,'GA-无MotorGap'!$AQ$66)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9E6-4D53-BF7C-7F8289F9614C}"/>
            </c:ext>
          </c:extLst>
        </c:ser>
        <c:ser>
          <c:idx val="57"/>
          <c:order val="49"/>
          <c:tx>
            <c:v>普通立柱18-基础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('GA-无MotorGap'!$AN$67,'GA-无MotorGap'!$AN$67)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('GA-无MotorGap'!$AO$67,'GA-无MotorGap'!$AP$67)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9E6-4D53-BF7C-7F8289F9614C}"/>
            </c:ext>
          </c:extLst>
        </c:ser>
        <c:ser>
          <c:idx val="58"/>
          <c:order val="50"/>
          <c:tx>
            <c:v>普通立柱18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('GA-无MotorGap'!$AN$67,'GA-无MotorGap'!$AN$67)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('GA-无MotorGap'!$AP$67,'GA-无MotorGap'!$AQ$67)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9E6-4D53-BF7C-7F8289F9614C}"/>
            </c:ext>
          </c:extLst>
        </c:ser>
        <c:ser>
          <c:idx val="59"/>
          <c:order val="51"/>
          <c:tx>
            <c:v>普通立柱19-基础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('GA-无MotorGap'!$AN$68,'GA-无MotorGap'!$AN$68)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('GA-无MotorGap'!$AO$68,'GA-无MotorGap'!$AP$68)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9E6-4D53-BF7C-7F8289F9614C}"/>
            </c:ext>
          </c:extLst>
        </c:ser>
        <c:ser>
          <c:idx val="60"/>
          <c:order val="52"/>
          <c:tx>
            <c:v>普通立柱19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('GA-无MotorGap'!$AN$68,'GA-无MotorGap'!$AN$68)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('GA-无MotorGap'!$AP$68,'GA-无MotorGap'!$AQ$68)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9E6-4D53-BF7C-7F8289F9614C}"/>
            </c:ext>
          </c:extLst>
        </c:ser>
        <c:ser>
          <c:idx val="62"/>
          <c:order val="53"/>
          <c:tx>
            <c:v>普通立柱20-基础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('GA-无MotorGap'!$AN$69,'GA-无MotorGap'!$AN$69)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('GA-无MotorGap'!$AO$69,'GA-无MotorGap'!$AP$69)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9E6-4D53-BF7C-7F8289F9614C}"/>
            </c:ext>
          </c:extLst>
        </c:ser>
        <c:ser>
          <c:idx val="61"/>
          <c:order val="54"/>
          <c:tx>
            <c:v>普通立柱20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('GA-无MotorGap'!$AN$69,'GA-无MotorGap'!$AN$69)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('GA-无MotorGap'!$AP$69,'GA-无MotorGap'!$AQ$69)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9E6-4D53-BF7C-7F8289F9614C}"/>
            </c:ext>
          </c:extLst>
        </c:ser>
        <c:ser>
          <c:idx val="0"/>
          <c:order val="55"/>
          <c:tx>
            <c:v>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683-42D7-812C-0DB516CD366B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683-42D7-812C-0DB516CD366B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683-42D7-812C-0DB516CD366B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2683-42D7-812C-0DB516CD366B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2683-42D7-812C-0DB516CD366B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2683-42D7-812C-0DB516CD366B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2683-42D7-812C-0DB516CD366B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2683-42D7-812C-0DB516CD366B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2683-42D7-812C-0DB516CD366B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2683-42D7-812C-0DB516CD366B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2683-42D7-812C-0DB516CD366B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2683-42D7-812C-0DB516CD366B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2683-42D7-812C-0DB516CD366B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2683-42D7-812C-0DB516CD366B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2683-42D7-812C-0DB516CD366B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2683-42D7-812C-0DB516CD366B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2683-42D7-812C-0DB516CD366B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2683-42D7-812C-0DB516CD366B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2683-42D7-812C-0DB516CD366B}"/>
              </c:ext>
            </c:extLst>
          </c:dPt>
          <c:xVal>
            <c:numRef>
              <c:f>'GA-无MotorGap'!$BB$6:$BB$407</c:f>
              <c:numCache>
                <c:formatCode>General</c:formatCode>
                <c:ptCount val="402"/>
                <c:pt idx="0">
                  <c:v>145</c:v>
                </c:pt>
                <c:pt idx="1">
                  <c:v>150</c:v>
                </c:pt>
                <c:pt idx="2">
                  <c:v>1284</c:v>
                </c:pt>
                <c:pt idx="3">
                  <c:v>1289</c:v>
                </c:pt>
                <c:pt idx="4">
                  <c:v>1294</c:v>
                </c:pt>
                <c:pt idx="5">
                  <c:v>2428</c:v>
                </c:pt>
                <c:pt idx="6">
                  <c:v>2433</c:v>
                </c:pt>
                <c:pt idx="7">
                  <c:v>2438</c:v>
                </c:pt>
                <c:pt idx="8">
                  <c:v>3572</c:v>
                </c:pt>
                <c:pt idx="9">
                  <c:v>3577</c:v>
                </c:pt>
                <c:pt idx="10">
                  <c:v>3582</c:v>
                </c:pt>
                <c:pt idx="11">
                  <c:v>4716</c:v>
                </c:pt>
                <c:pt idx="12">
                  <c:v>4721</c:v>
                </c:pt>
                <c:pt idx="13">
                  <c:v>4726</c:v>
                </c:pt>
                <c:pt idx="14">
                  <c:v>5860</c:v>
                </c:pt>
                <c:pt idx="15">
                  <c:v>5865</c:v>
                </c:pt>
                <c:pt idx="16">
                  <c:v>5870</c:v>
                </c:pt>
                <c:pt idx="17">
                  <c:v>7004</c:v>
                </c:pt>
                <c:pt idx="18">
                  <c:v>7009</c:v>
                </c:pt>
                <c:pt idx="19">
                  <c:v>7014</c:v>
                </c:pt>
                <c:pt idx="20">
                  <c:v>8148</c:v>
                </c:pt>
                <c:pt idx="21">
                  <c:v>8153</c:v>
                </c:pt>
                <c:pt idx="22">
                  <c:v>8158</c:v>
                </c:pt>
                <c:pt idx="23">
                  <c:v>9292</c:v>
                </c:pt>
                <c:pt idx="24">
                  <c:v>9297</c:v>
                </c:pt>
                <c:pt idx="25">
                  <c:v>9302</c:v>
                </c:pt>
                <c:pt idx="26">
                  <c:v>10436</c:v>
                </c:pt>
                <c:pt idx="27">
                  <c:v>10441</c:v>
                </c:pt>
                <c:pt idx="28">
                  <c:v>10446</c:v>
                </c:pt>
                <c:pt idx="29">
                  <c:v>11580</c:v>
                </c:pt>
                <c:pt idx="30">
                  <c:v>11585</c:v>
                </c:pt>
                <c:pt idx="31">
                  <c:v>11590</c:v>
                </c:pt>
                <c:pt idx="32">
                  <c:v>12724</c:v>
                </c:pt>
                <c:pt idx="33">
                  <c:v>12729</c:v>
                </c:pt>
                <c:pt idx="34">
                  <c:v>12734</c:v>
                </c:pt>
                <c:pt idx="35">
                  <c:v>13868</c:v>
                </c:pt>
                <c:pt idx="36">
                  <c:v>13873</c:v>
                </c:pt>
                <c:pt idx="37">
                  <c:v>13878</c:v>
                </c:pt>
                <c:pt idx="38">
                  <c:v>15012</c:v>
                </c:pt>
                <c:pt idx="39">
                  <c:v>15017</c:v>
                </c:pt>
                <c:pt idx="40">
                  <c:v>15022</c:v>
                </c:pt>
                <c:pt idx="41">
                  <c:v>16156</c:v>
                </c:pt>
                <c:pt idx="42">
                  <c:v>16161</c:v>
                </c:pt>
                <c:pt idx="43">
                  <c:v>16166</c:v>
                </c:pt>
                <c:pt idx="44">
                  <c:v>17300</c:v>
                </c:pt>
                <c:pt idx="45">
                  <c:v>17305</c:v>
                </c:pt>
                <c:pt idx="46">
                  <c:v>17310</c:v>
                </c:pt>
                <c:pt idx="47">
                  <c:v>18444</c:v>
                </c:pt>
                <c:pt idx="48">
                  <c:v>18449</c:v>
                </c:pt>
                <c:pt idx="49">
                  <c:v>18454</c:v>
                </c:pt>
                <c:pt idx="50">
                  <c:v>19588</c:v>
                </c:pt>
                <c:pt idx="51">
                  <c:v>19593</c:v>
                </c:pt>
                <c:pt idx="52">
                  <c:v>19598</c:v>
                </c:pt>
                <c:pt idx="53">
                  <c:v>20732</c:v>
                </c:pt>
                <c:pt idx="54">
                  <c:v>20737</c:v>
                </c:pt>
                <c:pt idx="55">
                  <c:v>20742</c:v>
                </c:pt>
                <c:pt idx="56">
                  <c:v>21876</c:v>
                </c:pt>
                <c:pt idx="57">
                  <c:v>21881</c:v>
                </c:pt>
                <c:pt idx="58">
                  <c:v>21886</c:v>
                </c:pt>
                <c:pt idx="59">
                  <c:v>23020</c:v>
                </c:pt>
                <c:pt idx="60">
                  <c:v>23025</c:v>
                </c:pt>
                <c:pt idx="61">
                  <c:v>23030</c:v>
                </c:pt>
                <c:pt idx="62">
                  <c:v>24164</c:v>
                </c:pt>
                <c:pt idx="63">
                  <c:v>24169</c:v>
                </c:pt>
                <c:pt idx="64">
                  <c:v>24174</c:v>
                </c:pt>
                <c:pt idx="65">
                  <c:v>25308</c:v>
                </c:pt>
                <c:pt idx="66">
                  <c:v>25313</c:v>
                </c:pt>
                <c:pt idx="67">
                  <c:v>25318</c:v>
                </c:pt>
                <c:pt idx="68">
                  <c:v>26452</c:v>
                </c:pt>
                <c:pt idx="69">
                  <c:v>26457</c:v>
                </c:pt>
                <c:pt idx="70">
                  <c:v>26462</c:v>
                </c:pt>
                <c:pt idx="71">
                  <c:v>27596</c:v>
                </c:pt>
                <c:pt idx="72">
                  <c:v>27601</c:v>
                </c:pt>
                <c:pt idx="73">
                  <c:v>27606</c:v>
                </c:pt>
                <c:pt idx="74">
                  <c:v>28740</c:v>
                </c:pt>
                <c:pt idx="75">
                  <c:v>28745</c:v>
                </c:pt>
                <c:pt idx="76">
                  <c:v>28750</c:v>
                </c:pt>
                <c:pt idx="77">
                  <c:v>29884</c:v>
                </c:pt>
                <c:pt idx="78">
                  <c:v>29889</c:v>
                </c:pt>
                <c:pt idx="79">
                  <c:v>29894</c:v>
                </c:pt>
                <c:pt idx="80">
                  <c:v>31028</c:v>
                </c:pt>
                <c:pt idx="81">
                  <c:v>31033</c:v>
                </c:pt>
                <c:pt idx="82">
                  <c:v>31038</c:v>
                </c:pt>
                <c:pt idx="83">
                  <c:v>32172</c:v>
                </c:pt>
                <c:pt idx="84">
                  <c:v>32177</c:v>
                </c:pt>
                <c:pt idx="85">
                  <c:v>32182</c:v>
                </c:pt>
                <c:pt idx="86">
                  <c:v>33316</c:v>
                </c:pt>
                <c:pt idx="87">
                  <c:v>33321</c:v>
                </c:pt>
                <c:pt idx="88">
                  <c:v>33326</c:v>
                </c:pt>
                <c:pt idx="89">
                  <c:v>34460</c:v>
                </c:pt>
                <c:pt idx="90">
                  <c:v>34465</c:v>
                </c:pt>
                <c:pt idx="91">
                  <c:v>34470</c:v>
                </c:pt>
                <c:pt idx="92">
                  <c:v>35604</c:v>
                </c:pt>
                <c:pt idx="93">
                  <c:v>35609</c:v>
                </c:pt>
                <c:pt idx="94">
                  <c:v>35614</c:v>
                </c:pt>
                <c:pt idx="95">
                  <c:v>36748</c:v>
                </c:pt>
                <c:pt idx="96">
                  <c:v>36753</c:v>
                </c:pt>
                <c:pt idx="97">
                  <c:v>36758</c:v>
                </c:pt>
                <c:pt idx="98">
                  <c:v>37892</c:v>
                </c:pt>
                <c:pt idx="99">
                  <c:v>37897</c:v>
                </c:pt>
                <c:pt idx="100">
                  <c:v>37902</c:v>
                </c:pt>
                <c:pt idx="101">
                  <c:v>39036</c:v>
                </c:pt>
                <c:pt idx="102">
                  <c:v>39041</c:v>
                </c:pt>
                <c:pt idx="103">
                  <c:v>39046</c:v>
                </c:pt>
                <c:pt idx="104">
                  <c:v>40180</c:v>
                </c:pt>
                <c:pt idx="105">
                  <c:v>40185</c:v>
                </c:pt>
                <c:pt idx="106">
                  <c:v>40190</c:v>
                </c:pt>
                <c:pt idx="107">
                  <c:v>41324</c:v>
                </c:pt>
                <c:pt idx="108">
                  <c:v>41329</c:v>
                </c:pt>
                <c:pt idx="109">
                  <c:v>41334</c:v>
                </c:pt>
                <c:pt idx="110">
                  <c:v>42468</c:v>
                </c:pt>
                <c:pt idx="111">
                  <c:v>42473</c:v>
                </c:pt>
                <c:pt idx="112">
                  <c:v>42478</c:v>
                </c:pt>
                <c:pt idx="113">
                  <c:v>43612</c:v>
                </c:pt>
                <c:pt idx="114">
                  <c:v>43617</c:v>
                </c:pt>
                <c:pt idx="115">
                  <c:v>43622</c:v>
                </c:pt>
                <c:pt idx="116">
                  <c:v>44756</c:v>
                </c:pt>
                <c:pt idx="117">
                  <c:v>44761</c:v>
                </c:pt>
                <c:pt idx="118">
                  <c:v>44766</c:v>
                </c:pt>
                <c:pt idx="119">
                  <c:v>45900</c:v>
                </c:pt>
                <c:pt idx="120">
                  <c:v>45905</c:v>
                </c:pt>
                <c:pt idx="121">
                  <c:v>45910</c:v>
                </c:pt>
                <c:pt idx="122">
                  <c:v>47044</c:v>
                </c:pt>
                <c:pt idx="123">
                  <c:v>47049</c:v>
                </c:pt>
                <c:pt idx="124">
                  <c:v>47054</c:v>
                </c:pt>
                <c:pt idx="125">
                  <c:v>48188</c:v>
                </c:pt>
                <c:pt idx="126">
                  <c:v>48193</c:v>
                </c:pt>
                <c:pt idx="127">
                  <c:v>48198</c:v>
                </c:pt>
                <c:pt idx="128">
                  <c:v>49332</c:v>
                </c:pt>
                <c:pt idx="129">
                  <c:v>49337</c:v>
                </c:pt>
                <c:pt idx="130">
                  <c:v>49342</c:v>
                </c:pt>
                <c:pt idx="131">
                  <c:v>50476</c:v>
                </c:pt>
                <c:pt idx="132">
                  <c:v>50481</c:v>
                </c:pt>
                <c:pt idx="133">
                  <c:v>50486</c:v>
                </c:pt>
                <c:pt idx="134">
                  <c:v>51620</c:v>
                </c:pt>
                <c:pt idx="135">
                  <c:v>51625</c:v>
                </c:pt>
                <c:pt idx="136">
                  <c:v>51630</c:v>
                </c:pt>
                <c:pt idx="137">
                  <c:v>52764</c:v>
                </c:pt>
                <c:pt idx="138">
                  <c:v>52769</c:v>
                </c:pt>
                <c:pt idx="139">
                  <c:v>52774</c:v>
                </c:pt>
                <c:pt idx="140">
                  <c:v>53908</c:v>
                </c:pt>
                <c:pt idx="141">
                  <c:v>53913</c:v>
                </c:pt>
                <c:pt idx="142">
                  <c:v>53918</c:v>
                </c:pt>
                <c:pt idx="143">
                  <c:v>55052</c:v>
                </c:pt>
                <c:pt idx="144">
                  <c:v>55057</c:v>
                </c:pt>
                <c:pt idx="145">
                  <c:v>55062</c:v>
                </c:pt>
                <c:pt idx="146">
                  <c:v>56196</c:v>
                </c:pt>
                <c:pt idx="147">
                  <c:v>56201</c:v>
                </c:pt>
                <c:pt idx="148">
                  <c:v>56206</c:v>
                </c:pt>
                <c:pt idx="149">
                  <c:v>57340</c:v>
                </c:pt>
                <c:pt idx="150">
                  <c:v>57345</c:v>
                </c:pt>
                <c:pt idx="151">
                  <c:v>57350</c:v>
                </c:pt>
                <c:pt idx="152">
                  <c:v>58484</c:v>
                </c:pt>
                <c:pt idx="153">
                  <c:v>58489</c:v>
                </c:pt>
                <c:pt idx="154">
                  <c:v>58494</c:v>
                </c:pt>
                <c:pt idx="155">
                  <c:v>59628</c:v>
                </c:pt>
                <c:pt idx="156">
                  <c:v>59633</c:v>
                </c:pt>
                <c:pt idx="157">
                  <c:v>59638</c:v>
                </c:pt>
                <c:pt idx="158">
                  <c:v>60772</c:v>
                </c:pt>
                <c:pt idx="159">
                  <c:v>60777</c:v>
                </c:pt>
                <c:pt idx="160">
                  <c:v>60782</c:v>
                </c:pt>
                <c:pt idx="161">
                  <c:v>61916</c:v>
                </c:pt>
                <c:pt idx="162">
                  <c:v>61921</c:v>
                </c:pt>
                <c:pt idx="163">
                  <c:v>61926</c:v>
                </c:pt>
                <c:pt idx="164">
                  <c:v>63060</c:v>
                </c:pt>
                <c:pt idx="165">
                  <c:v>63065</c:v>
                </c:pt>
                <c:pt idx="166">
                  <c:v>63070</c:v>
                </c:pt>
                <c:pt idx="167">
                  <c:v>64204</c:v>
                </c:pt>
                <c:pt idx="168">
                  <c:v>64209</c:v>
                </c:pt>
                <c:pt idx="169">
                  <c:v>64214</c:v>
                </c:pt>
                <c:pt idx="170">
                  <c:v>65348</c:v>
                </c:pt>
                <c:pt idx="171">
                  <c:v>65353</c:v>
                </c:pt>
                <c:pt idx="172">
                  <c:v>65358</c:v>
                </c:pt>
                <c:pt idx="173">
                  <c:v>66492</c:v>
                </c:pt>
                <c:pt idx="174">
                  <c:v>66497</c:v>
                </c:pt>
                <c:pt idx="175">
                  <c:v>66502</c:v>
                </c:pt>
                <c:pt idx="176">
                  <c:v>67636</c:v>
                </c:pt>
                <c:pt idx="177">
                  <c:v>67641</c:v>
                </c:pt>
                <c:pt idx="178">
                  <c:v>67646</c:v>
                </c:pt>
                <c:pt idx="179">
                  <c:v>68780</c:v>
                </c:pt>
                <c:pt idx="180">
                  <c:v>68785</c:v>
                </c:pt>
                <c:pt idx="181">
                  <c:v>68790</c:v>
                </c:pt>
                <c:pt idx="182">
                  <c:v>69924</c:v>
                </c:pt>
                <c:pt idx="183">
                  <c:v>69929</c:v>
                </c:pt>
                <c:pt idx="184">
                  <c:v>69934</c:v>
                </c:pt>
                <c:pt idx="185">
                  <c:v>71068</c:v>
                </c:pt>
                <c:pt idx="186">
                  <c:v>71073</c:v>
                </c:pt>
                <c:pt idx="187">
                  <c:v>71078</c:v>
                </c:pt>
                <c:pt idx="188">
                  <c:v>72212</c:v>
                </c:pt>
                <c:pt idx="189">
                  <c:v>72217</c:v>
                </c:pt>
                <c:pt idx="190">
                  <c:v>72222</c:v>
                </c:pt>
                <c:pt idx="191">
                  <c:v>73356</c:v>
                </c:pt>
                <c:pt idx="192">
                  <c:v>73361</c:v>
                </c:pt>
                <c:pt idx="193">
                  <c:v>73366</c:v>
                </c:pt>
                <c:pt idx="194">
                  <c:v>74500</c:v>
                </c:pt>
                <c:pt idx="195">
                  <c:v>74505</c:v>
                </c:pt>
                <c:pt idx="196">
                  <c:v>74510</c:v>
                </c:pt>
                <c:pt idx="197">
                  <c:v>75644</c:v>
                </c:pt>
                <c:pt idx="198">
                  <c:v>75649</c:v>
                </c:pt>
                <c:pt idx="199">
                  <c:v>75654</c:v>
                </c:pt>
                <c:pt idx="200">
                  <c:v>76788</c:v>
                </c:pt>
                <c:pt idx="201">
                  <c:v>76793</c:v>
                </c:pt>
                <c:pt idx="202">
                  <c:v>76798</c:v>
                </c:pt>
                <c:pt idx="203">
                  <c:v>77932</c:v>
                </c:pt>
                <c:pt idx="204">
                  <c:v>77937</c:v>
                </c:pt>
                <c:pt idx="205">
                  <c:v>77942</c:v>
                </c:pt>
                <c:pt idx="206">
                  <c:v>79076</c:v>
                </c:pt>
                <c:pt idx="207">
                  <c:v>79081</c:v>
                </c:pt>
                <c:pt idx="208">
                  <c:v>79086</c:v>
                </c:pt>
                <c:pt idx="209">
                  <c:v>80220</c:v>
                </c:pt>
                <c:pt idx="210">
                  <c:v>80225</c:v>
                </c:pt>
                <c:pt idx="211">
                  <c:v>80230</c:v>
                </c:pt>
                <c:pt idx="212">
                  <c:v>81364</c:v>
                </c:pt>
                <c:pt idx="213">
                  <c:v>81369</c:v>
                </c:pt>
                <c:pt idx="214">
                  <c:v>81374</c:v>
                </c:pt>
                <c:pt idx="215">
                  <c:v>82508</c:v>
                </c:pt>
                <c:pt idx="216">
                  <c:v>82513</c:v>
                </c:pt>
                <c:pt idx="217">
                  <c:v>82518</c:v>
                </c:pt>
                <c:pt idx="218">
                  <c:v>83652</c:v>
                </c:pt>
                <c:pt idx="219">
                  <c:v>83657</c:v>
                </c:pt>
                <c:pt idx="220">
                  <c:v>83662</c:v>
                </c:pt>
                <c:pt idx="221">
                  <c:v>84796</c:v>
                </c:pt>
                <c:pt idx="222">
                  <c:v>84801</c:v>
                </c:pt>
                <c:pt idx="223">
                  <c:v>84806</c:v>
                </c:pt>
                <c:pt idx="224">
                  <c:v>85940</c:v>
                </c:pt>
                <c:pt idx="225">
                  <c:v>85945</c:v>
                </c:pt>
                <c:pt idx="226">
                  <c:v>85950</c:v>
                </c:pt>
                <c:pt idx="227">
                  <c:v>87084</c:v>
                </c:pt>
                <c:pt idx="228">
                  <c:v>87089</c:v>
                </c:pt>
                <c:pt idx="229">
                  <c:v>87094</c:v>
                </c:pt>
                <c:pt idx="230">
                  <c:v>88228</c:v>
                </c:pt>
                <c:pt idx="231">
                  <c:v>88233</c:v>
                </c:pt>
                <c:pt idx="232">
                  <c:v>88238</c:v>
                </c:pt>
                <c:pt idx="233">
                  <c:v>89372</c:v>
                </c:pt>
                <c:pt idx="234">
                  <c:v>89377</c:v>
                </c:pt>
                <c:pt idx="235">
                  <c:v>89382</c:v>
                </c:pt>
                <c:pt idx="236">
                  <c:v>90516</c:v>
                </c:pt>
                <c:pt idx="237">
                  <c:v>90521</c:v>
                </c:pt>
                <c:pt idx="238">
                  <c:v>90526</c:v>
                </c:pt>
                <c:pt idx="239">
                  <c:v>91660</c:v>
                </c:pt>
                <c:pt idx="240">
                  <c:v>91665</c:v>
                </c:pt>
                <c:pt idx="241">
                  <c:v>91670</c:v>
                </c:pt>
                <c:pt idx="242">
                  <c:v>92804</c:v>
                </c:pt>
                <c:pt idx="243">
                  <c:v>92809</c:v>
                </c:pt>
                <c:pt idx="244">
                  <c:v>92814</c:v>
                </c:pt>
                <c:pt idx="245">
                  <c:v>93948</c:v>
                </c:pt>
                <c:pt idx="246">
                  <c:v>93953</c:v>
                </c:pt>
                <c:pt idx="247">
                  <c:v>93958</c:v>
                </c:pt>
                <c:pt idx="248">
                  <c:v>95092</c:v>
                </c:pt>
                <c:pt idx="249">
                  <c:v>95097</c:v>
                </c:pt>
                <c:pt idx="250">
                  <c:v>95102</c:v>
                </c:pt>
                <c:pt idx="251">
                  <c:v>96236</c:v>
                </c:pt>
                <c:pt idx="252">
                  <c:v>96241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</c:numCache>
            </c:numRef>
          </c:xVal>
          <c:yVal>
            <c:numRef>
              <c:f>'GA-无MotorGap'!$BC$6:$BC$407</c:f>
              <c:numCache>
                <c:formatCode>General</c:formatCode>
                <c:ptCount val="402"/>
                <c:pt idx="0">
                  <c:v>1429.6708841029067</c:v>
                </c:pt>
                <c:pt idx="1">
                  <c:v>1574.6708841029067</c:v>
                </c:pt>
                <c:pt idx="2">
                  <c:v>1574.6708841029067</c:v>
                </c:pt>
                <c:pt idx="3">
                  <c:v>1429.6708841029067</c:v>
                </c:pt>
                <c:pt idx="4">
                  <c:v>1574.6708841029067</c:v>
                </c:pt>
                <c:pt idx="5">
                  <c:v>1574.6708841029067</c:v>
                </c:pt>
                <c:pt idx="6">
                  <c:v>1429.6708841029067</c:v>
                </c:pt>
                <c:pt idx="7">
                  <c:v>1574.6708841029067</c:v>
                </c:pt>
                <c:pt idx="8">
                  <c:v>1574.6708841029067</c:v>
                </c:pt>
                <c:pt idx="9">
                  <c:v>1429.6708841029067</c:v>
                </c:pt>
                <c:pt idx="10">
                  <c:v>1574.6708841029067</c:v>
                </c:pt>
                <c:pt idx="11">
                  <c:v>1574.6708841029067</c:v>
                </c:pt>
                <c:pt idx="12">
                  <c:v>1429.6708841029067</c:v>
                </c:pt>
                <c:pt idx="13">
                  <c:v>1574.6708841029067</c:v>
                </c:pt>
                <c:pt idx="14">
                  <c:v>1574.6708841029067</c:v>
                </c:pt>
                <c:pt idx="15">
                  <c:v>1429.6708841029067</c:v>
                </c:pt>
                <c:pt idx="16">
                  <c:v>1574.6708841029067</c:v>
                </c:pt>
                <c:pt idx="17">
                  <c:v>1574.6708841029067</c:v>
                </c:pt>
                <c:pt idx="18">
                  <c:v>1429.6708841029067</c:v>
                </c:pt>
                <c:pt idx="19">
                  <c:v>1574.6708841029067</c:v>
                </c:pt>
                <c:pt idx="20">
                  <c:v>1574.6708841029067</c:v>
                </c:pt>
                <c:pt idx="21">
                  <c:v>1429.6708841029067</c:v>
                </c:pt>
                <c:pt idx="22">
                  <c:v>1574.6708841029067</c:v>
                </c:pt>
                <c:pt idx="23">
                  <c:v>1574.6708841029067</c:v>
                </c:pt>
                <c:pt idx="24">
                  <c:v>1429.6708841029067</c:v>
                </c:pt>
                <c:pt idx="25">
                  <c:v>1574.6708841029067</c:v>
                </c:pt>
                <c:pt idx="26">
                  <c:v>1574.6708841029067</c:v>
                </c:pt>
                <c:pt idx="27">
                  <c:v>1429.6708841029067</c:v>
                </c:pt>
                <c:pt idx="28">
                  <c:v>1574.6708841029067</c:v>
                </c:pt>
                <c:pt idx="29">
                  <c:v>1574.6708841029067</c:v>
                </c:pt>
                <c:pt idx="30">
                  <c:v>1429.6708841029067</c:v>
                </c:pt>
                <c:pt idx="31">
                  <c:v>1574.6708841029067</c:v>
                </c:pt>
                <c:pt idx="32">
                  <c:v>1574.6708841029067</c:v>
                </c:pt>
                <c:pt idx="33">
                  <c:v>1429.6708841029067</c:v>
                </c:pt>
                <c:pt idx="34">
                  <c:v>1574.6708841029067</c:v>
                </c:pt>
                <c:pt idx="35">
                  <c:v>1574.6708841029067</c:v>
                </c:pt>
                <c:pt idx="36">
                  <c:v>1429.6708841029067</c:v>
                </c:pt>
                <c:pt idx="37">
                  <c:v>1574.6708841029067</c:v>
                </c:pt>
                <c:pt idx="38">
                  <c:v>1574.6708841029067</c:v>
                </c:pt>
                <c:pt idx="39">
                  <c:v>1429.6708841029067</c:v>
                </c:pt>
                <c:pt idx="40">
                  <c:v>1574.6708841029067</c:v>
                </c:pt>
                <c:pt idx="41">
                  <c:v>1574.6708841029067</c:v>
                </c:pt>
                <c:pt idx="42">
                  <c:v>1429.6708841029067</c:v>
                </c:pt>
                <c:pt idx="43">
                  <c:v>1574.6708841029067</c:v>
                </c:pt>
                <c:pt idx="44">
                  <c:v>1574.6708841029067</c:v>
                </c:pt>
                <c:pt idx="45">
                  <c:v>1429.6708841029067</c:v>
                </c:pt>
                <c:pt idx="46">
                  <c:v>1574.6708841029067</c:v>
                </c:pt>
                <c:pt idx="47">
                  <c:v>1574.6708841029067</c:v>
                </c:pt>
                <c:pt idx="48">
                  <c:v>1429.6708841029067</c:v>
                </c:pt>
                <c:pt idx="49">
                  <c:v>1574.6708841029067</c:v>
                </c:pt>
                <c:pt idx="50">
                  <c:v>1574.6708841029067</c:v>
                </c:pt>
                <c:pt idx="51">
                  <c:v>1429.6708841029067</c:v>
                </c:pt>
                <c:pt idx="52">
                  <c:v>1574.6708841029067</c:v>
                </c:pt>
                <c:pt idx="53">
                  <c:v>1574.6708841029067</c:v>
                </c:pt>
                <c:pt idx="54">
                  <c:v>1429.6708841029067</c:v>
                </c:pt>
                <c:pt idx="55">
                  <c:v>1574.6708841029067</c:v>
                </c:pt>
                <c:pt idx="56">
                  <c:v>1574.6708841029067</c:v>
                </c:pt>
                <c:pt idx="57">
                  <c:v>1429.6708841029067</c:v>
                </c:pt>
                <c:pt idx="58">
                  <c:v>1574.6708841029067</c:v>
                </c:pt>
                <c:pt idx="59">
                  <c:v>1574.6708841029067</c:v>
                </c:pt>
                <c:pt idx="60">
                  <c:v>1429.6708841029067</c:v>
                </c:pt>
                <c:pt idx="61">
                  <c:v>1574.6708841029067</c:v>
                </c:pt>
                <c:pt idx="62">
                  <c:v>1574.6708841029067</c:v>
                </c:pt>
                <c:pt idx="63">
                  <c:v>1429.6708841029067</c:v>
                </c:pt>
                <c:pt idx="64">
                  <c:v>1574.6708841029067</c:v>
                </c:pt>
                <c:pt idx="65">
                  <c:v>1574.6708841029067</c:v>
                </c:pt>
                <c:pt idx="66">
                  <c:v>1429.6708841029067</c:v>
                </c:pt>
                <c:pt idx="67">
                  <c:v>1574.6708841029067</c:v>
                </c:pt>
                <c:pt idx="68">
                  <c:v>1574.6708841029067</c:v>
                </c:pt>
                <c:pt idx="69">
                  <c:v>1429.6708841029067</c:v>
                </c:pt>
                <c:pt idx="70">
                  <c:v>1574.6708841029067</c:v>
                </c:pt>
                <c:pt idx="71">
                  <c:v>1574.6708841029067</c:v>
                </c:pt>
                <c:pt idx="72">
                  <c:v>1429.6708841029067</c:v>
                </c:pt>
                <c:pt idx="73">
                  <c:v>1574.6708841029067</c:v>
                </c:pt>
                <c:pt idx="74">
                  <c:v>1574.6708841029067</c:v>
                </c:pt>
                <c:pt idx="75">
                  <c:v>1429.6708841029067</c:v>
                </c:pt>
                <c:pt idx="76">
                  <c:v>1574.6708841029067</c:v>
                </c:pt>
                <c:pt idx="77">
                  <c:v>1574.6708841029067</c:v>
                </c:pt>
                <c:pt idx="78">
                  <c:v>1429.6708841029067</c:v>
                </c:pt>
                <c:pt idx="79">
                  <c:v>1574.6708841029067</c:v>
                </c:pt>
                <c:pt idx="80">
                  <c:v>1574.6708841029067</c:v>
                </c:pt>
                <c:pt idx="81">
                  <c:v>1429.6708841029067</c:v>
                </c:pt>
                <c:pt idx="82">
                  <c:v>1574.6708841029067</c:v>
                </c:pt>
                <c:pt idx="83">
                  <c:v>1574.6708841029067</c:v>
                </c:pt>
                <c:pt idx="84">
                  <c:v>1429.6708841029067</c:v>
                </c:pt>
                <c:pt idx="85">
                  <c:v>1574.6708841029067</c:v>
                </c:pt>
                <c:pt idx="86">
                  <c:v>1574.6708841029067</c:v>
                </c:pt>
                <c:pt idx="87">
                  <c:v>1429.6708841029067</c:v>
                </c:pt>
                <c:pt idx="88">
                  <c:v>1574.6708841029067</c:v>
                </c:pt>
                <c:pt idx="89">
                  <c:v>1574.6708841029067</c:v>
                </c:pt>
                <c:pt idx="90">
                  <c:v>1429.6708841029067</c:v>
                </c:pt>
                <c:pt idx="91">
                  <c:v>1574.6708841029067</c:v>
                </c:pt>
                <c:pt idx="92">
                  <c:v>1574.6708841029067</c:v>
                </c:pt>
                <c:pt idx="93">
                  <c:v>1429.6708841029067</c:v>
                </c:pt>
                <c:pt idx="94">
                  <c:v>1574.6708841029067</c:v>
                </c:pt>
                <c:pt idx="95">
                  <c:v>1574.6708841029067</c:v>
                </c:pt>
                <c:pt idx="96">
                  <c:v>1429.6708841029067</c:v>
                </c:pt>
                <c:pt idx="97">
                  <c:v>1574.6708841029067</c:v>
                </c:pt>
                <c:pt idx="98">
                  <c:v>1574.6708841029067</c:v>
                </c:pt>
                <c:pt idx="99">
                  <c:v>1429.6708841029067</c:v>
                </c:pt>
                <c:pt idx="100">
                  <c:v>1574.6708841029067</c:v>
                </c:pt>
                <c:pt idx="101">
                  <c:v>1574.6708841029067</c:v>
                </c:pt>
                <c:pt idx="102">
                  <c:v>1429.6708841029067</c:v>
                </c:pt>
                <c:pt idx="103">
                  <c:v>1574.6708841029067</c:v>
                </c:pt>
                <c:pt idx="104">
                  <c:v>1574.6708841029067</c:v>
                </c:pt>
                <c:pt idx="105">
                  <c:v>1429.6708841029067</c:v>
                </c:pt>
                <c:pt idx="106">
                  <c:v>1574.6708841029067</c:v>
                </c:pt>
                <c:pt idx="107">
                  <c:v>1574.6708841029067</c:v>
                </c:pt>
                <c:pt idx="108">
                  <c:v>1429.6708841029067</c:v>
                </c:pt>
                <c:pt idx="109">
                  <c:v>1574.6708841029067</c:v>
                </c:pt>
                <c:pt idx="110">
                  <c:v>1574.6708841029067</c:v>
                </c:pt>
                <c:pt idx="111">
                  <c:v>1429.6708841029067</c:v>
                </c:pt>
                <c:pt idx="112">
                  <c:v>1574.6708841029067</c:v>
                </c:pt>
                <c:pt idx="113">
                  <c:v>1574.6708841029067</c:v>
                </c:pt>
                <c:pt idx="114">
                  <c:v>1429.6708841029067</c:v>
                </c:pt>
                <c:pt idx="115">
                  <c:v>1574.6708841029067</c:v>
                </c:pt>
                <c:pt idx="116">
                  <c:v>1574.6708841029067</c:v>
                </c:pt>
                <c:pt idx="117">
                  <c:v>1429.6708841029067</c:v>
                </c:pt>
                <c:pt idx="118">
                  <c:v>1574.6708841029067</c:v>
                </c:pt>
                <c:pt idx="119">
                  <c:v>1574.6708841029067</c:v>
                </c:pt>
                <c:pt idx="120">
                  <c:v>1429.6708841029067</c:v>
                </c:pt>
                <c:pt idx="121">
                  <c:v>1574.6708841029067</c:v>
                </c:pt>
                <c:pt idx="122">
                  <c:v>1574.6708841029067</c:v>
                </c:pt>
                <c:pt idx="123">
                  <c:v>1429.6708841029067</c:v>
                </c:pt>
                <c:pt idx="124">
                  <c:v>1574.6708841029067</c:v>
                </c:pt>
                <c:pt idx="125">
                  <c:v>1574.6708841029067</c:v>
                </c:pt>
                <c:pt idx="126">
                  <c:v>1429.6708841029067</c:v>
                </c:pt>
                <c:pt idx="127">
                  <c:v>1574.6708841029067</c:v>
                </c:pt>
                <c:pt idx="128">
                  <c:v>1574.6708841029067</c:v>
                </c:pt>
                <c:pt idx="129">
                  <c:v>1429.6708841029067</c:v>
                </c:pt>
                <c:pt idx="130">
                  <c:v>1574.6708841029067</c:v>
                </c:pt>
                <c:pt idx="131">
                  <c:v>1574.6708841029067</c:v>
                </c:pt>
                <c:pt idx="132">
                  <c:v>1429.6708841029067</c:v>
                </c:pt>
                <c:pt idx="133">
                  <c:v>1574.6708841029067</c:v>
                </c:pt>
                <c:pt idx="134">
                  <c:v>1574.6708841029067</c:v>
                </c:pt>
                <c:pt idx="135">
                  <c:v>1429.6708841029067</c:v>
                </c:pt>
                <c:pt idx="136">
                  <c:v>1574.6708841029067</c:v>
                </c:pt>
                <c:pt idx="137">
                  <c:v>1574.6708841029067</c:v>
                </c:pt>
                <c:pt idx="138">
                  <c:v>1429.6708841029067</c:v>
                </c:pt>
                <c:pt idx="139">
                  <c:v>1574.6708841029067</c:v>
                </c:pt>
                <c:pt idx="140">
                  <c:v>1574.6708841029067</c:v>
                </c:pt>
                <c:pt idx="141">
                  <c:v>1429.6708841029067</c:v>
                </c:pt>
                <c:pt idx="142">
                  <c:v>1574.6708841029067</c:v>
                </c:pt>
                <c:pt idx="143">
                  <c:v>1574.6708841029067</c:v>
                </c:pt>
                <c:pt idx="144">
                  <c:v>1429.6708841029067</c:v>
                </c:pt>
                <c:pt idx="145">
                  <c:v>1574.6708841029067</c:v>
                </c:pt>
                <c:pt idx="146">
                  <c:v>1574.6708841029067</c:v>
                </c:pt>
                <c:pt idx="147">
                  <c:v>1429.6708841029067</c:v>
                </c:pt>
                <c:pt idx="148">
                  <c:v>1574.6708841029067</c:v>
                </c:pt>
                <c:pt idx="149">
                  <c:v>1574.6708841029067</c:v>
                </c:pt>
                <c:pt idx="150">
                  <c:v>1429.6708841029067</c:v>
                </c:pt>
                <c:pt idx="151">
                  <c:v>1574.6708841029067</c:v>
                </c:pt>
                <c:pt idx="152">
                  <c:v>1574.6708841029067</c:v>
                </c:pt>
                <c:pt idx="153">
                  <c:v>1429.6708841029067</c:v>
                </c:pt>
                <c:pt idx="154">
                  <c:v>1574.6708841029067</c:v>
                </c:pt>
                <c:pt idx="155">
                  <c:v>1574.6708841029067</c:v>
                </c:pt>
                <c:pt idx="156">
                  <c:v>1429.6708841029067</c:v>
                </c:pt>
                <c:pt idx="157">
                  <c:v>1574.6708841029067</c:v>
                </c:pt>
                <c:pt idx="158">
                  <c:v>1574.6708841029067</c:v>
                </c:pt>
                <c:pt idx="159">
                  <c:v>1429.6708841029067</c:v>
                </c:pt>
                <c:pt idx="160">
                  <c:v>1574.6708841029067</c:v>
                </c:pt>
                <c:pt idx="161">
                  <c:v>1574.6708841029067</c:v>
                </c:pt>
                <c:pt idx="162">
                  <c:v>1429.6708841029067</c:v>
                </c:pt>
                <c:pt idx="163">
                  <c:v>1574.6708841029067</c:v>
                </c:pt>
                <c:pt idx="164">
                  <c:v>1574.6708841029067</c:v>
                </c:pt>
                <c:pt idx="165">
                  <c:v>1429.6708841029067</c:v>
                </c:pt>
                <c:pt idx="166">
                  <c:v>1574.6708841029067</c:v>
                </c:pt>
                <c:pt idx="167">
                  <c:v>1574.6708841029067</c:v>
                </c:pt>
                <c:pt idx="168">
                  <c:v>1429.6708841029067</c:v>
                </c:pt>
                <c:pt idx="169">
                  <c:v>1574.6708841029067</c:v>
                </c:pt>
                <c:pt idx="170">
                  <c:v>1574.6708841029067</c:v>
                </c:pt>
                <c:pt idx="171">
                  <c:v>1429.6708841029067</c:v>
                </c:pt>
                <c:pt idx="172">
                  <c:v>1574.6708841029067</c:v>
                </c:pt>
                <c:pt idx="173">
                  <c:v>1574.6708841029067</c:v>
                </c:pt>
                <c:pt idx="174">
                  <c:v>1429.6708841029067</c:v>
                </c:pt>
                <c:pt idx="175">
                  <c:v>1574.6708841029067</c:v>
                </c:pt>
                <c:pt idx="176">
                  <c:v>1574.6708841029067</c:v>
                </c:pt>
                <c:pt idx="177">
                  <c:v>1429.6708841029067</c:v>
                </c:pt>
                <c:pt idx="178">
                  <c:v>1574.6708841029067</c:v>
                </c:pt>
                <c:pt idx="179">
                  <c:v>1574.6708841029067</c:v>
                </c:pt>
                <c:pt idx="180">
                  <c:v>1429.6708841029067</c:v>
                </c:pt>
                <c:pt idx="181">
                  <c:v>1574.6708841029067</c:v>
                </c:pt>
                <c:pt idx="182">
                  <c:v>1574.6708841029067</c:v>
                </c:pt>
                <c:pt idx="183">
                  <c:v>1429.6708841029067</c:v>
                </c:pt>
                <c:pt idx="184">
                  <c:v>1574.6708841029067</c:v>
                </c:pt>
                <c:pt idx="185">
                  <c:v>1574.6708841029067</c:v>
                </c:pt>
                <c:pt idx="186">
                  <c:v>1429.6708841029067</c:v>
                </c:pt>
                <c:pt idx="187">
                  <c:v>1574.6708841029067</c:v>
                </c:pt>
                <c:pt idx="188">
                  <c:v>1574.6708841029067</c:v>
                </c:pt>
                <c:pt idx="189">
                  <c:v>1429.6708841029067</c:v>
                </c:pt>
                <c:pt idx="190">
                  <c:v>1574.6708841029067</c:v>
                </c:pt>
                <c:pt idx="191">
                  <c:v>1574.6708841029067</c:v>
                </c:pt>
                <c:pt idx="192">
                  <c:v>1429.6708841029067</c:v>
                </c:pt>
                <c:pt idx="193">
                  <c:v>1574.6708841029067</c:v>
                </c:pt>
                <c:pt idx="194">
                  <c:v>1574.6708841029067</c:v>
                </c:pt>
                <c:pt idx="195">
                  <c:v>1429.6708841029067</c:v>
                </c:pt>
                <c:pt idx="196">
                  <c:v>1574.6708841029067</c:v>
                </c:pt>
                <c:pt idx="197">
                  <c:v>1574.6708841029067</c:v>
                </c:pt>
                <c:pt idx="198">
                  <c:v>1429.6708841029067</c:v>
                </c:pt>
                <c:pt idx="199">
                  <c:v>1574.6708841029067</c:v>
                </c:pt>
                <c:pt idx="200">
                  <c:v>1574.6708841029067</c:v>
                </c:pt>
                <c:pt idx="201">
                  <c:v>1429.6708841029067</c:v>
                </c:pt>
                <c:pt idx="202">
                  <c:v>1574.6708841029067</c:v>
                </c:pt>
                <c:pt idx="203">
                  <c:v>1574.6708841029067</c:v>
                </c:pt>
                <c:pt idx="204">
                  <c:v>1429.6708841029067</c:v>
                </c:pt>
                <c:pt idx="205">
                  <c:v>1574.6708841029067</c:v>
                </c:pt>
                <c:pt idx="206">
                  <c:v>1574.6708841029067</c:v>
                </c:pt>
                <c:pt idx="207">
                  <c:v>1429.6708841029067</c:v>
                </c:pt>
                <c:pt idx="208">
                  <c:v>1574.6708841029067</c:v>
                </c:pt>
                <c:pt idx="209">
                  <c:v>1574.6708841029067</c:v>
                </c:pt>
                <c:pt idx="210">
                  <c:v>1429.6708841029067</c:v>
                </c:pt>
                <c:pt idx="211">
                  <c:v>1574.6708841029067</c:v>
                </c:pt>
                <c:pt idx="212">
                  <c:v>1574.6708841029067</c:v>
                </c:pt>
                <c:pt idx="213">
                  <c:v>1429.6708841029067</c:v>
                </c:pt>
                <c:pt idx="214">
                  <c:v>1574.6708841029067</c:v>
                </c:pt>
                <c:pt idx="215">
                  <c:v>1574.6708841029067</c:v>
                </c:pt>
                <c:pt idx="216">
                  <c:v>1429.6708841029067</c:v>
                </c:pt>
                <c:pt idx="217">
                  <c:v>1574.6708841029067</c:v>
                </c:pt>
                <c:pt idx="218">
                  <c:v>1574.6708841029067</c:v>
                </c:pt>
                <c:pt idx="219">
                  <c:v>1429.6708841029067</c:v>
                </c:pt>
                <c:pt idx="220">
                  <c:v>1574.6708841029067</c:v>
                </c:pt>
                <c:pt idx="221">
                  <c:v>1574.6708841029067</c:v>
                </c:pt>
                <c:pt idx="222">
                  <c:v>1429.6708841029067</c:v>
                </c:pt>
                <c:pt idx="223">
                  <c:v>1574.6708841029067</c:v>
                </c:pt>
                <c:pt idx="224">
                  <c:v>1574.6708841029067</c:v>
                </c:pt>
                <c:pt idx="225">
                  <c:v>1429.6708841029067</c:v>
                </c:pt>
                <c:pt idx="226">
                  <c:v>1574.6708841029067</c:v>
                </c:pt>
                <c:pt idx="227">
                  <c:v>1574.6708841029067</c:v>
                </c:pt>
                <c:pt idx="228">
                  <c:v>1429.6708841029067</c:v>
                </c:pt>
                <c:pt idx="229">
                  <c:v>1574.6708841029067</c:v>
                </c:pt>
                <c:pt idx="230">
                  <c:v>1574.6708841029067</c:v>
                </c:pt>
                <c:pt idx="231">
                  <c:v>1429.6708841029067</c:v>
                </c:pt>
                <c:pt idx="232">
                  <c:v>1574.6708841029067</c:v>
                </c:pt>
                <c:pt idx="233">
                  <c:v>1574.6708841029067</c:v>
                </c:pt>
                <c:pt idx="234">
                  <c:v>1429.6708841029067</c:v>
                </c:pt>
                <c:pt idx="235">
                  <c:v>1574.6708841029067</c:v>
                </c:pt>
                <c:pt idx="236">
                  <c:v>1574.6708841029067</c:v>
                </c:pt>
                <c:pt idx="237">
                  <c:v>1429.6708841029067</c:v>
                </c:pt>
                <c:pt idx="238">
                  <c:v>1574.6708841029067</c:v>
                </c:pt>
                <c:pt idx="239">
                  <c:v>1574.6708841029067</c:v>
                </c:pt>
                <c:pt idx="240">
                  <c:v>1429.6708841029067</c:v>
                </c:pt>
                <c:pt idx="241">
                  <c:v>1574.6708841029067</c:v>
                </c:pt>
                <c:pt idx="242">
                  <c:v>1574.6708841029067</c:v>
                </c:pt>
                <c:pt idx="243">
                  <c:v>1429.6708841029067</c:v>
                </c:pt>
                <c:pt idx="244">
                  <c:v>1574.6708841029067</c:v>
                </c:pt>
                <c:pt idx="245">
                  <c:v>1574.6708841029067</c:v>
                </c:pt>
                <c:pt idx="246">
                  <c:v>1429.6708841029067</c:v>
                </c:pt>
                <c:pt idx="247">
                  <c:v>1574.6708841029067</c:v>
                </c:pt>
                <c:pt idx="248">
                  <c:v>1574.6708841029067</c:v>
                </c:pt>
                <c:pt idx="249">
                  <c:v>1429.6708841029067</c:v>
                </c:pt>
                <c:pt idx="250">
                  <c:v>1574.6708841029067</c:v>
                </c:pt>
                <c:pt idx="251">
                  <c:v>1574.6708841029067</c:v>
                </c:pt>
                <c:pt idx="252">
                  <c:v>1429.6708841029067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289-45D1-8385-119ED2B05A78}"/>
            </c:ext>
          </c:extLst>
        </c:ser>
        <c:ser>
          <c:idx val="1"/>
          <c:order val="56"/>
          <c:tx>
            <c:v>方管连接件1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('GA-无MotorGap'!$AT$7,'GA-无MotorGap'!$AU$7)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289-45D1-8385-119ED2B05A78}"/>
            </c:ext>
          </c:extLst>
        </c:ser>
        <c:ser>
          <c:idx val="2"/>
          <c:order val="57"/>
          <c:tx>
            <c:v>方管连接件2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('GA-无MotorGap'!$AT$8,'GA-无MotorGap'!$AU$8)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289-45D1-8385-119ED2B05A78}"/>
            </c:ext>
          </c:extLst>
        </c:ser>
        <c:ser>
          <c:idx val="3"/>
          <c:order val="58"/>
          <c:tx>
            <c:v>方管连接件3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('GA-无MotorGap'!$AT$9,'GA-无MotorGap'!$AU$9)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289-45D1-8385-119ED2B05A78}"/>
            </c:ext>
          </c:extLst>
        </c:ser>
        <c:ser>
          <c:idx val="4"/>
          <c:order val="59"/>
          <c:tx>
            <c:v>方管连接件4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('GA-无MotorGap'!$AT$10,'GA-无MotorGap'!$AU$10)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289-45D1-8385-119ED2B05A78}"/>
            </c:ext>
          </c:extLst>
        </c:ser>
        <c:ser>
          <c:idx val="5"/>
          <c:order val="60"/>
          <c:tx>
            <c:v>方管连接件5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('GA-无MotorGap'!$AT$11,'GA-无MotorGap'!$AU$11)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289-45D1-8385-119ED2B05A78}"/>
            </c:ext>
          </c:extLst>
        </c:ser>
        <c:ser>
          <c:idx val="6"/>
          <c:order val="61"/>
          <c:tx>
            <c:v>方管连接件6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('GA-无MotorGap'!$AT$12,'GA-无MotorGap'!$AU$12)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289-45D1-8385-119ED2B05A78}"/>
            </c:ext>
          </c:extLst>
        </c:ser>
        <c:ser>
          <c:idx val="7"/>
          <c:order val="62"/>
          <c:tx>
            <c:v>方管连接件7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('GA-无MotorGap'!$AT$13,'GA-无MotorGap'!$AU$13)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289-45D1-8385-119ED2B05A78}"/>
            </c:ext>
          </c:extLst>
        </c:ser>
        <c:ser>
          <c:idx val="63"/>
          <c:order val="63"/>
          <c:tx>
            <c:v>方管连接件8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('GA-无MotorGap'!$AT$14,'GA-无MotorGap'!$AU$14)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289-45D1-8385-119ED2B05A78}"/>
            </c:ext>
          </c:extLst>
        </c:ser>
        <c:ser>
          <c:idx val="64"/>
          <c:order val="64"/>
          <c:tx>
            <c:v>方管连接件9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('GA-无MotorGap'!$AT$15,'GA-无MotorGap'!$AU$15)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289-45D1-8385-119ED2B05A78}"/>
            </c:ext>
          </c:extLst>
        </c:ser>
        <c:ser>
          <c:idx val="65"/>
          <c:order val="65"/>
          <c:tx>
            <c:v>方管连接件10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('GA-无MotorGap'!$AT$16,'GA-无MotorGap'!$AU$16)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289-45D1-8385-119ED2B05A78}"/>
            </c:ext>
          </c:extLst>
        </c:ser>
        <c:ser>
          <c:idx val="66"/>
          <c:order val="66"/>
          <c:tx>
            <c:v>方管连接件11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('GA-无MotorGap'!$AT$17,'GA-无MotorGap'!$AU$17)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289-45D1-8385-119ED2B05A78}"/>
            </c:ext>
          </c:extLst>
        </c:ser>
        <c:ser>
          <c:idx val="67"/>
          <c:order val="67"/>
          <c:tx>
            <c:v>方管连接件12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('GA-无MotorGap'!$AT$18,'GA-无MotorGap'!$AU$18)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289-45D1-8385-119ED2B05A78}"/>
            </c:ext>
          </c:extLst>
        </c:ser>
        <c:ser>
          <c:idx val="68"/>
          <c:order val="68"/>
          <c:tx>
            <c:v>方管连接件13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('GA-无MotorGap'!$AT$19,'GA-无MotorGap'!$AU$19)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289-45D1-8385-119ED2B05A78}"/>
            </c:ext>
          </c:extLst>
        </c:ser>
        <c:ser>
          <c:idx val="69"/>
          <c:order val="69"/>
          <c:tx>
            <c:v>方管连接件14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63500" cap="flat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2683-42D7-812C-0DB516CD366B}"/>
              </c:ext>
            </c:extLst>
          </c:dPt>
          <c:xVal>
            <c:numRef>
              <c:f>('GA-无MotorGap'!$AT$20,'GA-无MotorGap'!$AU$20)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289-45D1-8385-119ED2B05A78}"/>
            </c:ext>
          </c:extLst>
        </c:ser>
        <c:ser>
          <c:idx val="70"/>
          <c:order val="70"/>
          <c:tx>
            <c:v>驱动立柱1-基础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('GA-无MotorGap'!$AN$28,'GA-无MotorGap'!$AN$28)</c:f>
              <c:numCache>
                <c:formatCode>General</c:formatCode>
                <c:ptCount val="2"/>
                <c:pt idx="0">
                  <c:v>9784</c:v>
                </c:pt>
                <c:pt idx="1">
                  <c:v>9784</c:v>
                </c:pt>
              </c:numCache>
            </c:numRef>
          </c:xVal>
          <c:yVal>
            <c:numRef>
              <c:f>('GA-无MotorGap'!$AO$28,'GA-无MotorGap'!$AP$28)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289-45D1-8385-119ED2B05A78}"/>
            </c:ext>
          </c:extLst>
        </c:ser>
        <c:ser>
          <c:idx val="71"/>
          <c:order val="71"/>
          <c:tx>
            <c:v>驱动立柱1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('GA-无MotorGap'!$AN$28,'GA-无MotorGap'!$AN$28)</c:f>
              <c:numCache>
                <c:formatCode>General</c:formatCode>
                <c:ptCount val="2"/>
                <c:pt idx="0">
                  <c:v>9784</c:v>
                </c:pt>
                <c:pt idx="1">
                  <c:v>9784</c:v>
                </c:pt>
              </c:numCache>
            </c:numRef>
          </c:xVal>
          <c:yVal>
            <c:numRef>
              <c:f>('GA-无MotorGap'!$AP$28,'GA-无MotorGap'!$AQ$28)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289-45D1-8385-119ED2B05A78}"/>
            </c:ext>
          </c:extLst>
        </c:ser>
        <c:ser>
          <c:idx val="72"/>
          <c:order val="72"/>
          <c:tx>
            <c:v>驱动立柱2-基础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('GA-无MotorGap'!$AN$29,'GA-无MotorGap'!$AN$29)</c:f>
              <c:numCache>
                <c:formatCode>General</c:formatCode>
                <c:ptCount val="2"/>
                <c:pt idx="0">
                  <c:v>45584</c:v>
                </c:pt>
                <c:pt idx="1">
                  <c:v>45584</c:v>
                </c:pt>
              </c:numCache>
            </c:numRef>
          </c:xVal>
          <c:yVal>
            <c:numRef>
              <c:f>('GA-无MotorGap'!$AO$29,'GA-无MotorGap'!$AP$29)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289-45D1-8385-119ED2B05A78}"/>
            </c:ext>
          </c:extLst>
        </c:ser>
        <c:ser>
          <c:idx val="73"/>
          <c:order val="73"/>
          <c:tx>
            <c:v>驱动立柱2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('GA-无MotorGap'!$AN$29,'GA-无MotorGap'!$AN$29)</c:f>
              <c:numCache>
                <c:formatCode>General</c:formatCode>
                <c:ptCount val="2"/>
                <c:pt idx="0">
                  <c:v>45584</c:v>
                </c:pt>
                <c:pt idx="1">
                  <c:v>45584</c:v>
                </c:pt>
              </c:numCache>
            </c:numRef>
          </c:xVal>
          <c:yVal>
            <c:numRef>
              <c:f>('GA-无MotorGap'!$AP$29,'GA-无MotorGap'!$AQ$29)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289-45D1-8385-119ED2B05A78}"/>
            </c:ext>
          </c:extLst>
        </c:ser>
        <c:ser>
          <c:idx val="74"/>
          <c:order val="74"/>
          <c:tx>
            <c:v>驱动立柱3-基础</c:v>
          </c:tx>
          <c:spPr>
            <a:ln w="76200" cap="flat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('GA-无MotorGap'!$AN$30,'GA-无MotorGap'!$AN$30)</c:f>
              <c:numCache>
                <c:formatCode>General</c:formatCode>
                <c:ptCount val="2"/>
                <c:pt idx="0">
                  <c:v>82284</c:v>
                </c:pt>
                <c:pt idx="1">
                  <c:v>82284</c:v>
                </c:pt>
              </c:numCache>
            </c:numRef>
          </c:xVal>
          <c:yVal>
            <c:numRef>
              <c:f>('GA-无MotorGap'!$AO$30,'GA-无MotorGap'!$AP$30)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B289-45D1-8385-119ED2B05A78}"/>
            </c:ext>
          </c:extLst>
        </c:ser>
        <c:ser>
          <c:idx val="75"/>
          <c:order val="75"/>
          <c:tx>
            <c:v>驱动立柱3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('GA-无MotorGap'!$AN$30,'GA-无MotorGap'!$AN$30)</c:f>
              <c:numCache>
                <c:formatCode>General</c:formatCode>
                <c:ptCount val="2"/>
                <c:pt idx="0">
                  <c:v>82284</c:v>
                </c:pt>
                <c:pt idx="1">
                  <c:v>82284</c:v>
                </c:pt>
              </c:numCache>
            </c:numRef>
          </c:xVal>
          <c:yVal>
            <c:numRef>
              <c:f>('GA-无MotorGap'!$AP$30,'GA-无MotorGap'!$AQ$30)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B289-45D1-8385-119ED2B05A78}"/>
            </c:ext>
          </c:extLst>
        </c:ser>
        <c:ser>
          <c:idx val="76"/>
          <c:order val="76"/>
          <c:tx>
            <c:v>驱动立柱4-基础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('GA-无MotorGap'!$AN$31,'GA-无MotorGap'!$AN$31)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('GA-无MotorGap'!$AO$31,'GA-无MotorGap'!$AP$31)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B289-45D1-8385-119ED2B05A78}"/>
            </c:ext>
          </c:extLst>
        </c:ser>
        <c:ser>
          <c:idx val="77"/>
          <c:order val="77"/>
          <c:tx>
            <c:v>驱动立柱4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('GA-无MotorGap'!$AN$31,'GA-无MotorGap'!$AN$31)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('GA-无MotorGap'!$AP$31,'GA-无MotorGap'!$AQ$31)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B289-45D1-8385-119ED2B05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992544"/>
        <c:axId val="1214557216"/>
      </c:scatterChart>
      <c:valAx>
        <c:axId val="121699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14557216"/>
        <c:crosses val="autoZero"/>
        <c:crossBetween val="midCat"/>
      </c:valAx>
      <c:valAx>
        <c:axId val="1214557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16992544"/>
        <c:crosses val="autoZero"/>
        <c:crossBetween val="midCat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跨距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72000" anchor="ctr" anchorCtr="1"/>
              <a:lstStyle/>
              <a:p>
                <a:pPr>
                  <a:defRPr sz="1400" b="1" i="0" u="none" strike="noStrike" kern="1200" baseline="0">
                    <a:ln w="19050">
                      <a:noFill/>
                    </a:ln>
                    <a:solidFill>
                      <a:schemeClr val="tx1"/>
                    </a:solidFill>
                    <a:latin typeface=""/>
                    <a:ea typeface="微软雅黑" panose="020B0503020204020204" pitchFamily="34" charset="-122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'GA-无MotorGap'!$BE$6:$BE$27</c:f>
              <c:numCache>
                <c:formatCode>General</c:formatCode>
                <c:ptCount val="22"/>
                <c:pt idx="0">
                  <c:v>992</c:v>
                </c:pt>
                <c:pt idx="1">
                  <c:v>5884</c:v>
                </c:pt>
                <c:pt idx="2">
                  <c:v>13334</c:v>
                </c:pt>
                <c:pt idx="3">
                  <c:v>20884</c:v>
                </c:pt>
                <c:pt idx="4">
                  <c:v>28784</c:v>
                </c:pt>
                <c:pt idx="5">
                  <c:v>36134</c:v>
                </c:pt>
                <c:pt idx="6">
                  <c:v>42584</c:v>
                </c:pt>
                <c:pt idx="7">
                  <c:v>48984</c:v>
                </c:pt>
                <c:pt idx="8">
                  <c:v>55884</c:v>
                </c:pt>
                <c:pt idx="9">
                  <c:v>63284</c:v>
                </c:pt>
                <c:pt idx="10">
                  <c:v>71084</c:v>
                </c:pt>
                <c:pt idx="11">
                  <c:v>78634</c:v>
                </c:pt>
                <c:pt idx="12">
                  <c:v>86134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93185</c:v>
                </c:pt>
                <c:pt idx="21">
                  <c:v>96386</c:v>
                </c:pt>
              </c:numCache>
            </c:numRef>
          </c:xVal>
          <c:yVal>
            <c:numRef>
              <c:f>'GA-无MotorGap'!$BF$6:$BF$27</c:f>
              <c:numCache>
                <c:formatCode>General</c:formatCode>
                <c:ptCount val="22"/>
                <c:pt idx="0">
                  <c:v>1984</c:v>
                </c:pt>
                <c:pt idx="1">
                  <c:v>7800</c:v>
                </c:pt>
                <c:pt idx="2">
                  <c:v>7100</c:v>
                </c:pt>
                <c:pt idx="3">
                  <c:v>8000</c:v>
                </c:pt>
                <c:pt idx="4">
                  <c:v>7800</c:v>
                </c:pt>
                <c:pt idx="5">
                  <c:v>6900</c:v>
                </c:pt>
                <c:pt idx="6">
                  <c:v>6000</c:v>
                </c:pt>
                <c:pt idx="7">
                  <c:v>6800</c:v>
                </c:pt>
                <c:pt idx="8">
                  <c:v>7000</c:v>
                </c:pt>
                <c:pt idx="9">
                  <c:v>7800</c:v>
                </c:pt>
                <c:pt idx="10">
                  <c:v>7800</c:v>
                </c:pt>
                <c:pt idx="11">
                  <c:v>7300</c:v>
                </c:pt>
                <c:pt idx="12">
                  <c:v>7700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22-48A5-87EA-D3074969596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398131471"/>
        <c:axId val="1410584655"/>
      </c:scatterChart>
      <c:valAx>
        <c:axId val="139813147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10584655"/>
        <c:crosses val="autoZero"/>
        <c:crossBetween val="midCat"/>
      </c:valAx>
      <c:valAx>
        <c:axId val="14105846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9813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n w="19050">
            <a:noFill/>
          </a:ln>
          <a:solidFill>
            <a:schemeClr val="tx1"/>
          </a:solidFill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7342716093436E-3"/>
          <c:y val="4.9725548431509552E-2"/>
          <c:w val="0.99000121817656861"/>
          <c:h val="0.90054890313698088"/>
        </c:manualLayout>
      </c:layout>
      <c:scatterChart>
        <c:scatterStyle val="smoothMarker"/>
        <c:varyColors val="0"/>
        <c:ser>
          <c:idx val="8"/>
          <c:order val="0"/>
          <c:tx>
            <c:v>主梁1</c:v>
          </c:tx>
          <c:spPr>
            <a:ln w="44450" cap="flat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('GA-有MotorGap'!$AM$6,'GA-有MotorGap'!$AN$6)</c:f>
              <c:numCache>
                <c:formatCode>General</c:formatCode>
                <c:ptCount val="2"/>
                <c:pt idx="0">
                  <c:v>0</c:v>
                </c:pt>
                <c:pt idx="1">
                  <c:v>8667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3D-462D-BD67-9C94547B90E5}"/>
            </c:ext>
          </c:extLst>
        </c:ser>
        <c:ser>
          <c:idx val="9"/>
          <c:order val="1"/>
          <c:tx>
            <c:v>主梁2</c:v>
          </c:tx>
          <c:spPr>
            <a:ln w="44450" cap="flat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('GA-有MotorGap'!$AM$7,'GA-有MotorGap'!$AN$7)</c:f>
              <c:numCache>
                <c:formatCode>General</c:formatCode>
                <c:ptCount val="2"/>
                <c:pt idx="0">
                  <c:v>8713</c:v>
                </c:pt>
                <c:pt idx="1">
                  <c:v>17406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3D-462D-BD67-9C94547B90E5}"/>
            </c:ext>
          </c:extLst>
        </c:ser>
        <c:ser>
          <c:idx val="10"/>
          <c:order val="2"/>
          <c:tx>
            <c:v>主梁3</c:v>
          </c:tx>
          <c:spPr>
            <a:ln w="44450" cap="flat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('GA-有MotorGap'!$AM$8,'GA-有MotorGap'!$AN$8)</c:f>
              <c:numCache>
                <c:formatCode>General</c:formatCode>
                <c:ptCount val="2"/>
                <c:pt idx="0">
                  <c:v>17556</c:v>
                </c:pt>
                <c:pt idx="1">
                  <c:v>28467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3D-462D-BD67-9C94547B90E5}"/>
            </c:ext>
          </c:extLst>
        </c:ser>
        <c:ser>
          <c:idx val="11"/>
          <c:order val="3"/>
          <c:tx>
            <c:v>主梁4</c:v>
          </c:tx>
          <c:spPr>
            <a:ln w="44450" cap="flat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('GA-有MotorGap'!$AM$9,'GA-有MotorGap'!$AN$9)</c:f>
              <c:numCache>
                <c:formatCode>General</c:formatCode>
                <c:ptCount val="2"/>
                <c:pt idx="0">
                  <c:v>28513</c:v>
                </c:pt>
                <c:pt idx="1">
                  <c:v>37725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3D-462D-BD67-9C94547B90E5}"/>
            </c:ext>
          </c:extLst>
        </c:ser>
        <c:ser>
          <c:idx val="12"/>
          <c:order val="4"/>
          <c:tx>
            <c:v>主梁5</c:v>
          </c:tx>
          <c:spPr>
            <a:ln w="44450" cap="flat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('GA-有MotorGap'!$AM$10,'GA-有MotorGap'!$AN$10)</c:f>
              <c:numCache>
                <c:formatCode>General</c:formatCode>
                <c:ptCount val="2"/>
                <c:pt idx="0">
                  <c:v>37771</c:v>
                </c:pt>
                <c:pt idx="1">
                  <c:v>48664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3D-462D-BD67-9C94547B90E5}"/>
            </c:ext>
          </c:extLst>
        </c:ser>
        <c:ser>
          <c:idx val="13"/>
          <c:order val="5"/>
          <c:tx>
            <c:v>主梁6</c:v>
          </c:tx>
          <c:spPr>
            <a:ln w="44450" cap="flat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('GA-有MotorGap'!$AM$11,'GA-有MotorGap'!$AN$11)</c:f>
              <c:numCache>
                <c:formatCode>General</c:formatCode>
                <c:ptCount val="2"/>
                <c:pt idx="0">
                  <c:v>48814</c:v>
                </c:pt>
                <c:pt idx="1">
                  <c:v>59725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3D-462D-BD67-9C94547B90E5}"/>
            </c:ext>
          </c:extLst>
        </c:ser>
        <c:ser>
          <c:idx val="14"/>
          <c:order val="6"/>
          <c:tx>
            <c:v>主梁7</c:v>
          </c:tx>
          <c:spPr>
            <a:ln w="44450" cap="flat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('GA-有MotorGap'!$AM$12,'GA-有MotorGap'!$AN$12)</c:f>
              <c:numCache>
                <c:formatCode>General</c:formatCode>
                <c:ptCount val="2"/>
                <c:pt idx="0">
                  <c:v>59771</c:v>
                </c:pt>
                <c:pt idx="1">
                  <c:v>68983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3D-462D-BD67-9C94547B90E5}"/>
            </c:ext>
          </c:extLst>
        </c:ser>
        <c:ser>
          <c:idx val="15"/>
          <c:order val="7"/>
          <c:tx>
            <c:v>主梁8</c:v>
          </c:tx>
          <c:spPr>
            <a:ln w="44450" cap="flat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('GA-有MotorGap'!$AM$13,'GA-有MotorGap'!$AN$13)</c:f>
              <c:numCache>
                <c:formatCode>General</c:formatCode>
                <c:ptCount val="2"/>
                <c:pt idx="0">
                  <c:v>69029</c:v>
                </c:pt>
                <c:pt idx="1">
                  <c:v>79922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3D-462D-BD67-9C94547B90E5}"/>
            </c:ext>
          </c:extLst>
        </c:ser>
        <c:ser>
          <c:idx val="16"/>
          <c:order val="8"/>
          <c:tx>
            <c:v>主梁9</c:v>
          </c:tx>
          <c:spPr>
            <a:ln w="44450" cap="flat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('GA-有MotorGap'!$AM$14,'GA-有MotorGap'!$AN$14)</c:f>
              <c:numCache>
                <c:formatCode>General</c:formatCode>
                <c:ptCount val="2"/>
                <c:pt idx="0">
                  <c:v>80072</c:v>
                </c:pt>
                <c:pt idx="1">
                  <c:v>88783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3D-462D-BD67-9C94547B90E5}"/>
            </c:ext>
          </c:extLst>
        </c:ser>
        <c:ser>
          <c:idx val="17"/>
          <c:order val="9"/>
          <c:tx>
            <c:v>主梁10</c:v>
          </c:tx>
          <c:spPr>
            <a:ln w="44450" cap="flat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('GA-有MotorGap'!$AM$15,'GA-有MotorGap'!$AN$15)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3D-462D-BD67-9C94547B90E5}"/>
            </c:ext>
          </c:extLst>
        </c:ser>
        <c:ser>
          <c:idx val="18"/>
          <c:order val="10"/>
          <c:tx>
            <c:v>主梁11</c:v>
          </c:tx>
          <c:spPr>
            <a:ln w="44450" cap="flat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('GA-有MotorGap'!$AM$16,'GA-有MotorGap'!$AN$16)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3D-462D-BD67-9C94547B90E5}"/>
            </c:ext>
          </c:extLst>
        </c:ser>
        <c:ser>
          <c:idx val="19"/>
          <c:order val="11"/>
          <c:tx>
            <c:v>主梁12</c:v>
          </c:tx>
          <c:spPr>
            <a:ln w="44450" cap="flat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('GA-有MotorGap'!$AM$17,'GA-有MotorGap'!$AN$17)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3D-462D-BD67-9C94547B90E5}"/>
            </c:ext>
          </c:extLst>
        </c:ser>
        <c:ser>
          <c:idx val="20"/>
          <c:order val="12"/>
          <c:tx>
            <c:v>主梁13</c:v>
          </c:tx>
          <c:spPr>
            <a:ln w="44450" cap="flat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('GA-有MotorGap'!$AM$18,'GA-有MotorGap'!$AN$18)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3D-462D-BD67-9C94547B90E5}"/>
            </c:ext>
          </c:extLst>
        </c:ser>
        <c:ser>
          <c:idx val="21"/>
          <c:order val="13"/>
          <c:tx>
            <c:v>主梁14</c:v>
          </c:tx>
          <c:spPr>
            <a:ln w="44450" cap="flat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('GA-有MotorGap'!$AM$19,'GA-有MotorGap'!$AN$19)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3D-462D-BD67-9C94547B90E5}"/>
            </c:ext>
          </c:extLst>
        </c:ser>
        <c:ser>
          <c:idx val="22"/>
          <c:order val="14"/>
          <c:tx>
            <c:v>主梁15</c:v>
          </c:tx>
          <c:spPr>
            <a:ln w="44450" cap="flat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('GA-有MotorGap'!$AM$20,'GA-有MotorGap'!$AN$20)</c:f>
              <c:numCache>
                <c:formatCode>General</c:formatCode>
                <c:ptCount val="2"/>
                <c:pt idx="0">
                  <c:v>88829</c:v>
                </c:pt>
                <c:pt idx="1">
                  <c:v>97496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3D-462D-BD67-9C94547B90E5}"/>
            </c:ext>
          </c:extLst>
        </c:ser>
        <c:ser>
          <c:idx val="0"/>
          <c:order val="15"/>
          <c:tx>
            <c:v>驱动立柱1-基础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('GA-有MotorGap'!$CE$6,'GA-有MotorGap'!$CE$6)</c:f>
              <c:numCache>
                <c:formatCode>General</c:formatCode>
                <c:ptCount val="2"/>
                <c:pt idx="0">
                  <c:v>17490</c:v>
                </c:pt>
                <c:pt idx="1">
                  <c:v>17490</c:v>
                </c:pt>
              </c:numCache>
            </c:numRef>
          </c:xVal>
          <c:yVal>
            <c:numRef>
              <c:f>('GA-有MotorGap'!$CF$6,'GA-有MotorGap'!$CG$6)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DD8-452A-B47D-76825C046BD5}"/>
            </c:ext>
          </c:extLst>
        </c:ser>
        <c:ser>
          <c:idx val="1"/>
          <c:order val="16"/>
          <c:tx>
            <c:v>驱动立柱2-基础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('GA-有MotorGap'!$CE$7,'GA-有MotorGap'!$CE$7)</c:f>
              <c:numCache>
                <c:formatCode>General</c:formatCode>
                <c:ptCount val="2"/>
                <c:pt idx="0">
                  <c:v>48748</c:v>
                </c:pt>
                <c:pt idx="1">
                  <c:v>48748</c:v>
                </c:pt>
              </c:numCache>
            </c:numRef>
          </c:xVal>
          <c:yVal>
            <c:numRef>
              <c:f>('GA-有MotorGap'!$CF$7,'GA-有MotorGap'!$CG$7)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DD8-452A-B47D-76825C046BD5}"/>
            </c:ext>
          </c:extLst>
        </c:ser>
        <c:ser>
          <c:idx val="2"/>
          <c:order val="17"/>
          <c:tx>
            <c:v>驱动立柱3-基础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('GA-有MotorGap'!$CE$8,'GA-有MotorGap'!$CE$8)</c:f>
              <c:numCache>
                <c:formatCode>General</c:formatCode>
                <c:ptCount val="2"/>
                <c:pt idx="0">
                  <c:v>80006</c:v>
                </c:pt>
                <c:pt idx="1">
                  <c:v>80006</c:v>
                </c:pt>
              </c:numCache>
            </c:numRef>
          </c:xVal>
          <c:yVal>
            <c:numRef>
              <c:f>('GA-有MotorGap'!$CF$8,'GA-有MotorGap'!$CG$8)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DD8-452A-B47D-76825C046BD5}"/>
            </c:ext>
          </c:extLst>
        </c:ser>
        <c:ser>
          <c:idx val="3"/>
          <c:order val="18"/>
          <c:tx>
            <c:v>驱动立柱4-基础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('GA-有MotorGap'!$CE$9,'GA-有MotorGap'!$CE$9)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('GA-有MotorGap'!$CF$9,'GA-有MotorGap'!$CG$9)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DD8-452A-B47D-76825C046BD5}"/>
            </c:ext>
          </c:extLst>
        </c:ser>
        <c:ser>
          <c:idx val="4"/>
          <c:order val="19"/>
          <c:tx>
            <c:v>驱动立柱1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('GA-有MotorGap'!$CE$6,'GA-有MotorGap'!$CE$6)</c:f>
              <c:numCache>
                <c:formatCode>General</c:formatCode>
                <c:ptCount val="2"/>
                <c:pt idx="0">
                  <c:v>17490</c:v>
                </c:pt>
                <c:pt idx="1">
                  <c:v>17490</c:v>
                </c:pt>
              </c:numCache>
            </c:numRef>
          </c:xVal>
          <c:yVal>
            <c:numRef>
              <c:f>('GA-有MotorGap'!$CG$6,'GA-有MotorGap'!$CH$6)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DD8-452A-B47D-76825C046BD5}"/>
            </c:ext>
          </c:extLst>
        </c:ser>
        <c:ser>
          <c:idx val="5"/>
          <c:order val="20"/>
          <c:tx>
            <c:v>驱动立柱2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('GA-有MotorGap'!$CE$7,'GA-有MotorGap'!$CE$7)</c:f>
              <c:numCache>
                <c:formatCode>General</c:formatCode>
                <c:ptCount val="2"/>
                <c:pt idx="0">
                  <c:v>48748</c:v>
                </c:pt>
                <c:pt idx="1">
                  <c:v>48748</c:v>
                </c:pt>
              </c:numCache>
            </c:numRef>
          </c:xVal>
          <c:yVal>
            <c:numRef>
              <c:f>('GA-有MotorGap'!$CG$7,'GA-有MotorGap'!$CH$7)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DD8-452A-B47D-76825C046BD5}"/>
            </c:ext>
          </c:extLst>
        </c:ser>
        <c:ser>
          <c:idx val="6"/>
          <c:order val="21"/>
          <c:tx>
            <c:v>驱动立柱3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('GA-有MotorGap'!$CE$8,'GA-有MotorGap'!$CE$8)</c:f>
              <c:numCache>
                <c:formatCode>General</c:formatCode>
                <c:ptCount val="2"/>
                <c:pt idx="0">
                  <c:v>80006</c:v>
                </c:pt>
                <c:pt idx="1">
                  <c:v>80006</c:v>
                </c:pt>
              </c:numCache>
            </c:numRef>
          </c:xVal>
          <c:yVal>
            <c:numRef>
              <c:f>('GA-有MotorGap'!$CG$8,'GA-有MotorGap'!$CH$8)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DD8-452A-B47D-76825C046BD5}"/>
            </c:ext>
          </c:extLst>
        </c:ser>
        <c:ser>
          <c:idx val="7"/>
          <c:order val="22"/>
          <c:tx>
            <c:v>驱动立柱4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('GA-有MotorGap'!$CE$9,'GA-有MotorGap'!$CE$9)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('GA-有MotorGap'!$CG$9,'GA-有MotorGap'!$CH$9)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DD8-452A-B47D-76825C046BD5}"/>
            </c:ext>
          </c:extLst>
        </c:ser>
        <c:ser>
          <c:idx val="23"/>
          <c:order val="23"/>
          <c:tx>
            <c:v>普通立柱1-基础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('GA-有MotorGap'!$CN$6,'GA-有MotorGap'!$CN$6)</c:f>
              <c:numCache>
                <c:formatCode>General</c:formatCode>
                <c:ptCount val="2"/>
                <c:pt idx="0">
                  <c:v>2085</c:v>
                </c:pt>
                <c:pt idx="1">
                  <c:v>2085</c:v>
                </c:pt>
              </c:numCache>
            </c:numRef>
          </c:xVal>
          <c:yVal>
            <c:numRef>
              <c:f>('GA-有MotorGap'!$CO$6,'GA-有MotorGap'!$CP$6)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EDD8-452A-B47D-76825C046BD5}"/>
            </c:ext>
          </c:extLst>
        </c:ser>
        <c:ser>
          <c:idx val="24"/>
          <c:order val="24"/>
          <c:tx>
            <c:v>普通立柱2-基础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('GA-有MotorGap'!$CN$7,'GA-有MotorGap'!$CN$7)</c:f>
              <c:numCache>
                <c:formatCode>General</c:formatCode>
                <c:ptCount val="2"/>
                <c:pt idx="0">
                  <c:v>9785</c:v>
                </c:pt>
                <c:pt idx="1">
                  <c:v>9785</c:v>
                </c:pt>
              </c:numCache>
            </c:numRef>
          </c:xVal>
          <c:yVal>
            <c:numRef>
              <c:f>('GA-有MotorGap'!$CO$7,'GA-有MotorGap'!$CP$7)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DD8-452A-B47D-76825C046BD5}"/>
            </c:ext>
          </c:extLst>
        </c:ser>
        <c:ser>
          <c:idx val="25"/>
          <c:order val="25"/>
          <c:tx>
            <c:v>普通立柱3-基础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('GA-有MotorGap'!$CN$8,'GA-有MotorGap'!$CN$8)</c:f>
              <c:numCache>
                <c:formatCode>General</c:formatCode>
                <c:ptCount val="2"/>
                <c:pt idx="0">
                  <c:v>25290</c:v>
                </c:pt>
                <c:pt idx="1">
                  <c:v>25290</c:v>
                </c:pt>
              </c:numCache>
            </c:numRef>
          </c:xVal>
          <c:yVal>
            <c:numRef>
              <c:f>('GA-有MotorGap'!$CO$8,'GA-有MotorGap'!$CP$8)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DD8-452A-B47D-76825C046BD5}"/>
            </c:ext>
          </c:extLst>
        </c:ser>
        <c:ser>
          <c:idx val="26"/>
          <c:order val="26"/>
          <c:tx>
            <c:v>普通立柱4-基础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('GA-有MotorGap'!$CN$9,'GA-有MotorGap'!$CN$9)</c:f>
              <c:numCache>
                <c:formatCode>General</c:formatCode>
                <c:ptCount val="2"/>
                <c:pt idx="0">
                  <c:v>33138</c:v>
                </c:pt>
                <c:pt idx="1">
                  <c:v>33138</c:v>
                </c:pt>
              </c:numCache>
            </c:numRef>
          </c:xVal>
          <c:yVal>
            <c:numRef>
              <c:f>('GA-有MotorGap'!$CO$9,'GA-有MotorGap'!$CP$9)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DD8-452A-B47D-76825C046BD5}"/>
            </c:ext>
          </c:extLst>
        </c:ser>
        <c:ser>
          <c:idx val="27"/>
          <c:order val="27"/>
          <c:tx>
            <c:v>普通立柱5-基础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('GA-有MotorGap'!$CN$10,'GA-有MotorGap'!$CN$10)</c:f>
              <c:numCache>
                <c:formatCode>General</c:formatCode>
                <c:ptCount val="2"/>
                <c:pt idx="0">
                  <c:v>40938</c:v>
                </c:pt>
                <c:pt idx="1">
                  <c:v>40938</c:v>
                </c:pt>
              </c:numCache>
            </c:numRef>
          </c:xVal>
          <c:yVal>
            <c:numRef>
              <c:f>('GA-有MotorGap'!$CO$10,'GA-有MotorGap'!$CP$10)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EDD8-452A-B47D-76825C046BD5}"/>
            </c:ext>
          </c:extLst>
        </c:ser>
        <c:ser>
          <c:idx val="28"/>
          <c:order val="28"/>
          <c:tx>
            <c:v>普通立柱6-基础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('GA-有MotorGap'!$CN$11,'GA-有MotorGap'!$CN$11)</c:f>
              <c:numCache>
                <c:formatCode>General</c:formatCode>
                <c:ptCount val="2"/>
                <c:pt idx="0">
                  <c:v>56548</c:v>
                </c:pt>
                <c:pt idx="1">
                  <c:v>56548</c:v>
                </c:pt>
              </c:numCache>
            </c:numRef>
          </c:xVal>
          <c:yVal>
            <c:numRef>
              <c:f>('GA-有MotorGap'!$CO$11,'GA-有MotorGap'!$CP$11)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DD8-452A-B47D-76825C046BD5}"/>
            </c:ext>
          </c:extLst>
        </c:ser>
        <c:ser>
          <c:idx val="29"/>
          <c:order val="29"/>
          <c:tx>
            <c:v>普通立柱7-基础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('GA-有MotorGap'!$CN$12,'GA-有MotorGap'!$CN$12)</c:f>
              <c:numCache>
                <c:formatCode>General</c:formatCode>
                <c:ptCount val="2"/>
                <c:pt idx="0">
                  <c:v>64348</c:v>
                </c:pt>
                <c:pt idx="1">
                  <c:v>64348</c:v>
                </c:pt>
              </c:numCache>
            </c:numRef>
          </c:xVal>
          <c:yVal>
            <c:numRef>
              <c:f>('GA-有MotorGap'!$CO$12,'GA-有MotorGap'!$CP$12)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DD8-452A-B47D-76825C046BD5}"/>
            </c:ext>
          </c:extLst>
        </c:ser>
        <c:ser>
          <c:idx val="30"/>
          <c:order val="30"/>
          <c:tx>
            <c:v>普通立柱8-基础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('GA-有MotorGap'!$CN$13,'GA-有MotorGap'!$CN$13)</c:f>
              <c:numCache>
                <c:formatCode>General</c:formatCode>
                <c:ptCount val="2"/>
                <c:pt idx="0">
                  <c:v>72196</c:v>
                </c:pt>
                <c:pt idx="1">
                  <c:v>72196</c:v>
                </c:pt>
              </c:numCache>
            </c:numRef>
          </c:xVal>
          <c:yVal>
            <c:numRef>
              <c:f>('GA-有MotorGap'!$CO$13,'GA-有MotorGap'!$CP$13)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EDD8-452A-B47D-76825C046BD5}"/>
            </c:ext>
          </c:extLst>
        </c:ser>
        <c:ser>
          <c:idx val="31"/>
          <c:order val="31"/>
          <c:tx>
            <c:v>普通立柱9-基础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('GA-有MotorGap'!$CN$14,'GA-有MotorGap'!$CN$14)</c:f>
              <c:numCache>
                <c:formatCode>General</c:formatCode>
                <c:ptCount val="2"/>
                <c:pt idx="0">
                  <c:v>87762</c:v>
                </c:pt>
                <c:pt idx="1">
                  <c:v>87762</c:v>
                </c:pt>
              </c:numCache>
            </c:numRef>
          </c:xVal>
          <c:yVal>
            <c:numRef>
              <c:f>('GA-有MotorGap'!$CO$14,'GA-有MotorGap'!$CP$14)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EDD8-452A-B47D-76825C046BD5}"/>
            </c:ext>
          </c:extLst>
        </c:ser>
        <c:ser>
          <c:idx val="32"/>
          <c:order val="32"/>
          <c:tx>
            <c:v>普通立柱10-基础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('GA-有MotorGap'!$CN$15,'GA-有MotorGap'!$CN$15)</c:f>
              <c:numCache>
                <c:formatCode>General</c:formatCode>
                <c:ptCount val="2"/>
                <c:pt idx="0">
                  <c:v>95462</c:v>
                </c:pt>
                <c:pt idx="1">
                  <c:v>95462</c:v>
                </c:pt>
              </c:numCache>
            </c:numRef>
          </c:xVal>
          <c:yVal>
            <c:numRef>
              <c:f>('GA-有MotorGap'!$CO$15,'GA-有MotorGap'!$CP$15)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EDD8-452A-B47D-76825C046BD5}"/>
            </c:ext>
          </c:extLst>
        </c:ser>
        <c:ser>
          <c:idx val="33"/>
          <c:order val="33"/>
          <c:tx>
            <c:v>普通立柱11-基础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('GA-有MotorGap'!$CN$16,'GA-有MotorGap'!$CN$16)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('GA-有MotorGap'!$CO$16,'GA-有MotorGap'!$CP$16)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EDD8-452A-B47D-76825C046BD5}"/>
            </c:ext>
          </c:extLst>
        </c:ser>
        <c:ser>
          <c:idx val="34"/>
          <c:order val="34"/>
          <c:tx>
            <c:v>普通立柱12-基础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('GA-有MotorGap'!$CN$17,'GA-有MotorGap'!$CN$17)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('GA-有MotorGap'!$CO$17,'GA-有MotorGap'!$CP$17)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EDD8-452A-B47D-76825C046BD5}"/>
            </c:ext>
          </c:extLst>
        </c:ser>
        <c:ser>
          <c:idx val="35"/>
          <c:order val="35"/>
          <c:tx>
            <c:v>普通立柱13-基础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('GA-有MotorGap'!$CN$18,'GA-有MotorGap'!$CN$18)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('GA-有MotorGap'!$CO$18,'GA-有MotorGap'!$CP$18)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DD8-452A-B47D-76825C046BD5}"/>
            </c:ext>
          </c:extLst>
        </c:ser>
        <c:ser>
          <c:idx val="36"/>
          <c:order val="36"/>
          <c:tx>
            <c:v>普通立柱14-基础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('GA-有MotorGap'!$CN$19,'GA-有MotorGap'!$CN$19)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('GA-有MotorGap'!$CO$19,'GA-有MotorGap'!$CP$19)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EDD8-452A-B47D-76825C046BD5}"/>
            </c:ext>
          </c:extLst>
        </c:ser>
        <c:ser>
          <c:idx val="37"/>
          <c:order val="37"/>
          <c:tx>
            <c:v>普通立柱15-基础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('GA-有MotorGap'!$CN$20,'GA-有MotorGap'!$CN$20)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('GA-有MotorGap'!$CO$20,'GA-有MotorGap'!$CP$20)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EDD8-452A-B47D-76825C046BD5}"/>
            </c:ext>
          </c:extLst>
        </c:ser>
        <c:ser>
          <c:idx val="38"/>
          <c:order val="38"/>
          <c:tx>
            <c:v>普通立柱16-基础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('GA-有MotorGap'!$CN$21,'GA-有MotorGap'!$CN$21)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('GA-有MotorGap'!$CO$21,'GA-有MotorGap'!$CP$21)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EDD8-452A-B47D-76825C046BD5}"/>
            </c:ext>
          </c:extLst>
        </c:ser>
        <c:ser>
          <c:idx val="39"/>
          <c:order val="39"/>
          <c:tx>
            <c:v>普通立柱17-基础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('GA-有MotorGap'!$CN$22,'GA-有MotorGap'!$CN$22)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('GA-有MotorGap'!$CO$22,'GA-有MotorGap'!$CP$22)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EDD8-452A-B47D-76825C046BD5}"/>
            </c:ext>
          </c:extLst>
        </c:ser>
        <c:ser>
          <c:idx val="40"/>
          <c:order val="40"/>
          <c:tx>
            <c:v>普通立柱18-基础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('GA-有MotorGap'!$CN$23,'GA-有MotorGap'!$CN$23)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('GA-有MotorGap'!$CO$23,'GA-有MotorGap'!$CP$23)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EDD8-452A-B47D-76825C046BD5}"/>
            </c:ext>
          </c:extLst>
        </c:ser>
        <c:ser>
          <c:idx val="41"/>
          <c:order val="41"/>
          <c:tx>
            <c:v>普通立柱19-基础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('GA-有MotorGap'!$CN$24,'GA-有MotorGap'!$CN$24)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('GA-有MotorGap'!$CO$24,'GA-有MotorGap'!$CP$24)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EDD8-452A-B47D-76825C046BD5}"/>
            </c:ext>
          </c:extLst>
        </c:ser>
        <c:ser>
          <c:idx val="42"/>
          <c:order val="42"/>
          <c:tx>
            <c:v>普通立柱20-基础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('GA-有MotorGap'!$CN$25,'GA-有MotorGap'!$CN$25)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('GA-有MotorGap'!$CO$25,'GA-有MotorGap'!$CP$25)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EDD8-452A-B47D-76825C046BD5}"/>
            </c:ext>
          </c:extLst>
        </c:ser>
        <c:ser>
          <c:idx val="43"/>
          <c:order val="43"/>
          <c:tx>
            <c:v>普通立柱1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('GA-有MotorGap'!$CN$6,'GA-有MotorGap'!$CN$6)</c:f>
              <c:numCache>
                <c:formatCode>General</c:formatCode>
                <c:ptCount val="2"/>
                <c:pt idx="0">
                  <c:v>2085</c:v>
                </c:pt>
                <c:pt idx="1">
                  <c:v>2085</c:v>
                </c:pt>
              </c:numCache>
            </c:numRef>
          </c:xVal>
          <c:yVal>
            <c:numRef>
              <c:f>('GA-有MotorGap'!$CP$6,'GA-有MotorGap'!$CQ$6)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EDD8-452A-B47D-76825C046BD5}"/>
            </c:ext>
          </c:extLst>
        </c:ser>
        <c:ser>
          <c:idx val="44"/>
          <c:order val="44"/>
          <c:tx>
            <c:v>普通立柱2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('GA-有MotorGap'!$CN$7,'GA-有MotorGap'!$CN$7)</c:f>
              <c:numCache>
                <c:formatCode>General</c:formatCode>
                <c:ptCount val="2"/>
                <c:pt idx="0">
                  <c:v>9785</c:v>
                </c:pt>
                <c:pt idx="1">
                  <c:v>9785</c:v>
                </c:pt>
              </c:numCache>
            </c:numRef>
          </c:xVal>
          <c:yVal>
            <c:numRef>
              <c:f>('GA-有MotorGap'!$CP$7,'GA-有MotorGap'!$CQ$7)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EDD8-452A-B47D-76825C046BD5}"/>
            </c:ext>
          </c:extLst>
        </c:ser>
        <c:ser>
          <c:idx val="45"/>
          <c:order val="45"/>
          <c:tx>
            <c:v>普通立柱3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('GA-有MotorGap'!$CN$8,'GA-有MotorGap'!$CN$8)</c:f>
              <c:numCache>
                <c:formatCode>General</c:formatCode>
                <c:ptCount val="2"/>
                <c:pt idx="0">
                  <c:v>25290</c:v>
                </c:pt>
                <c:pt idx="1">
                  <c:v>25290</c:v>
                </c:pt>
              </c:numCache>
            </c:numRef>
          </c:xVal>
          <c:yVal>
            <c:numRef>
              <c:f>('GA-有MotorGap'!$CP$8,'GA-有MotorGap'!$CQ$8)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EDD8-452A-B47D-76825C046BD5}"/>
            </c:ext>
          </c:extLst>
        </c:ser>
        <c:ser>
          <c:idx val="46"/>
          <c:order val="46"/>
          <c:tx>
            <c:v>普通立柱4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('GA-有MotorGap'!$CN$9,'GA-有MotorGap'!$CN$9)</c:f>
              <c:numCache>
                <c:formatCode>General</c:formatCode>
                <c:ptCount val="2"/>
                <c:pt idx="0">
                  <c:v>33138</c:v>
                </c:pt>
                <c:pt idx="1">
                  <c:v>33138</c:v>
                </c:pt>
              </c:numCache>
            </c:numRef>
          </c:xVal>
          <c:yVal>
            <c:numRef>
              <c:f>('GA-有MotorGap'!$CP$9,'GA-有MotorGap'!$CQ$9)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EDD8-452A-B47D-76825C046BD5}"/>
            </c:ext>
          </c:extLst>
        </c:ser>
        <c:ser>
          <c:idx val="47"/>
          <c:order val="47"/>
          <c:tx>
            <c:v>普通立柱5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('GA-有MotorGap'!$CN$10,'GA-有MotorGap'!$CN$10)</c:f>
              <c:numCache>
                <c:formatCode>General</c:formatCode>
                <c:ptCount val="2"/>
                <c:pt idx="0">
                  <c:v>40938</c:v>
                </c:pt>
                <c:pt idx="1">
                  <c:v>40938</c:v>
                </c:pt>
              </c:numCache>
            </c:numRef>
          </c:xVal>
          <c:yVal>
            <c:numRef>
              <c:f>('GA-有MotorGap'!$CP$10,'GA-有MotorGap'!$CQ$10)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EDD8-452A-B47D-76825C046BD5}"/>
            </c:ext>
          </c:extLst>
        </c:ser>
        <c:ser>
          <c:idx val="48"/>
          <c:order val="48"/>
          <c:tx>
            <c:v>普通立柱6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('GA-有MotorGap'!$CN$11,'GA-有MotorGap'!$CN$11)</c:f>
              <c:numCache>
                <c:formatCode>General</c:formatCode>
                <c:ptCount val="2"/>
                <c:pt idx="0">
                  <c:v>56548</c:v>
                </c:pt>
                <c:pt idx="1">
                  <c:v>56548</c:v>
                </c:pt>
              </c:numCache>
            </c:numRef>
          </c:xVal>
          <c:yVal>
            <c:numRef>
              <c:f>('GA-有MotorGap'!$CP$11,'GA-有MotorGap'!$CQ$11)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EDD8-452A-B47D-76825C046BD5}"/>
            </c:ext>
          </c:extLst>
        </c:ser>
        <c:ser>
          <c:idx val="49"/>
          <c:order val="49"/>
          <c:tx>
            <c:v>普通立柱7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('GA-有MotorGap'!$CN$12,'GA-有MotorGap'!$CN$12)</c:f>
              <c:numCache>
                <c:formatCode>General</c:formatCode>
                <c:ptCount val="2"/>
                <c:pt idx="0">
                  <c:v>64348</c:v>
                </c:pt>
                <c:pt idx="1">
                  <c:v>64348</c:v>
                </c:pt>
              </c:numCache>
            </c:numRef>
          </c:xVal>
          <c:yVal>
            <c:numRef>
              <c:f>('GA-有MotorGap'!$CP$12,'GA-有MotorGap'!$CQ$12)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EDD8-452A-B47D-76825C046BD5}"/>
            </c:ext>
          </c:extLst>
        </c:ser>
        <c:ser>
          <c:idx val="50"/>
          <c:order val="50"/>
          <c:tx>
            <c:v>普通立柱8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('GA-有MotorGap'!$CN$13,'GA-有MotorGap'!$CN$13)</c:f>
              <c:numCache>
                <c:formatCode>General</c:formatCode>
                <c:ptCount val="2"/>
                <c:pt idx="0">
                  <c:v>72196</c:v>
                </c:pt>
                <c:pt idx="1">
                  <c:v>72196</c:v>
                </c:pt>
              </c:numCache>
            </c:numRef>
          </c:xVal>
          <c:yVal>
            <c:numRef>
              <c:f>('GA-有MotorGap'!$CP$13,'GA-有MotorGap'!$CQ$13)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EDD8-452A-B47D-76825C046BD5}"/>
            </c:ext>
          </c:extLst>
        </c:ser>
        <c:ser>
          <c:idx val="51"/>
          <c:order val="51"/>
          <c:tx>
            <c:v>普通立柱9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('GA-有MotorGap'!$CN$14,'GA-有MotorGap'!$CN$14)</c:f>
              <c:numCache>
                <c:formatCode>General</c:formatCode>
                <c:ptCount val="2"/>
                <c:pt idx="0">
                  <c:v>87762</c:v>
                </c:pt>
                <c:pt idx="1">
                  <c:v>87762</c:v>
                </c:pt>
              </c:numCache>
            </c:numRef>
          </c:xVal>
          <c:yVal>
            <c:numRef>
              <c:f>('GA-有MotorGap'!$CP$14,'GA-有MotorGap'!$CQ$14)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EDD8-452A-B47D-76825C046BD5}"/>
            </c:ext>
          </c:extLst>
        </c:ser>
        <c:ser>
          <c:idx val="52"/>
          <c:order val="52"/>
          <c:tx>
            <c:v>普通立柱10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('GA-有MotorGap'!$CN$15,'GA-有MotorGap'!$CN$15)</c:f>
              <c:numCache>
                <c:formatCode>General</c:formatCode>
                <c:ptCount val="2"/>
                <c:pt idx="0">
                  <c:v>95462</c:v>
                </c:pt>
                <c:pt idx="1">
                  <c:v>95462</c:v>
                </c:pt>
              </c:numCache>
            </c:numRef>
          </c:xVal>
          <c:yVal>
            <c:numRef>
              <c:f>('GA-有MotorGap'!$CP$15,'GA-有MotorGap'!$CQ$15)</c:f>
              <c:numCache>
                <c:formatCode>General</c:formatCode>
                <c:ptCount val="2"/>
                <c:pt idx="0">
                  <c:v>200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EDD8-452A-B47D-76825C046BD5}"/>
            </c:ext>
          </c:extLst>
        </c:ser>
        <c:ser>
          <c:idx val="53"/>
          <c:order val="53"/>
          <c:tx>
            <c:v>普通立柱11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('GA-有MotorGap'!$CN$16,'GA-有MotorGap'!$CN$16)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('GA-有MotorGap'!$CP$16,'GA-有MotorGap'!$CQ$16)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EDD8-452A-B47D-76825C046BD5}"/>
            </c:ext>
          </c:extLst>
        </c:ser>
        <c:ser>
          <c:idx val="54"/>
          <c:order val="54"/>
          <c:tx>
            <c:v>普通立柱12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('GA-有MotorGap'!$CN$17,'GA-有MotorGap'!$CN$17)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('GA-有MotorGap'!$CP$17,'GA-有MotorGap'!$CQ$17)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EDD8-452A-B47D-76825C046BD5}"/>
            </c:ext>
          </c:extLst>
        </c:ser>
        <c:ser>
          <c:idx val="55"/>
          <c:order val="55"/>
          <c:tx>
            <c:v>普通立柱13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8100" cap="flat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EDD8-452A-B47D-76825C046BD5}"/>
              </c:ext>
            </c:extLst>
          </c:dPt>
          <c:xVal>
            <c:numRef>
              <c:f>('GA-有MotorGap'!$CN$18,'GA-有MotorGap'!$CN$18)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('GA-有MotorGap'!$CP$18,'GA-有MotorGap'!$CQ$18)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EDD8-452A-B47D-76825C046BD5}"/>
            </c:ext>
          </c:extLst>
        </c:ser>
        <c:ser>
          <c:idx val="56"/>
          <c:order val="56"/>
          <c:tx>
            <c:v>普通立柱14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('GA-有MotorGap'!$CN$19,'GA-有MotorGap'!$CN$19)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('GA-有MotorGap'!$CP$19,'GA-有MotorGap'!$CQ$19)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EDD8-452A-B47D-76825C046BD5}"/>
            </c:ext>
          </c:extLst>
        </c:ser>
        <c:ser>
          <c:idx val="57"/>
          <c:order val="57"/>
          <c:tx>
            <c:v>普通立柱15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('GA-有MotorGap'!$CN$20,'GA-有MotorGap'!$CN$20)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('GA-有MotorGap'!$CP$20,'GA-有MotorGap'!$CQ$20)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EDD8-452A-B47D-76825C046BD5}"/>
            </c:ext>
          </c:extLst>
        </c:ser>
        <c:ser>
          <c:idx val="58"/>
          <c:order val="58"/>
          <c:tx>
            <c:v>普通立柱16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('GA-有MotorGap'!$CN$21,'GA-有MotorGap'!$CN$21)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('GA-有MotorGap'!$CP$21,'GA-有MotorGap'!$CQ$21)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EDD8-452A-B47D-76825C046BD5}"/>
            </c:ext>
          </c:extLst>
        </c:ser>
        <c:ser>
          <c:idx val="59"/>
          <c:order val="59"/>
          <c:tx>
            <c:v>普通立柱17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('GA-有MotorGap'!$CN$22,'GA-有MotorGap'!$CN$22)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('GA-有MotorGap'!$CP$22,'GA-有MotorGap'!$CQ$22)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EDD8-452A-B47D-76825C046BD5}"/>
            </c:ext>
          </c:extLst>
        </c:ser>
        <c:ser>
          <c:idx val="60"/>
          <c:order val="60"/>
          <c:tx>
            <c:v>普通立柱18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('GA-有MotorGap'!$CN$23,'GA-有MotorGap'!$CN$23)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('GA-有MotorGap'!$CP$23,'GA-有MotorGap'!$CQ$23)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EDD8-452A-B47D-76825C046BD5}"/>
            </c:ext>
          </c:extLst>
        </c:ser>
        <c:ser>
          <c:idx val="61"/>
          <c:order val="61"/>
          <c:tx>
            <c:v>普通立柱19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('GA-有MotorGap'!$CN$24,'GA-有MotorGap'!$CN$24)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('GA-有MotorGap'!$CP$24,'GA-有MotorGap'!$CQ$24)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EDD8-452A-B47D-76825C046BD5}"/>
            </c:ext>
          </c:extLst>
        </c:ser>
        <c:ser>
          <c:idx val="62"/>
          <c:order val="62"/>
          <c:tx>
            <c:v>普通立柱20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('GA-有MotorGap'!$CN$25,'GA-有MotorGap'!$CN$25)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('GA-有MotorGap'!$CP$25,'GA-有MotorGap'!$CQ$25)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EDD8-452A-B47D-76825C046BD5}"/>
            </c:ext>
          </c:extLst>
        </c:ser>
        <c:ser>
          <c:idx val="63"/>
          <c:order val="63"/>
          <c:tx>
            <c:v>方管连接件1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('GA-有MotorGap'!$AT$7,'GA-有MotorGap'!$AU$7)</c:f>
              <c:numCache>
                <c:formatCode>General</c:formatCode>
                <c:ptCount val="2"/>
                <c:pt idx="0">
                  <c:v>8540</c:v>
                </c:pt>
                <c:pt idx="1">
                  <c:v>8840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983-41BE-A653-761CE28BCB99}"/>
            </c:ext>
          </c:extLst>
        </c:ser>
        <c:ser>
          <c:idx val="64"/>
          <c:order val="64"/>
          <c:tx>
            <c:v>方管连接件2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('GA-有MotorGap'!$AT$8,'GA-有MotorGap'!$AU$8)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983-41BE-A653-761CE28BCB99}"/>
            </c:ext>
          </c:extLst>
        </c:ser>
        <c:ser>
          <c:idx val="65"/>
          <c:order val="65"/>
          <c:tx>
            <c:v>方管连接件3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('GA-有MotorGap'!$AT$9,'GA-有MotorGap'!$AU$9)</c:f>
              <c:numCache>
                <c:formatCode>General</c:formatCode>
                <c:ptCount val="2"/>
                <c:pt idx="0">
                  <c:v>28340</c:v>
                </c:pt>
                <c:pt idx="1">
                  <c:v>28640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983-41BE-A653-761CE28BCB99}"/>
            </c:ext>
          </c:extLst>
        </c:ser>
        <c:ser>
          <c:idx val="66"/>
          <c:order val="66"/>
          <c:tx>
            <c:v>方管连接件4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('GA-有MotorGap'!$AT$10,'GA-有MotorGap'!$AU$10)</c:f>
              <c:numCache>
                <c:formatCode>General</c:formatCode>
                <c:ptCount val="2"/>
                <c:pt idx="0">
                  <c:v>37598</c:v>
                </c:pt>
                <c:pt idx="1">
                  <c:v>37898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983-41BE-A653-761CE28BCB99}"/>
            </c:ext>
          </c:extLst>
        </c:ser>
        <c:ser>
          <c:idx val="67"/>
          <c:order val="67"/>
          <c:tx>
            <c:v>方管连接件5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('GA-有MotorGap'!$AT$11,'GA-有MotorGap'!$AU$11)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983-41BE-A653-761CE28BCB99}"/>
            </c:ext>
          </c:extLst>
        </c:ser>
        <c:ser>
          <c:idx val="68"/>
          <c:order val="68"/>
          <c:tx>
            <c:v>方管连接件6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('GA-有MotorGap'!$AT$12,'GA-有MotorGap'!$AU$12)</c:f>
              <c:numCache>
                <c:formatCode>General</c:formatCode>
                <c:ptCount val="2"/>
                <c:pt idx="0">
                  <c:v>59598</c:v>
                </c:pt>
                <c:pt idx="1">
                  <c:v>59898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983-41BE-A653-761CE28BCB99}"/>
            </c:ext>
          </c:extLst>
        </c:ser>
        <c:ser>
          <c:idx val="69"/>
          <c:order val="69"/>
          <c:tx>
            <c:v>方管连接件7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('GA-有MotorGap'!$AT$13,'GA-有MotorGap'!$AU$13)</c:f>
              <c:numCache>
                <c:formatCode>General</c:formatCode>
                <c:ptCount val="2"/>
                <c:pt idx="0">
                  <c:v>68856</c:v>
                </c:pt>
                <c:pt idx="1">
                  <c:v>69156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983-41BE-A653-761CE28BCB99}"/>
            </c:ext>
          </c:extLst>
        </c:ser>
        <c:ser>
          <c:idx val="70"/>
          <c:order val="70"/>
          <c:tx>
            <c:v>方管连接件8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('GA-有MotorGap'!$AT$14,'GA-有MotorGap'!$AU$14)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983-41BE-A653-761CE28BCB99}"/>
            </c:ext>
          </c:extLst>
        </c:ser>
        <c:ser>
          <c:idx val="71"/>
          <c:order val="71"/>
          <c:tx>
            <c:v>方管连接件9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('GA-有MotorGap'!$AT$15,'GA-有MotorGap'!$AU$15)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983-41BE-A653-761CE28BCB99}"/>
            </c:ext>
          </c:extLst>
        </c:ser>
        <c:ser>
          <c:idx val="72"/>
          <c:order val="72"/>
          <c:tx>
            <c:v>方管连接件10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('GA-有MotorGap'!$AT$16,'GA-有MotorGap'!$AU$16)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983-41BE-A653-761CE28BCB99}"/>
            </c:ext>
          </c:extLst>
        </c:ser>
        <c:ser>
          <c:idx val="73"/>
          <c:order val="73"/>
          <c:tx>
            <c:v>方管连接件11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('GA-有MotorGap'!$AT$17,'GA-有MotorGap'!$AU$17)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983-41BE-A653-761CE28BCB99}"/>
            </c:ext>
          </c:extLst>
        </c:ser>
        <c:ser>
          <c:idx val="74"/>
          <c:order val="74"/>
          <c:tx>
            <c:v>方管连接件12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('GA-有MotorGap'!$AT$18,'GA-有MotorGap'!$AU$18)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983-41BE-A653-761CE28BCB99}"/>
            </c:ext>
          </c:extLst>
        </c:ser>
        <c:ser>
          <c:idx val="75"/>
          <c:order val="75"/>
          <c:tx>
            <c:v>方管连接件13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('GA-有MotorGap'!$AT$19,'GA-有MotorGap'!$AU$19)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983-41BE-A653-761CE28BCB99}"/>
            </c:ext>
          </c:extLst>
        </c:ser>
        <c:ser>
          <c:idx val="76"/>
          <c:order val="76"/>
          <c:tx>
            <c:v>方管连接件14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44450" cap="flat">
                <a:solidFill>
                  <a:schemeClr val="accent4">
                    <a:lumMod val="40000"/>
                    <a:lumOff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5E9-4D46-8E5F-67B9476FD2C4}"/>
              </c:ext>
            </c:extLst>
          </c:dPt>
          <c:xVal>
            <c:numRef>
              <c:f>('GA-有MotorGap'!$AT$20,'GA-有MotorGap'!$AU$20)</c:f>
              <c:numCache>
                <c:formatCode>General</c:formatCode>
                <c:ptCount val="2"/>
                <c:pt idx="0">
                  <c:v>88656</c:v>
                </c:pt>
                <c:pt idx="1">
                  <c:v>88956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1429.6708841029067</c:v>
                </c:pt>
                <c:pt idx="1">
                  <c:v>1429.6708841029067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983-41BE-A653-761CE28BC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992544"/>
        <c:axId val="1214557216"/>
      </c:scatterChart>
      <c:scatterChart>
        <c:scatterStyle val="lineMarker"/>
        <c:varyColors val="0"/>
        <c:ser>
          <c:idx val="77"/>
          <c:order val="77"/>
          <c:tx>
            <c:v>区域1檩条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'GA-有MotorGap'!$BF$6:$BF$205</c:f>
              <c:numCache>
                <c:formatCode>General</c:formatCode>
                <c:ptCount val="200"/>
                <c:pt idx="0">
                  <c:v>145</c:v>
                </c:pt>
                <c:pt idx="1">
                  <c:v>150</c:v>
                </c:pt>
                <c:pt idx="2">
                  <c:v>1284</c:v>
                </c:pt>
                <c:pt idx="3">
                  <c:v>1289</c:v>
                </c:pt>
                <c:pt idx="4">
                  <c:v>1294</c:v>
                </c:pt>
                <c:pt idx="5">
                  <c:v>2428</c:v>
                </c:pt>
                <c:pt idx="6">
                  <c:v>2433</c:v>
                </c:pt>
                <c:pt idx="7">
                  <c:v>2438</c:v>
                </c:pt>
                <c:pt idx="8">
                  <c:v>3572</c:v>
                </c:pt>
                <c:pt idx="9">
                  <c:v>3577</c:v>
                </c:pt>
                <c:pt idx="10">
                  <c:v>3582</c:v>
                </c:pt>
                <c:pt idx="11">
                  <c:v>4716</c:v>
                </c:pt>
                <c:pt idx="12">
                  <c:v>4721</c:v>
                </c:pt>
                <c:pt idx="13">
                  <c:v>4726</c:v>
                </c:pt>
                <c:pt idx="14">
                  <c:v>5860</c:v>
                </c:pt>
                <c:pt idx="15">
                  <c:v>5865</c:v>
                </c:pt>
                <c:pt idx="16">
                  <c:v>5870</c:v>
                </c:pt>
                <c:pt idx="17">
                  <c:v>7004</c:v>
                </c:pt>
                <c:pt idx="18">
                  <c:v>7009</c:v>
                </c:pt>
                <c:pt idx="19">
                  <c:v>7014</c:v>
                </c:pt>
                <c:pt idx="20">
                  <c:v>8148</c:v>
                </c:pt>
                <c:pt idx="21">
                  <c:v>8153</c:v>
                </c:pt>
                <c:pt idx="22">
                  <c:v>8158</c:v>
                </c:pt>
                <c:pt idx="23">
                  <c:v>9292</c:v>
                </c:pt>
                <c:pt idx="24">
                  <c:v>9297</c:v>
                </c:pt>
                <c:pt idx="25">
                  <c:v>9302</c:v>
                </c:pt>
                <c:pt idx="26">
                  <c:v>10436</c:v>
                </c:pt>
                <c:pt idx="27">
                  <c:v>10441</c:v>
                </c:pt>
                <c:pt idx="28">
                  <c:v>10446</c:v>
                </c:pt>
                <c:pt idx="29">
                  <c:v>11580</c:v>
                </c:pt>
                <c:pt idx="30">
                  <c:v>11585</c:v>
                </c:pt>
                <c:pt idx="31">
                  <c:v>11590</c:v>
                </c:pt>
                <c:pt idx="32">
                  <c:v>12724</c:v>
                </c:pt>
                <c:pt idx="33">
                  <c:v>12729</c:v>
                </c:pt>
                <c:pt idx="34">
                  <c:v>12734</c:v>
                </c:pt>
                <c:pt idx="35">
                  <c:v>13868</c:v>
                </c:pt>
                <c:pt idx="36">
                  <c:v>13873</c:v>
                </c:pt>
                <c:pt idx="37">
                  <c:v>13878</c:v>
                </c:pt>
                <c:pt idx="38">
                  <c:v>15012</c:v>
                </c:pt>
                <c:pt idx="39">
                  <c:v>15017</c:v>
                </c:pt>
                <c:pt idx="40">
                  <c:v>15022</c:v>
                </c:pt>
                <c:pt idx="41">
                  <c:v>16156</c:v>
                </c:pt>
                <c:pt idx="42">
                  <c:v>16161</c:v>
                </c:pt>
                <c:pt idx="43">
                  <c:v>16166</c:v>
                </c:pt>
                <c:pt idx="44">
                  <c:v>17300</c:v>
                </c:pt>
                <c:pt idx="45">
                  <c:v>17305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'GA-有MotorGap'!$BG$6:$BG$205</c:f>
              <c:numCache>
                <c:formatCode>General</c:formatCode>
                <c:ptCount val="200"/>
                <c:pt idx="0">
                  <c:v>1429.6708841029067</c:v>
                </c:pt>
                <c:pt idx="1">
                  <c:v>1574.6708841029067</c:v>
                </c:pt>
                <c:pt idx="2">
                  <c:v>1574.6708841029067</c:v>
                </c:pt>
                <c:pt idx="3">
                  <c:v>1429.6708841029067</c:v>
                </c:pt>
                <c:pt idx="4">
                  <c:v>1574.6708841029067</c:v>
                </c:pt>
                <c:pt idx="5">
                  <c:v>1574.6708841029067</c:v>
                </c:pt>
                <c:pt idx="6">
                  <c:v>1429.6708841029067</c:v>
                </c:pt>
                <c:pt idx="7">
                  <c:v>1574.6708841029067</c:v>
                </c:pt>
                <c:pt idx="8">
                  <c:v>1574.6708841029067</c:v>
                </c:pt>
                <c:pt idx="9">
                  <c:v>1429.6708841029067</c:v>
                </c:pt>
                <c:pt idx="10">
                  <c:v>1574.6708841029067</c:v>
                </c:pt>
                <c:pt idx="11">
                  <c:v>1574.6708841029067</c:v>
                </c:pt>
                <c:pt idx="12">
                  <c:v>1429.6708841029067</c:v>
                </c:pt>
                <c:pt idx="13">
                  <c:v>1574.6708841029067</c:v>
                </c:pt>
                <c:pt idx="14">
                  <c:v>1574.6708841029067</c:v>
                </c:pt>
                <c:pt idx="15">
                  <c:v>1429.6708841029067</c:v>
                </c:pt>
                <c:pt idx="16">
                  <c:v>1574.6708841029067</c:v>
                </c:pt>
                <c:pt idx="17">
                  <c:v>1574.6708841029067</c:v>
                </c:pt>
                <c:pt idx="18">
                  <c:v>1429.6708841029067</c:v>
                </c:pt>
                <c:pt idx="19">
                  <c:v>1574.6708841029067</c:v>
                </c:pt>
                <c:pt idx="20">
                  <c:v>1574.6708841029067</c:v>
                </c:pt>
                <c:pt idx="21">
                  <c:v>1429.6708841029067</c:v>
                </c:pt>
                <c:pt idx="22">
                  <c:v>1574.6708841029067</c:v>
                </c:pt>
                <c:pt idx="23">
                  <c:v>1574.6708841029067</c:v>
                </c:pt>
                <c:pt idx="24">
                  <c:v>1429.6708841029067</c:v>
                </c:pt>
                <c:pt idx="25">
                  <c:v>1574.6708841029067</c:v>
                </c:pt>
                <c:pt idx="26">
                  <c:v>1574.6708841029067</c:v>
                </c:pt>
                <c:pt idx="27">
                  <c:v>1429.6708841029067</c:v>
                </c:pt>
                <c:pt idx="28">
                  <c:v>1574.6708841029067</c:v>
                </c:pt>
                <c:pt idx="29">
                  <c:v>1574.6708841029067</c:v>
                </c:pt>
                <c:pt idx="30">
                  <c:v>1429.6708841029067</c:v>
                </c:pt>
                <c:pt idx="31">
                  <c:v>1574.6708841029067</c:v>
                </c:pt>
                <c:pt idx="32">
                  <c:v>1574.6708841029067</c:v>
                </c:pt>
                <c:pt idx="33">
                  <c:v>1429.6708841029067</c:v>
                </c:pt>
                <c:pt idx="34">
                  <c:v>1574.6708841029067</c:v>
                </c:pt>
                <c:pt idx="35">
                  <c:v>1574.6708841029067</c:v>
                </c:pt>
                <c:pt idx="36">
                  <c:v>1429.6708841029067</c:v>
                </c:pt>
                <c:pt idx="37">
                  <c:v>1574.6708841029067</c:v>
                </c:pt>
                <c:pt idx="38">
                  <c:v>1574.6708841029067</c:v>
                </c:pt>
                <c:pt idx="39">
                  <c:v>1429.6708841029067</c:v>
                </c:pt>
                <c:pt idx="40">
                  <c:v>1574.6708841029067</c:v>
                </c:pt>
                <c:pt idx="41">
                  <c:v>1574.6708841029067</c:v>
                </c:pt>
                <c:pt idx="42">
                  <c:v>1429.6708841029067</c:v>
                </c:pt>
                <c:pt idx="43">
                  <c:v>1574.6708841029067</c:v>
                </c:pt>
                <c:pt idx="44">
                  <c:v>1574.6708841029067</c:v>
                </c:pt>
                <c:pt idx="45">
                  <c:v>1429.6708841029067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983-41BE-A653-761CE28BCB99}"/>
            </c:ext>
          </c:extLst>
        </c:ser>
        <c:ser>
          <c:idx val="78"/>
          <c:order val="78"/>
          <c:tx>
            <c:v>区域2檩条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'GA-有MotorGap'!$BK$6:$BK$205</c:f>
              <c:numCache>
                <c:formatCode>General</c:formatCode>
                <c:ptCount val="200"/>
                <c:pt idx="0">
                  <c:v>17675</c:v>
                </c:pt>
                <c:pt idx="1">
                  <c:v>17680</c:v>
                </c:pt>
                <c:pt idx="2">
                  <c:v>18814</c:v>
                </c:pt>
                <c:pt idx="3">
                  <c:v>18819</c:v>
                </c:pt>
                <c:pt idx="4">
                  <c:v>18824</c:v>
                </c:pt>
                <c:pt idx="5">
                  <c:v>19958</c:v>
                </c:pt>
                <c:pt idx="6">
                  <c:v>19963</c:v>
                </c:pt>
                <c:pt idx="7">
                  <c:v>19968</c:v>
                </c:pt>
                <c:pt idx="8">
                  <c:v>21102</c:v>
                </c:pt>
                <c:pt idx="9">
                  <c:v>21107</c:v>
                </c:pt>
                <c:pt idx="10">
                  <c:v>21112</c:v>
                </c:pt>
                <c:pt idx="11">
                  <c:v>22246</c:v>
                </c:pt>
                <c:pt idx="12">
                  <c:v>22251</c:v>
                </c:pt>
                <c:pt idx="13">
                  <c:v>22256</c:v>
                </c:pt>
                <c:pt idx="14">
                  <c:v>23390</c:v>
                </c:pt>
                <c:pt idx="15">
                  <c:v>23395</c:v>
                </c:pt>
                <c:pt idx="16">
                  <c:v>23400</c:v>
                </c:pt>
                <c:pt idx="17">
                  <c:v>24534</c:v>
                </c:pt>
                <c:pt idx="18">
                  <c:v>24539</c:v>
                </c:pt>
                <c:pt idx="19">
                  <c:v>24544</c:v>
                </c:pt>
                <c:pt idx="20">
                  <c:v>25678</c:v>
                </c:pt>
                <c:pt idx="21">
                  <c:v>25683</c:v>
                </c:pt>
                <c:pt idx="22">
                  <c:v>25688</c:v>
                </c:pt>
                <c:pt idx="23">
                  <c:v>26822</c:v>
                </c:pt>
                <c:pt idx="24">
                  <c:v>26827</c:v>
                </c:pt>
                <c:pt idx="25">
                  <c:v>26832</c:v>
                </c:pt>
                <c:pt idx="26">
                  <c:v>27966</c:v>
                </c:pt>
                <c:pt idx="27">
                  <c:v>27971</c:v>
                </c:pt>
                <c:pt idx="28">
                  <c:v>27976</c:v>
                </c:pt>
                <c:pt idx="29">
                  <c:v>29110</c:v>
                </c:pt>
                <c:pt idx="30">
                  <c:v>29115</c:v>
                </c:pt>
                <c:pt idx="31">
                  <c:v>29120</c:v>
                </c:pt>
                <c:pt idx="32">
                  <c:v>30254</c:v>
                </c:pt>
                <c:pt idx="33">
                  <c:v>30259</c:v>
                </c:pt>
                <c:pt idx="34">
                  <c:v>30264</c:v>
                </c:pt>
                <c:pt idx="35">
                  <c:v>31398</c:v>
                </c:pt>
                <c:pt idx="36">
                  <c:v>31403</c:v>
                </c:pt>
                <c:pt idx="37">
                  <c:v>31408</c:v>
                </c:pt>
                <c:pt idx="38">
                  <c:v>32542</c:v>
                </c:pt>
                <c:pt idx="39">
                  <c:v>32547</c:v>
                </c:pt>
                <c:pt idx="40">
                  <c:v>32552</c:v>
                </c:pt>
                <c:pt idx="41">
                  <c:v>33686</c:v>
                </c:pt>
                <c:pt idx="42">
                  <c:v>33691</c:v>
                </c:pt>
                <c:pt idx="43">
                  <c:v>33696</c:v>
                </c:pt>
                <c:pt idx="44">
                  <c:v>34830</c:v>
                </c:pt>
                <c:pt idx="45">
                  <c:v>34835</c:v>
                </c:pt>
                <c:pt idx="46">
                  <c:v>34840</c:v>
                </c:pt>
                <c:pt idx="47">
                  <c:v>35974</c:v>
                </c:pt>
                <c:pt idx="48">
                  <c:v>35979</c:v>
                </c:pt>
                <c:pt idx="49">
                  <c:v>35984</c:v>
                </c:pt>
                <c:pt idx="50">
                  <c:v>37118</c:v>
                </c:pt>
                <c:pt idx="51">
                  <c:v>37123</c:v>
                </c:pt>
                <c:pt idx="52">
                  <c:v>37128</c:v>
                </c:pt>
                <c:pt idx="53">
                  <c:v>38262</c:v>
                </c:pt>
                <c:pt idx="54">
                  <c:v>38267</c:v>
                </c:pt>
                <c:pt idx="55">
                  <c:v>38272</c:v>
                </c:pt>
                <c:pt idx="56">
                  <c:v>39406</c:v>
                </c:pt>
                <c:pt idx="57">
                  <c:v>39411</c:v>
                </c:pt>
                <c:pt idx="58">
                  <c:v>39416</c:v>
                </c:pt>
                <c:pt idx="59">
                  <c:v>40550</c:v>
                </c:pt>
                <c:pt idx="60">
                  <c:v>40555</c:v>
                </c:pt>
                <c:pt idx="61">
                  <c:v>40560</c:v>
                </c:pt>
                <c:pt idx="62">
                  <c:v>41694</c:v>
                </c:pt>
                <c:pt idx="63">
                  <c:v>41699</c:v>
                </c:pt>
                <c:pt idx="64">
                  <c:v>41704</c:v>
                </c:pt>
                <c:pt idx="65">
                  <c:v>42838</c:v>
                </c:pt>
                <c:pt idx="66">
                  <c:v>42843</c:v>
                </c:pt>
                <c:pt idx="67">
                  <c:v>42848</c:v>
                </c:pt>
                <c:pt idx="68">
                  <c:v>43982</c:v>
                </c:pt>
                <c:pt idx="69">
                  <c:v>43987</c:v>
                </c:pt>
                <c:pt idx="70">
                  <c:v>43992</c:v>
                </c:pt>
                <c:pt idx="71">
                  <c:v>45126</c:v>
                </c:pt>
                <c:pt idx="72">
                  <c:v>45131</c:v>
                </c:pt>
                <c:pt idx="73">
                  <c:v>45136</c:v>
                </c:pt>
                <c:pt idx="74">
                  <c:v>46270</c:v>
                </c:pt>
                <c:pt idx="75">
                  <c:v>46275</c:v>
                </c:pt>
                <c:pt idx="76">
                  <c:v>46280</c:v>
                </c:pt>
                <c:pt idx="77">
                  <c:v>47414</c:v>
                </c:pt>
                <c:pt idx="78">
                  <c:v>47419</c:v>
                </c:pt>
                <c:pt idx="79">
                  <c:v>47424</c:v>
                </c:pt>
                <c:pt idx="80">
                  <c:v>48558</c:v>
                </c:pt>
                <c:pt idx="81">
                  <c:v>48563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'GA-有MotorGap'!$BL$6:$BL$205</c:f>
              <c:numCache>
                <c:formatCode>General</c:formatCode>
                <c:ptCount val="200"/>
                <c:pt idx="0">
                  <c:v>1429.6708841029067</c:v>
                </c:pt>
                <c:pt idx="1">
                  <c:v>1574.6708841029067</c:v>
                </c:pt>
                <c:pt idx="2">
                  <c:v>1574.6708841029067</c:v>
                </c:pt>
                <c:pt idx="3">
                  <c:v>1429.6708841029067</c:v>
                </c:pt>
                <c:pt idx="4">
                  <c:v>1574.6708841029067</c:v>
                </c:pt>
                <c:pt idx="5">
                  <c:v>1574.6708841029067</c:v>
                </c:pt>
                <c:pt idx="6">
                  <c:v>1429.6708841029067</c:v>
                </c:pt>
                <c:pt idx="7">
                  <c:v>1574.6708841029067</c:v>
                </c:pt>
                <c:pt idx="8">
                  <c:v>1574.6708841029067</c:v>
                </c:pt>
                <c:pt idx="9">
                  <c:v>1429.6708841029067</c:v>
                </c:pt>
                <c:pt idx="10">
                  <c:v>1574.6708841029067</c:v>
                </c:pt>
                <c:pt idx="11">
                  <c:v>1574.6708841029067</c:v>
                </c:pt>
                <c:pt idx="12">
                  <c:v>1429.6708841029067</c:v>
                </c:pt>
                <c:pt idx="13">
                  <c:v>1574.6708841029067</c:v>
                </c:pt>
                <c:pt idx="14">
                  <c:v>1574.6708841029067</c:v>
                </c:pt>
                <c:pt idx="15">
                  <c:v>1429.6708841029067</c:v>
                </c:pt>
                <c:pt idx="16">
                  <c:v>1574.6708841029067</c:v>
                </c:pt>
                <c:pt idx="17">
                  <c:v>1574.6708841029067</c:v>
                </c:pt>
                <c:pt idx="18">
                  <c:v>1429.6708841029067</c:v>
                </c:pt>
                <c:pt idx="19">
                  <c:v>1574.6708841029067</c:v>
                </c:pt>
                <c:pt idx="20">
                  <c:v>1574.6708841029067</c:v>
                </c:pt>
                <c:pt idx="21">
                  <c:v>1429.6708841029067</c:v>
                </c:pt>
                <c:pt idx="22">
                  <c:v>1574.6708841029067</c:v>
                </c:pt>
                <c:pt idx="23">
                  <c:v>1574.6708841029067</c:v>
                </c:pt>
                <c:pt idx="24">
                  <c:v>1429.6708841029067</c:v>
                </c:pt>
                <c:pt idx="25">
                  <c:v>1574.6708841029067</c:v>
                </c:pt>
                <c:pt idx="26">
                  <c:v>1574.6708841029067</c:v>
                </c:pt>
                <c:pt idx="27">
                  <c:v>1429.6708841029067</c:v>
                </c:pt>
                <c:pt idx="28">
                  <c:v>1574.6708841029067</c:v>
                </c:pt>
                <c:pt idx="29">
                  <c:v>1574.6708841029067</c:v>
                </c:pt>
                <c:pt idx="30">
                  <c:v>1429.6708841029067</c:v>
                </c:pt>
                <c:pt idx="31">
                  <c:v>1574.6708841029067</c:v>
                </c:pt>
                <c:pt idx="32">
                  <c:v>1574.6708841029067</c:v>
                </c:pt>
                <c:pt idx="33">
                  <c:v>1429.6708841029067</c:v>
                </c:pt>
                <c:pt idx="34">
                  <c:v>1574.6708841029067</c:v>
                </c:pt>
                <c:pt idx="35">
                  <c:v>1574.6708841029067</c:v>
                </c:pt>
                <c:pt idx="36">
                  <c:v>1429.6708841029067</c:v>
                </c:pt>
                <c:pt idx="37">
                  <c:v>1574.6708841029067</c:v>
                </c:pt>
                <c:pt idx="38">
                  <c:v>1574.6708841029067</c:v>
                </c:pt>
                <c:pt idx="39">
                  <c:v>1429.6708841029067</c:v>
                </c:pt>
                <c:pt idx="40">
                  <c:v>1574.6708841029067</c:v>
                </c:pt>
                <c:pt idx="41">
                  <c:v>1574.6708841029067</c:v>
                </c:pt>
                <c:pt idx="42">
                  <c:v>1429.6708841029067</c:v>
                </c:pt>
                <c:pt idx="43">
                  <c:v>1574.6708841029067</c:v>
                </c:pt>
                <c:pt idx="44">
                  <c:v>1574.6708841029067</c:v>
                </c:pt>
                <c:pt idx="45">
                  <c:v>1429.6708841029067</c:v>
                </c:pt>
                <c:pt idx="46">
                  <c:v>1574.6708841029067</c:v>
                </c:pt>
                <c:pt idx="47">
                  <c:v>1574.6708841029067</c:v>
                </c:pt>
                <c:pt idx="48">
                  <c:v>1429.6708841029067</c:v>
                </c:pt>
                <c:pt idx="49">
                  <c:v>1574.6708841029067</c:v>
                </c:pt>
                <c:pt idx="50">
                  <c:v>1574.6708841029067</c:v>
                </c:pt>
                <c:pt idx="51">
                  <c:v>1429.6708841029067</c:v>
                </c:pt>
                <c:pt idx="52">
                  <c:v>1574.6708841029067</c:v>
                </c:pt>
                <c:pt idx="53">
                  <c:v>1574.6708841029067</c:v>
                </c:pt>
                <c:pt idx="54">
                  <c:v>1429.6708841029067</c:v>
                </c:pt>
                <c:pt idx="55">
                  <c:v>1574.6708841029067</c:v>
                </c:pt>
                <c:pt idx="56">
                  <c:v>1574.6708841029067</c:v>
                </c:pt>
                <c:pt idx="57">
                  <c:v>1429.6708841029067</c:v>
                </c:pt>
                <c:pt idx="58">
                  <c:v>1574.6708841029067</c:v>
                </c:pt>
                <c:pt idx="59">
                  <c:v>1574.6708841029067</c:v>
                </c:pt>
                <c:pt idx="60">
                  <c:v>1429.6708841029067</c:v>
                </c:pt>
                <c:pt idx="61">
                  <c:v>1574.6708841029067</c:v>
                </c:pt>
                <c:pt idx="62">
                  <c:v>1574.6708841029067</c:v>
                </c:pt>
                <c:pt idx="63">
                  <c:v>1429.6708841029067</c:v>
                </c:pt>
                <c:pt idx="64">
                  <c:v>1574.6708841029067</c:v>
                </c:pt>
                <c:pt idx="65">
                  <c:v>1574.6708841029067</c:v>
                </c:pt>
                <c:pt idx="66">
                  <c:v>1429.6708841029067</c:v>
                </c:pt>
                <c:pt idx="67">
                  <c:v>1574.6708841029067</c:v>
                </c:pt>
                <c:pt idx="68">
                  <c:v>1574.6708841029067</c:v>
                </c:pt>
                <c:pt idx="69">
                  <c:v>1429.6708841029067</c:v>
                </c:pt>
                <c:pt idx="70">
                  <c:v>1574.6708841029067</c:v>
                </c:pt>
                <c:pt idx="71">
                  <c:v>1574.6708841029067</c:v>
                </c:pt>
                <c:pt idx="72">
                  <c:v>1429.6708841029067</c:v>
                </c:pt>
                <c:pt idx="73">
                  <c:v>1574.6708841029067</c:v>
                </c:pt>
                <c:pt idx="74">
                  <c:v>1574.6708841029067</c:v>
                </c:pt>
                <c:pt idx="75">
                  <c:v>1429.6708841029067</c:v>
                </c:pt>
                <c:pt idx="76">
                  <c:v>1574.6708841029067</c:v>
                </c:pt>
                <c:pt idx="77">
                  <c:v>1574.6708841029067</c:v>
                </c:pt>
                <c:pt idx="78">
                  <c:v>1429.6708841029067</c:v>
                </c:pt>
                <c:pt idx="79">
                  <c:v>1574.6708841029067</c:v>
                </c:pt>
                <c:pt idx="80">
                  <c:v>1574.6708841029067</c:v>
                </c:pt>
                <c:pt idx="81">
                  <c:v>1429.6708841029067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A9-445F-B901-65812BF55BE0}"/>
            </c:ext>
          </c:extLst>
        </c:ser>
        <c:ser>
          <c:idx val="79"/>
          <c:order val="79"/>
          <c:tx>
            <c:v>区域3檩条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'GA-有MotorGap'!$BP$6:$BP$205</c:f>
              <c:numCache>
                <c:formatCode>General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'GA-有MotorGap'!$BQ$6:$BQ$205</c:f>
              <c:numCache>
                <c:formatCode>General</c:formatCode>
                <c:ptCount val="200"/>
                <c:pt idx="0">
                  <c:v>1429.6708841029067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7C-460C-890F-0D78DE4801AE}"/>
            </c:ext>
          </c:extLst>
        </c:ser>
        <c:ser>
          <c:idx val="80"/>
          <c:order val="80"/>
          <c:tx>
            <c:v>区域4檩条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'GA-有MotorGap'!$BU$6:$BU$205</c:f>
              <c:numCache>
                <c:formatCode>General</c:formatCode>
                <c:ptCount val="200"/>
                <c:pt idx="0">
                  <c:v>48933</c:v>
                </c:pt>
                <c:pt idx="1">
                  <c:v>48938</c:v>
                </c:pt>
                <c:pt idx="2">
                  <c:v>50072</c:v>
                </c:pt>
                <c:pt idx="3">
                  <c:v>50077</c:v>
                </c:pt>
                <c:pt idx="4">
                  <c:v>50082</c:v>
                </c:pt>
                <c:pt idx="5">
                  <c:v>51216</c:v>
                </c:pt>
                <c:pt idx="6">
                  <c:v>51221</c:v>
                </c:pt>
                <c:pt idx="7">
                  <c:v>51226</c:v>
                </c:pt>
                <c:pt idx="8">
                  <c:v>52360</c:v>
                </c:pt>
                <c:pt idx="9">
                  <c:v>52365</c:v>
                </c:pt>
                <c:pt idx="10">
                  <c:v>52370</c:v>
                </c:pt>
                <c:pt idx="11">
                  <c:v>53504</c:v>
                </c:pt>
                <c:pt idx="12">
                  <c:v>53509</c:v>
                </c:pt>
                <c:pt idx="13">
                  <c:v>53514</c:v>
                </c:pt>
                <c:pt idx="14">
                  <c:v>54648</c:v>
                </c:pt>
                <c:pt idx="15">
                  <c:v>54653</c:v>
                </c:pt>
                <c:pt idx="16">
                  <c:v>54658</c:v>
                </c:pt>
                <c:pt idx="17">
                  <c:v>55792</c:v>
                </c:pt>
                <c:pt idx="18">
                  <c:v>55797</c:v>
                </c:pt>
                <c:pt idx="19">
                  <c:v>55802</c:v>
                </c:pt>
                <c:pt idx="20">
                  <c:v>56936</c:v>
                </c:pt>
                <c:pt idx="21">
                  <c:v>56941</c:v>
                </c:pt>
                <c:pt idx="22">
                  <c:v>56946</c:v>
                </c:pt>
                <c:pt idx="23">
                  <c:v>58080</c:v>
                </c:pt>
                <c:pt idx="24">
                  <c:v>58085</c:v>
                </c:pt>
                <c:pt idx="25">
                  <c:v>58090</c:v>
                </c:pt>
                <c:pt idx="26">
                  <c:v>59224</c:v>
                </c:pt>
                <c:pt idx="27">
                  <c:v>59229</c:v>
                </c:pt>
                <c:pt idx="28">
                  <c:v>59234</c:v>
                </c:pt>
                <c:pt idx="29">
                  <c:v>60368</c:v>
                </c:pt>
                <c:pt idx="30">
                  <c:v>60373</c:v>
                </c:pt>
                <c:pt idx="31">
                  <c:v>60378</c:v>
                </c:pt>
                <c:pt idx="32">
                  <c:v>61512</c:v>
                </c:pt>
                <c:pt idx="33">
                  <c:v>61517</c:v>
                </c:pt>
                <c:pt idx="34">
                  <c:v>61522</c:v>
                </c:pt>
                <c:pt idx="35">
                  <c:v>62656</c:v>
                </c:pt>
                <c:pt idx="36">
                  <c:v>62661</c:v>
                </c:pt>
                <c:pt idx="37">
                  <c:v>62666</c:v>
                </c:pt>
                <c:pt idx="38">
                  <c:v>63800</c:v>
                </c:pt>
                <c:pt idx="39">
                  <c:v>63805</c:v>
                </c:pt>
                <c:pt idx="40">
                  <c:v>63810</c:v>
                </c:pt>
                <c:pt idx="41">
                  <c:v>64944</c:v>
                </c:pt>
                <c:pt idx="42">
                  <c:v>64949</c:v>
                </c:pt>
                <c:pt idx="43">
                  <c:v>64954</c:v>
                </c:pt>
                <c:pt idx="44">
                  <c:v>66088</c:v>
                </c:pt>
                <c:pt idx="45">
                  <c:v>66093</c:v>
                </c:pt>
                <c:pt idx="46">
                  <c:v>66098</c:v>
                </c:pt>
                <c:pt idx="47">
                  <c:v>67232</c:v>
                </c:pt>
                <c:pt idx="48">
                  <c:v>67237</c:v>
                </c:pt>
                <c:pt idx="49">
                  <c:v>67242</c:v>
                </c:pt>
                <c:pt idx="50">
                  <c:v>68376</c:v>
                </c:pt>
                <c:pt idx="51">
                  <c:v>68381</c:v>
                </c:pt>
                <c:pt idx="52">
                  <c:v>68386</c:v>
                </c:pt>
                <c:pt idx="53">
                  <c:v>69520</c:v>
                </c:pt>
                <c:pt idx="54">
                  <c:v>69525</c:v>
                </c:pt>
                <c:pt idx="55">
                  <c:v>69530</c:v>
                </c:pt>
                <c:pt idx="56">
                  <c:v>70664</c:v>
                </c:pt>
                <c:pt idx="57">
                  <c:v>70669</c:v>
                </c:pt>
                <c:pt idx="58">
                  <c:v>70674</c:v>
                </c:pt>
                <c:pt idx="59">
                  <c:v>71808</c:v>
                </c:pt>
                <c:pt idx="60">
                  <c:v>71813</c:v>
                </c:pt>
                <c:pt idx="61">
                  <c:v>71818</c:v>
                </c:pt>
                <c:pt idx="62">
                  <c:v>72952</c:v>
                </c:pt>
                <c:pt idx="63">
                  <c:v>72957</c:v>
                </c:pt>
                <c:pt idx="64">
                  <c:v>72962</c:v>
                </c:pt>
                <c:pt idx="65">
                  <c:v>74096</c:v>
                </c:pt>
                <c:pt idx="66">
                  <c:v>74101</c:v>
                </c:pt>
                <c:pt idx="67">
                  <c:v>74106</c:v>
                </c:pt>
                <c:pt idx="68">
                  <c:v>75240</c:v>
                </c:pt>
                <c:pt idx="69">
                  <c:v>75245</c:v>
                </c:pt>
                <c:pt idx="70">
                  <c:v>75250</c:v>
                </c:pt>
                <c:pt idx="71">
                  <c:v>76384</c:v>
                </c:pt>
                <c:pt idx="72">
                  <c:v>76389</c:v>
                </c:pt>
                <c:pt idx="73">
                  <c:v>76394</c:v>
                </c:pt>
                <c:pt idx="74">
                  <c:v>77528</c:v>
                </c:pt>
                <c:pt idx="75">
                  <c:v>77533</c:v>
                </c:pt>
                <c:pt idx="76">
                  <c:v>77538</c:v>
                </c:pt>
                <c:pt idx="77">
                  <c:v>78672</c:v>
                </c:pt>
                <c:pt idx="78">
                  <c:v>78677</c:v>
                </c:pt>
                <c:pt idx="79">
                  <c:v>78682</c:v>
                </c:pt>
                <c:pt idx="80">
                  <c:v>79816</c:v>
                </c:pt>
                <c:pt idx="81">
                  <c:v>79821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'GA-有MotorGap'!$BV$6:$BV$205</c:f>
              <c:numCache>
                <c:formatCode>General</c:formatCode>
                <c:ptCount val="200"/>
                <c:pt idx="0">
                  <c:v>1429.6708841029067</c:v>
                </c:pt>
                <c:pt idx="1">
                  <c:v>1574.6708841029067</c:v>
                </c:pt>
                <c:pt idx="2">
                  <c:v>1574.6708841029067</c:v>
                </c:pt>
                <c:pt idx="3">
                  <c:v>1429.6708841029067</c:v>
                </c:pt>
                <c:pt idx="4">
                  <c:v>1574.6708841029067</c:v>
                </c:pt>
                <c:pt idx="5">
                  <c:v>1574.6708841029067</c:v>
                </c:pt>
                <c:pt idx="6">
                  <c:v>1429.6708841029067</c:v>
                </c:pt>
                <c:pt idx="7">
                  <c:v>1574.6708841029067</c:v>
                </c:pt>
                <c:pt idx="8">
                  <c:v>1574.6708841029067</c:v>
                </c:pt>
                <c:pt idx="9">
                  <c:v>1429.6708841029067</c:v>
                </c:pt>
                <c:pt idx="10">
                  <c:v>1574.6708841029067</c:v>
                </c:pt>
                <c:pt idx="11">
                  <c:v>1574.6708841029067</c:v>
                </c:pt>
                <c:pt idx="12">
                  <c:v>1429.6708841029067</c:v>
                </c:pt>
                <c:pt idx="13">
                  <c:v>1574.6708841029067</c:v>
                </c:pt>
                <c:pt idx="14">
                  <c:v>1574.6708841029067</c:v>
                </c:pt>
                <c:pt idx="15">
                  <c:v>1429.6708841029067</c:v>
                </c:pt>
                <c:pt idx="16">
                  <c:v>1574.6708841029067</c:v>
                </c:pt>
                <c:pt idx="17">
                  <c:v>1574.6708841029067</c:v>
                </c:pt>
                <c:pt idx="18">
                  <c:v>1429.6708841029067</c:v>
                </c:pt>
                <c:pt idx="19">
                  <c:v>1574.6708841029067</c:v>
                </c:pt>
                <c:pt idx="20">
                  <c:v>1574.6708841029067</c:v>
                </c:pt>
                <c:pt idx="21">
                  <c:v>1429.6708841029067</c:v>
                </c:pt>
                <c:pt idx="22">
                  <c:v>1574.6708841029067</c:v>
                </c:pt>
                <c:pt idx="23">
                  <c:v>1574.6708841029067</c:v>
                </c:pt>
                <c:pt idx="24">
                  <c:v>1429.6708841029067</c:v>
                </c:pt>
                <c:pt idx="25">
                  <c:v>1574.6708841029067</c:v>
                </c:pt>
                <c:pt idx="26">
                  <c:v>1574.6708841029067</c:v>
                </c:pt>
                <c:pt idx="27">
                  <c:v>1429.6708841029067</c:v>
                </c:pt>
                <c:pt idx="28">
                  <c:v>1574.6708841029067</c:v>
                </c:pt>
                <c:pt idx="29">
                  <c:v>1574.6708841029067</c:v>
                </c:pt>
                <c:pt idx="30">
                  <c:v>1429.6708841029067</c:v>
                </c:pt>
                <c:pt idx="31">
                  <c:v>1574.6708841029067</c:v>
                </c:pt>
                <c:pt idx="32">
                  <c:v>1574.6708841029067</c:v>
                </c:pt>
                <c:pt idx="33">
                  <c:v>1429.6708841029067</c:v>
                </c:pt>
                <c:pt idx="34">
                  <c:v>1574.6708841029067</c:v>
                </c:pt>
                <c:pt idx="35">
                  <c:v>1574.6708841029067</c:v>
                </c:pt>
                <c:pt idx="36">
                  <c:v>1429.6708841029067</c:v>
                </c:pt>
                <c:pt idx="37">
                  <c:v>1574.6708841029067</c:v>
                </c:pt>
                <c:pt idx="38">
                  <c:v>1574.6708841029067</c:v>
                </c:pt>
                <c:pt idx="39">
                  <c:v>1429.6708841029067</c:v>
                </c:pt>
                <c:pt idx="40">
                  <c:v>1574.6708841029067</c:v>
                </c:pt>
                <c:pt idx="41">
                  <c:v>1574.6708841029067</c:v>
                </c:pt>
                <c:pt idx="42">
                  <c:v>1429.6708841029067</c:v>
                </c:pt>
                <c:pt idx="43">
                  <c:v>1574.6708841029067</c:v>
                </c:pt>
                <c:pt idx="44">
                  <c:v>1574.6708841029067</c:v>
                </c:pt>
                <c:pt idx="45">
                  <c:v>1429.6708841029067</c:v>
                </c:pt>
                <c:pt idx="46">
                  <c:v>1574.6708841029067</c:v>
                </c:pt>
                <c:pt idx="47">
                  <c:v>1574.6708841029067</c:v>
                </c:pt>
                <c:pt idx="48">
                  <c:v>1429.6708841029067</c:v>
                </c:pt>
                <c:pt idx="49">
                  <c:v>1574.6708841029067</c:v>
                </c:pt>
                <c:pt idx="50">
                  <c:v>1574.6708841029067</c:v>
                </c:pt>
                <c:pt idx="51">
                  <c:v>1429.6708841029067</c:v>
                </c:pt>
                <c:pt idx="52">
                  <c:v>1574.6708841029067</c:v>
                </c:pt>
                <c:pt idx="53">
                  <c:v>1574.6708841029067</c:v>
                </c:pt>
                <c:pt idx="54">
                  <c:v>1429.6708841029067</c:v>
                </c:pt>
                <c:pt idx="55">
                  <c:v>1574.6708841029067</c:v>
                </c:pt>
                <c:pt idx="56">
                  <c:v>1574.6708841029067</c:v>
                </c:pt>
                <c:pt idx="57">
                  <c:v>1429.6708841029067</c:v>
                </c:pt>
                <c:pt idx="58">
                  <c:v>1574.6708841029067</c:v>
                </c:pt>
                <c:pt idx="59">
                  <c:v>1574.6708841029067</c:v>
                </c:pt>
                <c:pt idx="60">
                  <c:v>1429.6708841029067</c:v>
                </c:pt>
                <c:pt idx="61">
                  <c:v>1574.6708841029067</c:v>
                </c:pt>
                <c:pt idx="62">
                  <c:v>1574.6708841029067</c:v>
                </c:pt>
                <c:pt idx="63">
                  <c:v>1429.6708841029067</c:v>
                </c:pt>
                <c:pt idx="64">
                  <c:v>1574.6708841029067</c:v>
                </c:pt>
                <c:pt idx="65">
                  <c:v>1574.6708841029067</c:v>
                </c:pt>
                <c:pt idx="66">
                  <c:v>1429.6708841029067</c:v>
                </c:pt>
                <c:pt idx="67">
                  <c:v>1574.6708841029067</c:v>
                </c:pt>
                <c:pt idx="68">
                  <c:v>1574.6708841029067</c:v>
                </c:pt>
                <c:pt idx="69">
                  <c:v>1429.6708841029067</c:v>
                </c:pt>
                <c:pt idx="70">
                  <c:v>1574.6708841029067</c:v>
                </c:pt>
                <c:pt idx="71">
                  <c:v>1574.6708841029067</c:v>
                </c:pt>
                <c:pt idx="72">
                  <c:v>1429.6708841029067</c:v>
                </c:pt>
                <c:pt idx="73">
                  <c:v>1574.6708841029067</c:v>
                </c:pt>
                <c:pt idx="74">
                  <c:v>1574.6708841029067</c:v>
                </c:pt>
                <c:pt idx="75">
                  <c:v>1429.6708841029067</c:v>
                </c:pt>
                <c:pt idx="76">
                  <c:v>1574.6708841029067</c:v>
                </c:pt>
                <c:pt idx="77">
                  <c:v>1574.6708841029067</c:v>
                </c:pt>
                <c:pt idx="78">
                  <c:v>1429.6708841029067</c:v>
                </c:pt>
                <c:pt idx="79">
                  <c:v>1574.6708841029067</c:v>
                </c:pt>
                <c:pt idx="80">
                  <c:v>1574.6708841029067</c:v>
                </c:pt>
                <c:pt idx="81">
                  <c:v>1429.6708841029067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7C-460C-890F-0D78DE4801AE}"/>
            </c:ext>
          </c:extLst>
        </c:ser>
        <c:ser>
          <c:idx val="81"/>
          <c:order val="81"/>
          <c:tx>
            <c:v>区域5檩条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'GA-有MotorGap'!$BZ$6:$BZ$205</c:f>
              <c:numCache>
                <c:formatCode>General</c:formatCode>
                <c:ptCount val="200"/>
                <c:pt idx="0">
                  <c:v>80191</c:v>
                </c:pt>
                <c:pt idx="1">
                  <c:v>80196</c:v>
                </c:pt>
                <c:pt idx="2">
                  <c:v>81330</c:v>
                </c:pt>
                <c:pt idx="3">
                  <c:v>81335</c:v>
                </c:pt>
                <c:pt idx="4">
                  <c:v>81340</c:v>
                </c:pt>
                <c:pt idx="5">
                  <c:v>82474</c:v>
                </c:pt>
                <c:pt idx="6">
                  <c:v>82479</c:v>
                </c:pt>
                <c:pt idx="7">
                  <c:v>82484</c:v>
                </c:pt>
                <c:pt idx="8">
                  <c:v>83618</c:v>
                </c:pt>
                <c:pt idx="9">
                  <c:v>83623</c:v>
                </c:pt>
                <c:pt idx="10">
                  <c:v>83628</c:v>
                </c:pt>
                <c:pt idx="11">
                  <c:v>84762</c:v>
                </c:pt>
                <c:pt idx="12">
                  <c:v>84767</c:v>
                </c:pt>
                <c:pt idx="13">
                  <c:v>84772</c:v>
                </c:pt>
                <c:pt idx="14">
                  <c:v>85906</c:v>
                </c:pt>
                <c:pt idx="15">
                  <c:v>85911</c:v>
                </c:pt>
                <c:pt idx="16">
                  <c:v>85916</c:v>
                </c:pt>
                <c:pt idx="17">
                  <c:v>87050</c:v>
                </c:pt>
                <c:pt idx="18">
                  <c:v>87055</c:v>
                </c:pt>
                <c:pt idx="19">
                  <c:v>87060</c:v>
                </c:pt>
                <c:pt idx="20">
                  <c:v>88194</c:v>
                </c:pt>
                <c:pt idx="21">
                  <c:v>88199</c:v>
                </c:pt>
                <c:pt idx="22">
                  <c:v>88204</c:v>
                </c:pt>
                <c:pt idx="23">
                  <c:v>89338</c:v>
                </c:pt>
                <c:pt idx="24">
                  <c:v>89343</c:v>
                </c:pt>
                <c:pt idx="25">
                  <c:v>89348</c:v>
                </c:pt>
                <c:pt idx="26">
                  <c:v>90482</c:v>
                </c:pt>
                <c:pt idx="27">
                  <c:v>90487</c:v>
                </c:pt>
                <c:pt idx="28">
                  <c:v>90492</c:v>
                </c:pt>
                <c:pt idx="29">
                  <c:v>91626</c:v>
                </c:pt>
                <c:pt idx="30">
                  <c:v>91631</c:v>
                </c:pt>
                <c:pt idx="31">
                  <c:v>91636</c:v>
                </c:pt>
                <c:pt idx="32">
                  <c:v>92770</c:v>
                </c:pt>
                <c:pt idx="33">
                  <c:v>92775</c:v>
                </c:pt>
                <c:pt idx="34">
                  <c:v>92780</c:v>
                </c:pt>
                <c:pt idx="35">
                  <c:v>93914</c:v>
                </c:pt>
                <c:pt idx="36">
                  <c:v>93919</c:v>
                </c:pt>
                <c:pt idx="37">
                  <c:v>93924</c:v>
                </c:pt>
                <c:pt idx="38">
                  <c:v>95058</c:v>
                </c:pt>
                <c:pt idx="39">
                  <c:v>95063</c:v>
                </c:pt>
                <c:pt idx="40">
                  <c:v>95068</c:v>
                </c:pt>
                <c:pt idx="41">
                  <c:v>96202</c:v>
                </c:pt>
                <c:pt idx="42">
                  <c:v>96207</c:v>
                </c:pt>
                <c:pt idx="43">
                  <c:v>96212</c:v>
                </c:pt>
                <c:pt idx="44">
                  <c:v>97346</c:v>
                </c:pt>
                <c:pt idx="45">
                  <c:v>97351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'GA-有MotorGap'!$CA$6:$CA$205</c:f>
              <c:numCache>
                <c:formatCode>General</c:formatCode>
                <c:ptCount val="200"/>
                <c:pt idx="0">
                  <c:v>1429.6708841029067</c:v>
                </c:pt>
                <c:pt idx="1">
                  <c:v>1574.6708841029067</c:v>
                </c:pt>
                <c:pt idx="2">
                  <c:v>1574.6708841029067</c:v>
                </c:pt>
                <c:pt idx="3">
                  <c:v>1429.6708841029067</c:v>
                </c:pt>
                <c:pt idx="4">
                  <c:v>1574.6708841029067</c:v>
                </c:pt>
                <c:pt idx="5">
                  <c:v>1574.6708841029067</c:v>
                </c:pt>
                <c:pt idx="6">
                  <c:v>1429.6708841029067</c:v>
                </c:pt>
                <c:pt idx="7">
                  <c:v>1574.6708841029067</c:v>
                </c:pt>
                <c:pt idx="8">
                  <c:v>1574.6708841029067</c:v>
                </c:pt>
                <c:pt idx="9">
                  <c:v>1429.6708841029067</c:v>
                </c:pt>
                <c:pt idx="10">
                  <c:v>1574.6708841029067</c:v>
                </c:pt>
                <c:pt idx="11">
                  <c:v>1574.6708841029067</c:v>
                </c:pt>
                <c:pt idx="12">
                  <c:v>1429.6708841029067</c:v>
                </c:pt>
                <c:pt idx="13">
                  <c:v>1574.6708841029067</c:v>
                </c:pt>
                <c:pt idx="14">
                  <c:v>1574.6708841029067</c:v>
                </c:pt>
                <c:pt idx="15">
                  <c:v>1429.6708841029067</c:v>
                </c:pt>
                <c:pt idx="16">
                  <c:v>1574.6708841029067</c:v>
                </c:pt>
                <c:pt idx="17">
                  <c:v>1574.6708841029067</c:v>
                </c:pt>
                <c:pt idx="18">
                  <c:v>1429.6708841029067</c:v>
                </c:pt>
                <c:pt idx="19">
                  <c:v>1574.6708841029067</c:v>
                </c:pt>
                <c:pt idx="20">
                  <c:v>1574.6708841029067</c:v>
                </c:pt>
                <c:pt idx="21">
                  <c:v>1429.6708841029067</c:v>
                </c:pt>
                <c:pt idx="22">
                  <c:v>1574.6708841029067</c:v>
                </c:pt>
                <c:pt idx="23">
                  <c:v>1574.6708841029067</c:v>
                </c:pt>
                <c:pt idx="24">
                  <c:v>1429.6708841029067</c:v>
                </c:pt>
                <c:pt idx="25">
                  <c:v>1574.6708841029067</c:v>
                </c:pt>
                <c:pt idx="26">
                  <c:v>1574.6708841029067</c:v>
                </c:pt>
                <c:pt idx="27">
                  <c:v>1429.6708841029067</c:v>
                </c:pt>
                <c:pt idx="28">
                  <c:v>1574.6708841029067</c:v>
                </c:pt>
                <c:pt idx="29">
                  <c:v>1574.6708841029067</c:v>
                </c:pt>
                <c:pt idx="30">
                  <c:v>1429.6708841029067</c:v>
                </c:pt>
                <c:pt idx="31">
                  <c:v>1574.6708841029067</c:v>
                </c:pt>
                <c:pt idx="32">
                  <c:v>1574.6708841029067</c:v>
                </c:pt>
                <c:pt idx="33">
                  <c:v>1429.6708841029067</c:v>
                </c:pt>
                <c:pt idx="34">
                  <c:v>1574.6708841029067</c:v>
                </c:pt>
                <c:pt idx="35">
                  <c:v>1574.6708841029067</c:v>
                </c:pt>
                <c:pt idx="36">
                  <c:v>1429.6708841029067</c:v>
                </c:pt>
                <c:pt idx="37">
                  <c:v>1574.6708841029067</c:v>
                </c:pt>
                <c:pt idx="38">
                  <c:v>1574.6708841029067</c:v>
                </c:pt>
                <c:pt idx="39">
                  <c:v>1429.6708841029067</c:v>
                </c:pt>
                <c:pt idx="40">
                  <c:v>1574.6708841029067</c:v>
                </c:pt>
                <c:pt idx="41">
                  <c:v>1574.6708841029067</c:v>
                </c:pt>
                <c:pt idx="42">
                  <c:v>1429.6708841029067</c:v>
                </c:pt>
                <c:pt idx="43">
                  <c:v>1574.6708841029067</c:v>
                </c:pt>
                <c:pt idx="44">
                  <c:v>1574.6708841029067</c:v>
                </c:pt>
                <c:pt idx="45">
                  <c:v>1429.6708841029067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7C-460C-890F-0D78DE480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992544"/>
        <c:axId val="1214557216"/>
      </c:scatterChart>
      <c:valAx>
        <c:axId val="12169925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214557216"/>
        <c:crosses val="autoZero"/>
        <c:crossBetween val="midCat"/>
      </c:valAx>
      <c:valAx>
        <c:axId val="1214557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216992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78942238833E-3"/>
          <c:y val="6.2208910613766384E-2"/>
          <c:w val="0.98902421155223341"/>
          <c:h val="0.84414263352131347"/>
        </c:manualLayout>
      </c:layout>
      <c:scatterChart>
        <c:scatterStyle val="lineMarker"/>
        <c:varyColors val="0"/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7222688"/>
        <c:axId val="117237664"/>
      </c:scatterChart>
      <c:valAx>
        <c:axId val="1172226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7237664"/>
        <c:crosses val="autoZero"/>
        <c:crossBetween val="midCat"/>
      </c:valAx>
      <c:valAx>
        <c:axId val="1172376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7222688"/>
        <c:crosses val="autoZero"/>
        <c:crossBetween val="midCat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跨距显示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F5-4374-98B5-0B8A1C45A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'GA-有MotorGap'!$CV$6:$CV$61</c:f>
              <c:numCache>
                <c:formatCode>General</c:formatCode>
                <c:ptCount val="56"/>
                <c:pt idx="0">
                  <c:v>1042.5</c:v>
                </c:pt>
                <c:pt idx="1">
                  <c:v>5935</c:v>
                </c:pt>
                <c:pt idx="2">
                  <c:v>13637.5</c:v>
                </c:pt>
                <c:pt idx="3">
                  <c:v>21390</c:v>
                </c:pt>
                <c:pt idx="4">
                  <c:v>29214</c:v>
                </c:pt>
                <c:pt idx="5">
                  <c:v>37038</c:v>
                </c:pt>
                <c:pt idx="6">
                  <c:v>44843</c:v>
                </c:pt>
                <c:pt idx="7">
                  <c:v>52648</c:v>
                </c:pt>
                <c:pt idx="8">
                  <c:v>60448</c:v>
                </c:pt>
                <c:pt idx="9">
                  <c:v>68272</c:v>
                </c:pt>
                <c:pt idx="10">
                  <c:v>76101</c:v>
                </c:pt>
                <c:pt idx="11">
                  <c:v>83884</c:v>
                </c:pt>
                <c:pt idx="12">
                  <c:v>91612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96479</c:v>
                </c:pt>
                <c:pt idx="55">
                  <c:v>97496</c:v>
                </c:pt>
              </c:numCache>
            </c:numRef>
          </c:xVal>
          <c:yVal>
            <c:numRef>
              <c:f>'GA-有MotorGap'!$CU$6:$CU$61</c:f>
              <c:numCache>
                <c:formatCode>General</c:formatCode>
                <c:ptCount val="56"/>
                <c:pt idx="0">
                  <c:v>2085</c:v>
                </c:pt>
                <c:pt idx="1">
                  <c:v>7700</c:v>
                </c:pt>
                <c:pt idx="2">
                  <c:v>7705</c:v>
                </c:pt>
                <c:pt idx="3">
                  <c:v>7800</c:v>
                </c:pt>
                <c:pt idx="4">
                  <c:v>7848</c:v>
                </c:pt>
                <c:pt idx="5">
                  <c:v>7800</c:v>
                </c:pt>
                <c:pt idx="6">
                  <c:v>7810</c:v>
                </c:pt>
                <c:pt idx="7">
                  <c:v>7800</c:v>
                </c:pt>
                <c:pt idx="8">
                  <c:v>7800</c:v>
                </c:pt>
                <c:pt idx="9">
                  <c:v>7848</c:v>
                </c:pt>
                <c:pt idx="10">
                  <c:v>7810</c:v>
                </c:pt>
                <c:pt idx="11">
                  <c:v>7756</c:v>
                </c:pt>
                <c:pt idx="12">
                  <c:v>7700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2034</c:v>
                </c:pt>
                <c:pt idx="55">
                  <c:v>10000000000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F5-4374-98B5-0B8A1C45AC2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935951871"/>
        <c:axId val="935948543"/>
      </c:scatterChart>
      <c:valAx>
        <c:axId val="93595187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35948543"/>
        <c:crosses val="autoZero"/>
        <c:crossBetween val="midCat"/>
      </c:valAx>
      <c:valAx>
        <c:axId val="9359485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35951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527050</xdr:colOff>
          <xdr:row>18</xdr:row>
          <xdr:rowOff>76200</xdr:rowOff>
        </xdr:from>
        <xdr:to>
          <xdr:col>6</xdr:col>
          <xdr:colOff>1555750</xdr:colOff>
          <xdr:row>20</xdr:row>
          <xdr:rowOff>165100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zh-CN" altLang="en-US" sz="2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下一步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1400</xdr:colOff>
      <xdr:row>0</xdr:row>
      <xdr:rowOff>12325</xdr:rowOff>
    </xdr:from>
    <xdr:to>
      <xdr:col>31</xdr:col>
      <xdr:colOff>1932214</xdr:colOff>
      <xdr:row>0</xdr:row>
      <xdr:rowOff>2846294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24046</xdr:colOff>
      <xdr:row>0</xdr:row>
      <xdr:rowOff>1048686</xdr:rowOff>
    </xdr:from>
    <xdr:to>
      <xdr:col>31</xdr:col>
      <xdr:colOff>881530</xdr:colOff>
      <xdr:row>0</xdr:row>
      <xdr:rowOff>1485715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469900</xdr:colOff>
          <xdr:row>8</xdr:row>
          <xdr:rowOff>171450</xdr:rowOff>
        </xdr:from>
        <xdr:to>
          <xdr:col>12</xdr:col>
          <xdr:colOff>742950</xdr:colOff>
          <xdr:row>11</xdr:row>
          <xdr:rowOff>133350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zh-CN" altLang="en-US" sz="2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返回首页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23811</xdr:colOff>
      <xdr:row>0</xdr:row>
      <xdr:rowOff>57149</xdr:rowOff>
    </xdr:from>
    <xdr:to>
      <xdr:col>32</xdr:col>
      <xdr:colOff>1625600</xdr:colOff>
      <xdr:row>1</xdr:row>
      <xdr:rowOff>5606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109123</xdr:colOff>
      <xdr:row>0</xdr:row>
      <xdr:rowOff>4572000</xdr:rowOff>
    </xdr:from>
    <xdr:to>
      <xdr:col>29</xdr:col>
      <xdr:colOff>307094</xdr:colOff>
      <xdr:row>0</xdr:row>
      <xdr:rowOff>4776107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88900</xdr:colOff>
          <xdr:row>2</xdr:row>
          <xdr:rowOff>323850</xdr:rowOff>
        </xdr:from>
        <xdr:to>
          <xdr:col>17</xdr:col>
          <xdr:colOff>241300</xdr:colOff>
          <xdr:row>5</xdr:row>
          <xdr:rowOff>146050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2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返回首页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1444626</xdr:rowOff>
    </xdr:from>
    <xdr:to>
      <xdr:col>32</xdr:col>
      <xdr:colOff>1801091</xdr:colOff>
      <xdr:row>0</xdr:row>
      <xdr:rowOff>2151336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438150</xdr:colOff>
          <xdr:row>18</xdr:row>
          <xdr:rowOff>38100</xdr:rowOff>
        </xdr:from>
        <xdr:to>
          <xdr:col>10</xdr:col>
          <xdr:colOff>336550</xdr:colOff>
          <xdr:row>20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上一步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自定义 2">
      <a:majorFont>
        <a:latin typeface="Times New Roman"/>
        <a:ea typeface="楷体"/>
        <a:cs typeface=""/>
      </a:majorFont>
      <a:minorFont>
        <a:latin typeface="楷体"/>
        <a:ea typeface="楷体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0ED37-8C7D-4A49-916C-E6641B6B1E5A}">
  <sheetPr codeName="Sheet3"/>
  <dimension ref="A1:AB22"/>
  <sheetViews>
    <sheetView topLeftCell="B1" zoomScale="85" zoomScaleNormal="85" workbookViewId="0">
      <selection activeCell="G20" sqref="G20"/>
    </sheetView>
  </sheetViews>
  <sheetFormatPr defaultColWidth="9" defaultRowHeight="16.5" x14ac:dyDescent="0.45"/>
  <cols>
    <col min="1" max="1" width="27.90625" style="18" customWidth="1"/>
    <col min="2" max="2" width="6.26953125" style="13" customWidth="1"/>
    <col min="3" max="3" width="5.26953125" style="13" customWidth="1"/>
    <col min="4" max="4" width="13.6328125" style="13" bestFit="1" customWidth="1"/>
    <col min="5" max="5" width="49.36328125" style="13" bestFit="1" customWidth="1"/>
    <col min="6" max="6" width="12.26953125" style="13" customWidth="1"/>
    <col min="7" max="7" width="27.90625" style="14" bestFit="1" customWidth="1"/>
    <col min="8" max="8" width="8.453125" style="13" bestFit="1" customWidth="1"/>
    <col min="9" max="9" width="5.26953125" style="13" customWidth="1"/>
    <col min="10" max="11" width="9" style="14"/>
    <col min="12" max="12" width="9.6328125" style="14" bestFit="1" customWidth="1"/>
    <col min="13" max="13" width="22.453125" style="13" customWidth="1"/>
    <col min="14" max="14" width="5.08984375" style="14" customWidth="1"/>
    <col min="15" max="15" width="9.453125" style="14" bestFit="1" customWidth="1"/>
    <col min="16" max="16" width="15.26953125" style="18" bestFit="1" customWidth="1"/>
    <col min="17" max="17" width="16.7265625" style="18" bestFit="1" customWidth="1"/>
    <col min="18" max="18" width="18.36328125" style="14" bestFit="1" customWidth="1"/>
    <col min="19" max="19" width="9" style="14"/>
    <col min="20" max="20" width="9.26953125" style="14" bestFit="1" customWidth="1"/>
    <col min="21" max="21" width="9" style="14"/>
    <col min="22" max="22" width="9.453125" style="14" bestFit="1" customWidth="1"/>
    <col min="23" max="23" width="11" style="14" bestFit="1" customWidth="1"/>
    <col min="24" max="24" width="9" style="14"/>
    <col min="25" max="25" width="9" style="18"/>
    <col min="26" max="26" width="44.6328125" style="18" customWidth="1"/>
    <col min="27" max="27" width="9" style="18"/>
    <col min="28" max="28" width="12.26953125" style="18" bestFit="1" customWidth="1"/>
    <col min="29" max="16384" width="9" style="14"/>
  </cols>
  <sheetData>
    <row r="1" spans="1:28" ht="23.5" thickTop="1" thickBot="1" x14ac:dyDescent="0.6">
      <c r="A1" s="298" t="s">
        <v>546</v>
      </c>
      <c r="B1" s="299"/>
      <c r="C1" s="300"/>
      <c r="G1" s="298" t="s">
        <v>548</v>
      </c>
      <c r="H1" s="299"/>
      <c r="I1" s="300"/>
      <c r="L1" s="301" t="s">
        <v>683</v>
      </c>
      <c r="M1" s="302"/>
      <c r="N1" s="303"/>
      <c r="O1" s="232"/>
      <c r="P1" s="232"/>
    </row>
    <row r="2" spans="1:28" ht="17.149999999999999" customHeight="1" thickTop="1" x14ac:dyDescent="0.45">
      <c r="A2" s="22" t="s">
        <v>529</v>
      </c>
      <c r="B2" s="15" t="s">
        <v>773</v>
      </c>
      <c r="C2" s="26"/>
      <c r="G2" s="22" t="s">
        <v>8</v>
      </c>
      <c r="H2" s="23">
        <f>IF(OR(B2 = "S1", B2 = "S2", B2 = "S3"), 1, 2)</f>
        <v>1</v>
      </c>
      <c r="I2" s="26"/>
      <c r="L2" s="254" t="s">
        <v>636</v>
      </c>
      <c r="M2" s="15" t="s">
        <v>760</v>
      </c>
      <c r="N2" s="234"/>
      <c r="P2" s="268" t="s">
        <v>547</v>
      </c>
      <c r="Q2" s="295" t="s">
        <v>761</v>
      </c>
      <c r="R2" s="295"/>
      <c r="S2" s="295"/>
      <c r="T2" s="284" t="s">
        <v>704</v>
      </c>
      <c r="U2" s="285"/>
      <c r="V2" s="285"/>
      <c r="W2" s="286"/>
      <c r="Y2" s="238" t="s">
        <v>699</v>
      </c>
      <c r="Z2" s="239" t="s">
        <v>721</v>
      </c>
      <c r="AA2" s="239" t="s">
        <v>722</v>
      </c>
      <c r="AB2" s="240" t="s">
        <v>723</v>
      </c>
    </row>
    <row r="3" spans="1:28" ht="16.5" customHeight="1" x14ac:dyDescent="0.45">
      <c r="A3" s="22" t="s">
        <v>526</v>
      </c>
      <c r="B3" s="15">
        <v>2274</v>
      </c>
      <c r="C3" s="26" t="s">
        <v>7</v>
      </c>
      <c r="D3" s="17"/>
      <c r="G3" s="22" t="s">
        <v>549</v>
      </c>
      <c r="H3" s="23">
        <f>B13 / H2</f>
        <v>84</v>
      </c>
      <c r="I3" s="26"/>
      <c r="L3" s="255" t="s">
        <v>684</v>
      </c>
      <c r="M3" s="265">
        <v>36</v>
      </c>
      <c r="N3" s="256" t="s">
        <v>685</v>
      </c>
      <c r="P3" s="269" t="s">
        <v>690</v>
      </c>
      <c r="Q3" s="293" t="s">
        <v>748</v>
      </c>
      <c r="R3" s="293"/>
      <c r="S3" s="293"/>
      <c r="T3" s="287"/>
      <c r="U3" s="288"/>
      <c r="V3" s="288"/>
      <c r="W3" s="289"/>
      <c r="Y3" s="275" t="s">
        <v>748</v>
      </c>
      <c r="Z3" s="276" t="s">
        <v>754</v>
      </c>
      <c r="AA3" s="276" t="s">
        <v>736</v>
      </c>
      <c r="AB3" s="277" t="s">
        <v>741</v>
      </c>
    </row>
    <row r="4" spans="1:28" x14ac:dyDescent="0.45">
      <c r="A4" s="22" t="s">
        <v>527</v>
      </c>
      <c r="B4" s="15">
        <v>1134</v>
      </c>
      <c r="C4" s="26" t="s">
        <v>7</v>
      </c>
      <c r="D4" s="17"/>
      <c r="G4" s="22" t="s">
        <v>550</v>
      </c>
      <c r="H4" s="23">
        <f xml:space="preserve"> B3 * H2 + (H2 - 1) * B9</f>
        <v>2274</v>
      </c>
      <c r="I4" s="26" t="s">
        <v>0</v>
      </c>
      <c r="L4" s="255" t="s">
        <v>686</v>
      </c>
      <c r="M4" s="266" t="s">
        <v>687</v>
      </c>
      <c r="N4" s="234"/>
      <c r="P4" s="269" t="s">
        <v>567</v>
      </c>
      <c r="Q4" s="293" t="s">
        <v>750</v>
      </c>
      <c r="R4" s="293"/>
      <c r="S4" s="293"/>
      <c r="T4" s="287"/>
      <c r="U4" s="288"/>
      <c r="V4" s="288"/>
      <c r="W4" s="289"/>
      <c r="Y4" s="275" t="s">
        <v>750</v>
      </c>
      <c r="Z4" s="276" t="s">
        <v>732</v>
      </c>
      <c r="AA4" s="276" t="s">
        <v>734</v>
      </c>
      <c r="AB4" s="277" t="s">
        <v>758</v>
      </c>
    </row>
    <row r="5" spans="1:28" ht="17" thickBot="1" x14ac:dyDescent="0.5">
      <c r="A5" s="22" t="s">
        <v>530</v>
      </c>
      <c r="B5" s="15">
        <v>35</v>
      </c>
      <c r="C5" s="26" t="s">
        <v>7</v>
      </c>
      <c r="D5" s="17"/>
      <c r="G5" s="22" t="s">
        <v>545</v>
      </c>
      <c r="H5" s="230">
        <f>IF((79-13.5*2-(B4-B6))&gt;10,79,B4-B6+10+13.5*2)</f>
        <v>122</v>
      </c>
      <c r="I5" s="26" t="s">
        <v>528</v>
      </c>
      <c r="L5" s="255" t="s">
        <v>688</v>
      </c>
      <c r="M5" s="265">
        <v>530</v>
      </c>
      <c r="N5" s="256" t="s">
        <v>689</v>
      </c>
      <c r="P5" s="269" t="s">
        <v>691</v>
      </c>
      <c r="Q5" s="271" t="s">
        <v>752</v>
      </c>
      <c r="R5" s="263" t="s">
        <v>695</v>
      </c>
      <c r="S5" s="271" t="s">
        <v>736</v>
      </c>
      <c r="T5" s="290"/>
      <c r="U5" s="291"/>
      <c r="V5" s="291"/>
      <c r="W5" s="292"/>
      <c r="Y5" s="278" t="s">
        <v>752</v>
      </c>
      <c r="Z5" s="279" t="s">
        <v>756</v>
      </c>
      <c r="AA5" s="279" t="s">
        <v>739</v>
      </c>
      <c r="AB5" s="280" t="s">
        <v>758</v>
      </c>
    </row>
    <row r="6" spans="1:28" ht="17.5" thickTop="1" thickBot="1" x14ac:dyDescent="0.5">
      <c r="A6" s="22" t="s">
        <v>531</v>
      </c>
      <c r="B6" s="15">
        <v>1049</v>
      </c>
      <c r="C6" s="26" t="s">
        <v>0</v>
      </c>
      <c r="D6" s="17"/>
      <c r="G6" s="22" t="s">
        <v>539</v>
      </c>
      <c r="H6" s="90">
        <f>IF(B2 = "S1", 196, IF(B2 = "S2", 254.5, IF(B2 = "S3", 254.5, IF(B2 = "D1", 189, 290))))</f>
        <v>254.5</v>
      </c>
      <c r="I6" s="26" t="s">
        <v>0</v>
      </c>
      <c r="L6" s="257" t="s">
        <v>759</v>
      </c>
      <c r="M6" s="267" t="s">
        <v>774</v>
      </c>
      <c r="N6" s="262"/>
      <c r="P6" s="269" t="s">
        <v>692</v>
      </c>
      <c r="Q6" s="271" t="s">
        <v>762</v>
      </c>
      <c r="R6" s="264" t="s">
        <v>696</v>
      </c>
      <c r="S6" s="271" t="s">
        <v>765</v>
      </c>
      <c r="T6" s="263" t="s">
        <v>697</v>
      </c>
      <c r="U6" s="271" t="s">
        <v>767</v>
      </c>
      <c r="V6" s="263" t="s">
        <v>698</v>
      </c>
      <c r="W6" s="273" t="s">
        <v>770</v>
      </c>
    </row>
    <row r="7" spans="1:28" ht="17" thickTop="1" x14ac:dyDescent="0.45">
      <c r="A7" s="22" t="s">
        <v>532</v>
      </c>
      <c r="B7" s="20">
        <v>50</v>
      </c>
      <c r="C7" s="26" t="s">
        <v>0</v>
      </c>
      <c r="D7" s="17"/>
      <c r="G7" s="22" t="s">
        <v>540</v>
      </c>
      <c r="H7" s="19">
        <f>IF(B2 = "S1", 196, IF(B2 = "S2", 192.5, IF(B2 = "S3", 192.5, IF(B2 = "D1", 189, 253))))</f>
        <v>192.5</v>
      </c>
      <c r="I7" s="26" t="s">
        <v>0</v>
      </c>
      <c r="P7" s="269" t="s">
        <v>693</v>
      </c>
      <c r="Q7" s="271" t="s">
        <v>763</v>
      </c>
      <c r="R7" s="293" t="s">
        <v>766</v>
      </c>
      <c r="S7" s="293"/>
      <c r="T7" s="264" t="s">
        <v>702</v>
      </c>
      <c r="U7" s="271" t="s">
        <v>768</v>
      </c>
      <c r="V7" s="264" t="s">
        <v>700</v>
      </c>
      <c r="W7" s="273" t="s">
        <v>771</v>
      </c>
    </row>
    <row r="8" spans="1:28" ht="17" thickBot="1" x14ac:dyDescent="0.5">
      <c r="A8" s="22" t="s">
        <v>514</v>
      </c>
      <c r="B8" s="15">
        <v>1400</v>
      </c>
      <c r="C8" s="26" t="s">
        <v>515</v>
      </c>
      <c r="D8" s="17"/>
      <c r="G8" s="87" t="s">
        <v>551</v>
      </c>
      <c r="H8" s="23">
        <f>(1 / 2 * H4) * SIN(RADIANS(B14)) + B15 - H6 - (B16 / 2 + B7) * COS(RADIANS(B14))</f>
        <v>1175.1708841029067</v>
      </c>
      <c r="I8" s="26" t="s">
        <v>10</v>
      </c>
      <c r="P8" s="270" t="s">
        <v>694</v>
      </c>
      <c r="Q8" s="272" t="s">
        <v>764</v>
      </c>
      <c r="R8" s="294"/>
      <c r="S8" s="294"/>
      <c r="T8" s="64" t="s">
        <v>703</v>
      </c>
      <c r="U8" s="272" t="s">
        <v>769</v>
      </c>
      <c r="V8" s="64" t="s">
        <v>701</v>
      </c>
      <c r="W8" s="274" t="s">
        <v>772</v>
      </c>
    </row>
    <row r="9" spans="1:28" ht="17.5" thickTop="1" thickBot="1" x14ac:dyDescent="0.5">
      <c r="A9" s="22" t="s">
        <v>534</v>
      </c>
      <c r="B9" s="15">
        <v>140</v>
      </c>
      <c r="C9" s="26" t="s">
        <v>7</v>
      </c>
      <c r="D9" s="17"/>
      <c r="G9" s="87" t="s">
        <v>552</v>
      </c>
      <c r="H9" s="23">
        <f>(1 / 2 * H4) * SIN(RADIANS(B14)) + B15 - H7 - (B16 / 2 + B7) * COS(RADIANS(B14))</f>
        <v>1237.1708841029067</v>
      </c>
      <c r="I9" s="26" t="s">
        <v>10</v>
      </c>
    </row>
    <row r="10" spans="1:28" ht="17.5" customHeight="1" thickTop="1" thickBot="1" x14ac:dyDescent="0.5">
      <c r="A10" s="22" t="s">
        <v>533</v>
      </c>
      <c r="B10" s="15">
        <v>10</v>
      </c>
      <c r="C10" s="26" t="s">
        <v>7</v>
      </c>
      <c r="G10" s="88" t="s">
        <v>553</v>
      </c>
      <c r="H10" s="32">
        <f>H8 + H6</f>
        <v>1429.6708841029067</v>
      </c>
      <c r="I10" s="33" t="s">
        <v>10</v>
      </c>
      <c r="P10" s="238" t="s">
        <v>705</v>
      </c>
      <c r="Q10" s="295" t="s">
        <v>633</v>
      </c>
      <c r="R10" s="295"/>
      <c r="S10" s="295"/>
      <c r="T10" s="284" t="s">
        <v>704</v>
      </c>
      <c r="U10" s="285"/>
      <c r="V10" s="285"/>
      <c r="W10" s="286"/>
      <c r="Y10" s="238" t="s">
        <v>718</v>
      </c>
      <c r="Z10" s="239" t="s">
        <v>724</v>
      </c>
      <c r="AA10" s="239" t="s">
        <v>725</v>
      </c>
      <c r="AB10" s="240" t="s">
        <v>726</v>
      </c>
    </row>
    <row r="11" spans="1:28" ht="17.149999999999999" customHeight="1" thickTop="1" x14ac:dyDescent="0.45">
      <c r="A11" s="22" t="s">
        <v>512</v>
      </c>
      <c r="B11" s="15">
        <v>150</v>
      </c>
      <c r="C11" s="26" t="s">
        <v>511</v>
      </c>
      <c r="P11" s="225" t="s">
        <v>706</v>
      </c>
      <c r="Q11" s="296" t="s">
        <v>727</v>
      </c>
      <c r="R11" s="297"/>
      <c r="S11" s="297"/>
      <c r="T11" s="287"/>
      <c r="U11" s="288"/>
      <c r="V11" s="288"/>
      <c r="W11" s="289"/>
      <c r="Y11" s="243" t="s">
        <v>747</v>
      </c>
      <c r="Z11" s="241" t="s">
        <v>753</v>
      </c>
      <c r="AA11" s="241" t="s">
        <v>735</v>
      </c>
      <c r="AB11" s="244" t="s">
        <v>740</v>
      </c>
    </row>
    <row r="12" spans="1:28" x14ac:dyDescent="0.45">
      <c r="A12" s="22" t="s">
        <v>513</v>
      </c>
      <c r="B12" s="15">
        <v>150</v>
      </c>
      <c r="C12" s="26" t="s">
        <v>511</v>
      </c>
      <c r="P12" s="225" t="s">
        <v>707</v>
      </c>
      <c r="Q12" s="296" t="s">
        <v>728</v>
      </c>
      <c r="R12" s="297"/>
      <c r="S12" s="297"/>
      <c r="T12" s="287"/>
      <c r="U12" s="288"/>
      <c r="V12" s="288"/>
      <c r="W12" s="289"/>
      <c r="Y12" s="243" t="s">
        <v>749</v>
      </c>
      <c r="Z12" s="241" t="s">
        <v>731</v>
      </c>
      <c r="AA12" s="241" t="s">
        <v>733</v>
      </c>
      <c r="AB12" s="244" t="s">
        <v>757</v>
      </c>
    </row>
    <row r="13" spans="1:28" ht="17" thickBot="1" x14ac:dyDescent="0.5">
      <c r="A13" s="22" t="s">
        <v>535</v>
      </c>
      <c r="B13" s="15">
        <v>84</v>
      </c>
      <c r="C13" s="26"/>
      <c r="D13" s="17"/>
      <c r="P13" s="225" t="s">
        <v>708</v>
      </c>
      <c r="Q13" s="247" t="s">
        <v>729</v>
      </c>
      <c r="R13" s="235" t="s">
        <v>712</v>
      </c>
      <c r="S13" s="249" t="s">
        <v>732</v>
      </c>
      <c r="T13" s="290"/>
      <c r="U13" s="291"/>
      <c r="V13" s="291"/>
      <c r="W13" s="292"/>
      <c r="Y13" s="245" t="s">
        <v>751</v>
      </c>
      <c r="Z13" s="242" t="s">
        <v>755</v>
      </c>
      <c r="AA13" s="242" t="s">
        <v>738</v>
      </c>
      <c r="AB13" s="246" t="s">
        <v>757</v>
      </c>
    </row>
    <row r="14" spans="1:28" ht="17" thickTop="1" x14ac:dyDescent="0.45">
      <c r="A14" s="22" t="s">
        <v>536</v>
      </c>
      <c r="B14" s="15">
        <v>60</v>
      </c>
      <c r="C14" s="26" t="s">
        <v>9</v>
      </c>
      <c r="D14" s="89" t="s">
        <v>628</v>
      </c>
      <c r="P14" s="225" t="s">
        <v>709</v>
      </c>
      <c r="Q14" s="247" t="s">
        <v>745</v>
      </c>
      <c r="R14" s="235" t="s">
        <v>713</v>
      </c>
      <c r="S14" s="249" t="s">
        <v>734</v>
      </c>
      <c r="T14" s="235" t="s">
        <v>714</v>
      </c>
      <c r="U14" s="249" t="s">
        <v>736</v>
      </c>
      <c r="V14" s="235" t="s">
        <v>717</v>
      </c>
      <c r="W14" s="250" t="s">
        <v>737</v>
      </c>
    </row>
    <row r="15" spans="1:28" x14ac:dyDescent="0.45">
      <c r="A15" s="22" t="s">
        <v>537</v>
      </c>
      <c r="B15" s="15">
        <v>500</v>
      </c>
      <c r="C15" s="26" t="s">
        <v>0</v>
      </c>
      <c r="D15" s="17"/>
      <c r="P15" s="225" t="s">
        <v>710</v>
      </c>
      <c r="Q15" s="247" t="s">
        <v>730</v>
      </c>
      <c r="R15" s="281" t="s">
        <v>746</v>
      </c>
      <c r="S15" s="282"/>
      <c r="T15" s="233" t="s">
        <v>715</v>
      </c>
      <c r="U15" s="249" t="s">
        <v>743</v>
      </c>
      <c r="V15" s="233" t="s">
        <v>720</v>
      </c>
      <c r="W15" s="250" t="s">
        <v>739</v>
      </c>
    </row>
    <row r="16" spans="1:28" ht="17" thickBot="1" x14ac:dyDescent="0.5">
      <c r="A16" s="22" t="s">
        <v>538</v>
      </c>
      <c r="B16" s="20">
        <v>120</v>
      </c>
      <c r="C16" s="26" t="s">
        <v>0</v>
      </c>
      <c r="D16" s="17"/>
      <c r="P16" s="236" t="s">
        <v>711</v>
      </c>
      <c r="Q16" s="248" t="s">
        <v>744</v>
      </c>
      <c r="R16" s="283"/>
      <c r="S16" s="283"/>
      <c r="T16" s="237" t="s">
        <v>716</v>
      </c>
      <c r="U16" s="252" t="s">
        <v>742</v>
      </c>
      <c r="V16" s="237" t="s">
        <v>719</v>
      </c>
      <c r="W16" s="251" t="s">
        <v>741</v>
      </c>
    </row>
    <row r="17" spans="1:9" ht="17" thickTop="1" x14ac:dyDescent="0.45">
      <c r="A17" s="22" t="s">
        <v>504</v>
      </c>
      <c r="B17" s="15">
        <v>380</v>
      </c>
      <c r="C17" s="26" t="s">
        <v>11</v>
      </c>
      <c r="H17" s="14"/>
      <c r="I17" s="14"/>
    </row>
    <row r="18" spans="1:9" x14ac:dyDescent="0.45">
      <c r="A18" s="22" t="s">
        <v>541</v>
      </c>
      <c r="B18" s="15">
        <v>300</v>
      </c>
      <c r="C18" s="26" t="s">
        <v>7</v>
      </c>
    </row>
    <row r="19" spans="1:9" x14ac:dyDescent="0.45">
      <c r="A19" s="22" t="s">
        <v>542</v>
      </c>
      <c r="B19" s="15">
        <v>200</v>
      </c>
      <c r="C19" s="26" t="s">
        <v>7</v>
      </c>
      <c r="D19" s="226" t="s">
        <v>629</v>
      </c>
      <c r="E19" s="21"/>
    </row>
    <row r="20" spans="1:9" x14ac:dyDescent="0.45">
      <c r="A20" s="22" t="s">
        <v>543</v>
      </c>
      <c r="B20" s="15">
        <v>1500</v>
      </c>
      <c r="C20" s="26" t="s">
        <v>7</v>
      </c>
      <c r="F20" s="14"/>
    </row>
    <row r="21" spans="1:9" ht="17" thickBot="1" x14ac:dyDescent="0.5">
      <c r="A21" s="41" t="s">
        <v>544</v>
      </c>
      <c r="B21" s="227">
        <v>0</v>
      </c>
      <c r="C21" s="33" t="s">
        <v>7</v>
      </c>
      <c r="D21" s="89" t="s">
        <v>630</v>
      </c>
      <c r="E21" s="18"/>
    </row>
    <row r="22" spans="1:9" ht="17" thickTop="1" x14ac:dyDescent="0.45"/>
  </sheetData>
  <mergeCells count="13">
    <mergeCell ref="A1:C1"/>
    <mergeCell ref="G1:I1"/>
    <mergeCell ref="Q2:S2"/>
    <mergeCell ref="L1:N1"/>
    <mergeCell ref="Q12:S12"/>
    <mergeCell ref="R15:S16"/>
    <mergeCell ref="T2:W5"/>
    <mergeCell ref="T10:W13"/>
    <mergeCell ref="Q3:S3"/>
    <mergeCell ref="Q4:S4"/>
    <mergeCell ref="R7:S8"/>
    <mergeCell ref="Q10:S10"/>
    <mergeCell ref="Q11:S11"/>
  </mergeCells>
  <phoneticPr fontId="4" type="noConversion"/>
  <conditionalFormatting sqref="B9">
    <cfRule type="expression" dxfId="10" priority="8">
      <formula>OR($B$2 = "S1", $B$2 = "S2", $B$2 = "S3")</formula>
    </cfRule>
  </conditionalFormatting>
  <conditionalFormatting sqref="B17">
    <cfRule type="expression" dxfId="9" priority="5">
      <formula>OR($B$2 = "S1", $B$2 = "D1", $B$2 = "D2")</formula>
    </cfRule>
  </conditionalFormatting>
  <conditionalFormatting sqref="B14">
    <cfRule type="expression" dxfId="8" priority="4">
      <formula>AND(OR($B$2 = "S1", $B$2 = "D1"), OR($B$14 = 55, $B$14 = 60))</formula>
    </cfRule>
  </conditionalFormatting>
  <conditionalFormatting sqref="P2:AB8">
    <cfRule type="expression" dxfId="7" priority="3">
      <formula>$M$2 = "英文"</formula>
    </cfRule>
  </conditionalFormatting>
  <conditionalFormatting sqref="P10:AB16">
    <cfRule type="expression" dxfId="6" priority="1">
      <formula>$M$2="中文"</formula>
    </cfRule>
  </conditionalFormatting>
  <dataValidations count="3">
    <dataValidation type="list" allowBlank="1" showInputMessage="1" showErrorMessage="1" sqref="B2" xr:uid="{A4A23632-9EC9-4AD8-8CE2-31390DC6C21A}">
      <formula1>"S1,S2,S3,D1,D2"</formula1>
    </dataValidation>
    <dataValidation type="list" allowBlank="1" showInputMessage="1" showErrorMessage="1" sqref="B14" xr:uid="{1C55EA4F-D03C-4894-94C2-E9FE849BB780}">
      <formula1>"45,50,55,60"</formula1>
    </dataValidation>
    <dataValidation type="list" allowBlank="1" showInputMessage="1" showErrorMessage="1" sqref="M2" xr:uid="{79182048-BD79-43DA-801B-C2687FE2E7DF}">
      <formula1>"中文,英文"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ToNext">
                <anchor moveWithCells="1" sizeWithCells="1">
                  <from>
                    <xdr:col>6</xdr:col>
                    <xdr:colOff>527050</xdr:colOff>
                    <xdr:row>18</xdr:row>
                    <xdr:rowOff>76200</xdr:rowOff>
                  </from>
                  <to>
                    <xdr:col>6</xdr:col>
                    <xdr:colOff>1555750</xdr:colOff>
                    <xdr:row>20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407"/>
  <sheetViews>
    <sheetView zoomScale="55" zoomScaleNormal="55" workbookViewId="0">
      <selection activeCell="T25" sqref="T25"/>
    </sheetView>
  </sheetViews>
  <sheetFormatPr defaultColWidth="9" defaultRowHeight="16.5" x14ac:dyDescent="0.45"/>
  <cols>
    <col min="1" max="1" width="9.453125" style="18" bestFit="1" customWidth="1"/>
    <col min="2" max="2" width="9.453125" style="13" bestFit="1" customWidth="1"/>
    <col min="3" max="3" width="19" style="223" bestFit="1" customWidth="1"/>
    <col min="4" max="4" width="9" style="223"/>
    <col min="5" max="5" width="13.90625" style="13" bestFit="1" customWidth="1"/>
    <col min="6" max="6" width="9.6328125" style="13" bestFit="1" customWidth="1"/>
    <col min="7" max="7" width="6.7265625" style="13" bestFit="1" customWidth="1"/>
    <col min="8" max="8" width="27.453125" style="13" bestFit="1" customWidth="1"/>
    <col min="9" max="9" width="9.6328125" style="223" bestFit="1" customWidth="1"/>
    <col min="10" max="11" width="9" style="223"/>
    <col min="12" max="13" width="13.7265625" style="18" bestFit="1" customWidth="1"/>
    <col min="14" max="14" width="27.26953125" style="18" bestFit="1" customWidth="1"/>
    <col min="15" max="15" width="13.7265625" style="13" bestFit="1" customWidth="1"/>
    <col min="16" max="16" width="9.453125" style="18" bestFit="1" customWidth="1"/>
    <col min="17" max="17" width="13.7265625" style="18" bestFit="1" customWidth="1"/>
    <col min="18" max="18" width="27.26953125" style="18" bestFit="1" customWidth="1"/>
    <col min="19" max="19" width="13.7265625" style="18" bestFit="1" customWidth="1"/>
    <col min="20" max="20" width="9.453125" style="18" bestFit="1" customWidth="1"/>
    <col min="21" max="21" width="14.08984375" style="18" customWidth="1"/>
    <col min="22" max="22" width="9.7265625" style="13" customWidth="1"/>
    <col min="23" max="23" width="8.6328125" style="13" customWidth="1"/>
    <col min="24" max="24" width="8.6328125" style="18" customWidth="1"/>
    <col min="25" max="25" width="7.7265625" style="18" customWidth="1"/>
    <col min="26" max="26" width="9" style="18"/>
    <col min="27" max="27" width="11.90625" style="18" customWidth="1"/>
    <col min="28" max="28" width="9.453125" style="18" customWidth="1"/>
    <col min="29" max="29" width="14.08984375" style="18" customWidth="1"/>
    <col min="30" max="30" width="9.7265625" style="18" customWidth="1"/>
    <col min="31" max="31" width="9" style="18"/>
    <col min="32" max="33" width="13.7265625" style="18" bestFit="1" customWidth="1"/>
    <col min="34" max="34" width="28.90625" style="18" bestFit="1" customWidth="1"/>
    <col min="35" max="35" width="14.90625" style="18" bestFit="1" customWidth="1"/>
    <col min="36" max="36" width="5.453125" style="18" bestFit="1" customWidth="1"/>
    <col min="37" max="37" width="8.90625" style="18" bestFit="1" customWidth="1"/>
    <col min="38" max="38" width="9.453125" style="18" bestFit="1" customWidth="1"/>
    <col min="39" max="40" width="13.7265625" style="18" bestFit="1" customWidth="1"/>
    <col min="41" max="41" width="9.453125" style="18" bestFit="1" customWidth="1"/>
    <col min="42" max="42" width="11.6328125" style="18" bestFit="1" customWidth="1"/>
    <col min="43" max="43" width="15.90625" style="18" bestFit="1" customWidth="1"/>
    <col min="44" max="44" width="18" style="18" bestFit="1" customWidth="1"/>
    <col min="45" max="45" width="13.7265625" style="18" bestFit="1" customWidth="1"/>
    <col min="46" max="47" width="9.453125" style="18" bestFit="1" customWidth="1"/>
    <col min="48" max="48" width="9" style="18"/>
    <col min="49" max="50" width="9.453125" style="43" bestFit="1" customWidth="1"/>
    <col min="51" max="51" width="9.453125" style="13" bestFit="1" customWidth="1"/>
    <col min="52" max="52" width="13.7265625" style="13" bestFit="1" customWidth="1"/>
    <col min="53" max="53" width="15.90625" style="13" bestFit="1" customWidth="1"/>
    <col min="54" max="55" width="7.6328125" style="13" bestFit="1" customWidth="1"/>
    <col min="56" max="56" width="8.36328125" style="13" customWidth="1"/>
    <col min="57" max="57" width="14.26953125" style="13" bestFit="1" customWidth="1"/>
    <col min="58" max="16384" width="9" style="18"/>
  </cols>
  <sheetData>
    <row r="1" spans="1:60" ht="227.25" customHeight="1" x14ac:dyDescent="0.45"/>
    <row r="2" spans="1:60" ht="27" customHeight="1" thickBot="1" x14ac:dyDescent="0.5"/>
    <row r="3" spans="1:60" ht="21" thickTop="1" thickBot="1" x14ac:dyDescent="0.55000000000000004">
      <c r="A3" s="304" t="s">
        <v>679</v>
      </c>
      <c r="B3" s="305"/>
      <c r="C3" s="306"/>
      <c r="E3" s="310" t="s">
        <v>555</v>
      </c>
      <c r="F3" s="311"/>
      <c r="G3" s="311"/>
      <c r="H3" s="311"/>
      <c r="I3" s="312"/>
      <c r="W3" s="313"/>
      <c r="X3" s="313"/>
      <c r="Y3" s="313"/>
      <c r="AF3" s="215"/>
      <c r="AG3" s="219">
        <v>0</v>
      </c>
      <c r="AH3" s="305" t="s">
        <v>554</v>
      </c>
      <c r="AI3" s="305"/>
      <c r="AJ3" s="306"/>
      <c r="AK3" s="215"/>
      <c r="AL3" s="314" t="s">
        <v>650</v>
      </c>
      <c r="AM3" s="315"/>
      <c r="AN3" s="315"/>
      <c r="AO3" s="315"/>
      <c r="AP3" s="315"/>
      <c r="AQ3" s="315"/>
      <c r="AR3" s="315"/>
      <c r="AS3" s="315"/>
      <c r="AT3" s="315"/>
      <c r="AU3" s="316"/>
      <c r="AW3" s="308" t="s">
        <v>596</v>
      </c>
      <c r="AX3" s="308"/>
      <c r="AY3" s="308"/>
      <c r="AZ3" s="308"/>
      <c r="BA3" s="308"/>
      <c r="BB3" s="308"/>
      <c r="BC3" s="308"/>
      <c r="BD3" s="212"/>
      <c r="BE3" s="212"/>
    </row>
    <row r="4" spans="1:60" ht="20.5" thickTop="1" x14ac:dyDescent="0.5">
      <c r="A4" s="25" t="s">
        <v>558</v>
      </c>
      <c r="B4" s="23" t="s">
        <v>559</v>
      </c>
      <c r="C4" s="26" t="s">
        <v>562</v>
      </c>
      <c r="E4" s="27" t="s">
        <v>563</v>
      </c>
      <c r="F4" s="28" t="s">
        <v>564</v>
      </c>
      <c r="G4" s="28" t="s">
        <v>565</v>
      </c>
      <c r="H4" s="28" t="s">
        <v>567</v>
      </c>
      <c r="I4" s="29" t="s">
        <v>568</v>
      </c>
      <c r="W4" s="17"/>
      <c r="X4" s="17"/>
      <c r="Y4" s="17"/>
      <c r="AF4" s="17"/>
      <c r="AG4" s="220"/>
      <c r="AH4" s="218" t="s">
        <v>557</v>
      </c>
      <c r="AI4" s="23" t="str">
        <f>IF(OR(基本参数输入!B2 = "S1", 基本参数输入!B2 = "D1", 基本参数输入!B2 = "D2"), 基本参数输入!B2, "")</f>
        <v/>
      </c>
      <c r="AJ4" s="24"/>
      <c r="AK4" s="216"/>
      <c r="AL4" s="186"/>
      <c r="AM4" s="307" t="s">
        <v>652</v>
      </c>
      <c r="AN4" s="307"/>
      <c r="AO4" s="307" t="s">
        <v>653</v>
      </c>
      <c r="AP4" s="307"/>
      <c r="AQ4" s="307"/>
      <c r="AR4" s="307"/>
      <c r="AS4" s="307"/>
      <c r="AT4" s="307" t="s">
        <v>658</v>
      </c>
      <c r="AU4" s="307"/>
      <c r="AW4" s="221" t="s">
        <v>663</v>
      </c>
      <c r="AX4" s="222">
        <f xml:space="preserve"> AI8 / AI9 + 1</f>
        <v>85</v>
      </c>
      <c r="AY4" s="23"/>
      <c r="AZ4" s="23"/>
      <c r="BA4" s="23"/>
      <c r="BB4" s="23"/>
      <c r="BC4" s="23"/>
      <c r="BD4" s="17"/>
      <c r="BE4" s="304" t="s">
        <v>556</v>
      </c>
      <c r="BF4" s="305"/>
      <c r="BG4" s="305"/>
      <c r="BH4" s="306"/>
    </row>
    <row r="5" spans="1:60" x14ac:dyDescent="0.45">
      <c r="A5" s="58">
        <v>1</v>
      </c>
      <c r="B5" s="15">
        <v>8897</v>
      </c>
      <c r="C5" s="155" t="s">
        <v>432</v>
      </c>
      <c r="E5" s="25">
        <v>1</v>
      </c>
      <c r="F5" s="15">
        <v>1984</v>
      </c>
      <c r="G5" s="15" t="s">
        <v>1</v>
      </c>
      <c r="H5" s="15" t="s">
        <v>448</v>
      </c>
      <c r="I5" s="16">
        <f xml:space="preserve"> IF(F5 = "", NA(), F5)</f>
        <v>1984</v>
      </c>
      <c r="W5" s="17"/>
      <c r="X5" s="17"/>
      <c r="Y5" s="17"/>
      <c r="AF5" s="17"/>
      <c r="AG5" s="220"/>
      <c r="AH5" s="218" t="s">
        <v>574</v>
      </c>
      <c r="AI5" s="23">
        <f>基本参数输入!B3</f>
        <v>2274</v>
      </c>
      <c r="AJ5" s="24" t="s">
        <v>0</v>
      </c>
      <c r="AK5" s="17"/>
      <c r="AL5" s="164" t="s">
        <v>651</v>
      </c>
      <c r="AM5" s="186" t="s">
        <v>560</v>
      </c>
      <c r="AN5" s="186" t="s">
        <v>561</v>
      </c>
      <c r="AO5" s="184" t="s">
        <v>654</v>
      </c>
      <c r="AP5" s="184" t="s">
        <v>655</v>
      </c>
      <c r="AQ5" s="184" t="s">
        <v>656</v>
      </c>
      <c r="AR5" s="184" t="s">
        <v>657</v>
      </c>
      <c r="AS5" s="184" t="s">
        <v>676</v>
      </c>
      <c r="AT5" s="184" t="s">
        <v>659</v>
      </c>
      <c r="AU5" s="184" t="s">
        <v>660</v>
      </c>
      <c r="AW5" s="221" t="s">
        <v>597</v>
      </c>
      <c r="AX5" s="221" t="s">
        <v>681</v>
      </c>
      <c r="AY5" s="221" t="s">
        <v>665</v>
      </c>
      <c r="AZ5" s="221" t="s">
        <v>667</v>
      </c>
      <c r="BA5" s="221" t="s">
        <v>668</v>
      </c>
      <c r="BB5" s="221" t="s">
        <v>664</v>
      </c>
      <c r="BC5" s="221" t="s">
        <v>569</v>
      </c>
      <c r="BD5" s="12"/>
      <c r="BE5" s="22" t="s">
        <v>570</v>
      </c>
      <c r="BF5" s="23" t="s">
        <v>571</v>
      </c>
      <c r="BG5" s="30" t="s">
        <v>572</v>
      </c>
      <c r="BH5" s="24" t="s">
        <v>573</v>
      </c>
    </row>
    <row r="6" spans="1:60" x14ac:dyDescent="0.45">
      <c r="A6" s="60">
        <v>2</v>
      </c>
      <c r="B6" s="15">
        <v>9994</v>
      </c>
      <c r="C6" s="155" t="s">
        <v>432</v>
      </c>
      <c r="E6" s="25">
        <v>2</v>
      </c>
      <c r="F6" s="15">
        <v>7800</v>
      </c>
      <c r="G6" s="15" t="s">
        <v>2</v>
      </c>
      <c r="H6" s="15" t="s">
        <v>448</v>
      </c>
      <c r="I6" s="16">
        <f t="shared" ref="I6:I24" si="0">IF(F6 = "", NA(), I5 + F6)</f>
        <v>9784</v>
      </c>
      <c r="W6" s="17"/>
      <c r="X6" s="17"/>
      <c r="Y6" s="17"/>
      <c r="AF6" s="17"/>
      <c r="AG6" s="220"/>
      <c r="AH6" s="218" t="s">
        <v>527</v>
      </c>
      <c r="AI6" s="23">
        <f>基本参数输入!B4</f>
        <v>1134</v>
      </c>
      <c r="AJ6" s="24" t="s">
        <v>0</v>
      </c>
      <c r="AK6" s="17"/>
      <c r="AL6" s="166">
        <v>1</v>
      </c>
      <c r="AM6" s="186">
        <f xml:space="preserve"> IF(B5 = "", "", IF(AS6 = 0, 0))</f>
        <v>0</v>
      </c>
      <c r="AN6" s="186">
        <f xml:space="preserve"> IF(B5 = "", NA(), AM6 +B5)</f>
        <v>8897</v>
      </c>
      <c r="AO6" s="181">
        <v>0</v>
      </c>
      <c r="AP6" s="181">
        <v>0</v>
      </c>
      <c r="AQ6" s="181">
        <v>0</v>
      </c>
      <c r="AR6" s="181">
        <v>0</v>
      </c>
      <c r="AS6" s="181">
        <v>0</v>
      </c>
      <c r="AT6" s="186"/>
      <c r="AU6" s="186"/>
      <c r="AW6" s="181">
        <v>1</v>
      </c>
      <c r="AX6" s="181">
        <f xml:space="preserve"> AI18 - AI11 / 2</f>
        <v>145</v>
      </c>
      <c r="AY6" s="23"/>
      <c r="AZ6" s="23">
        <v>1</v>
      </c>
      <c r="BA6" s="23"/>
      <c r="BB6" s="23">
        <f>AX6</f>
        <v>145</v>
      </c>
      <c r="BC6" s="19">
        <f>AI22</f>
        <v>1429.6708841029067</v>
      </c>
      <c r="BD6" s="12"/>
      <c r="BE6" s="25">
        <f>I5 / 2</f>
        <v>992</v>
      </c>
      <c r="BF6" s="23">
        <f>F5</f>
        <v>1984</v>
      </c>
      <c r="BG6" s="23">
        <f t="shared" ref="BG6:BG25" si="1">IF(F5 = "", NA(), I5)</f>
        <v>1984</v>
      </c>
      <c r="BH6" s="26">
        <f>IF(F5 = "", NA(), ROW(A1))</f>
        <v>1</v>
      </c>
    </row>
    <row r="7" spans="1:60" x14ac:dyDescent="0.45">
      <c r="A7" s="61">
        <v>3</v>
      </c>
      <c r="B7" s="15">
        <v>9494</v>
      </c>
      <c r="C7" s="155" t="s">
        <v>432</v>
      </c>
      <c r="E7" s="25">
        <v>3</v>
      </c>
      <c r="F7" s="15">
        <v>7100</v>
      </c>
      <c r="G7" s="15" t="s">
        <v>1</v>
      </c>
      <c r="H7" s="15" t="s">
        <v>448</v>
      </c>
      <c r="I7" s="16">
        <f t="shared" si="0"/>
        <v>16884</v>
      </c>
      <c r="W7" s="17"/>
      <c r="X7" s="17"/>
      <c r="Y7" s="17"/>
      <c r="AF7" s="17"/>
      <c r="AG7" s="220"/>
      <c r="AH7" s="218" t="s">
        <v>575</v>
      </c>
      <c r="AI7" s="23">
        <f>基本参数输入!B5</f>
        <v>35</v>
      </c>
      <c r="AJ7" s="24" t="s">
        <v>0</v>
      </c>
      <c r="AK7" s="17"/>
      <c r="AL7" s="167">
        <v>2</v>
      </c>
      <c r="AM7" s="186" t="e">
        <f xml:space="preserve"> IF(B6 = "", NA(), IF(AS7 = 0, AP7, AO7))</f>
        <v>#VALUE!</v>
      </c>
      <c r="AN7" s="213" t="e">
        <f t="shared" ref="AN7:AN19" si="2" xml:space="preserve"> IF(B6 = "", NA(), AM7 +B6)</f>
        <v>#VALUE!</v>
      </c>
      <c r="AO7" s="186">
        <f xml:space="preserve"> IF(B6 = "", NA(), AN6 + $AI$38 + $AI$39)</f>
        <v>8897</v>
      </c>
      <c r="AP7" s="186" t="e">
        <f xml:space="preserve"> IF(B6 = "", NA(), AN6 + $AI$16)</f>
        <v>#VALUE!</v>
      </c>
      <c r="AQ7" s="186">
        <f xml:space="preserve"> AO7 - $AI$39</f>
        <v>8897</v>
      </c>
      <c r="AR7" s="186" t="e">
        <f>AP7 - $AI$16 / 2</f>
        <v>#VALUE!</v>
      </c>
      <c r="AS7" s="186">
        <f xml:space="preserve"> IF($AI$4 = "D2", IFERROR(MATCH(AQ7, $AN$28:$AN$47, 0), 0), 0)</f>
        <v>0</v>
      </c>
      <c r="AT7" s="186" t="e">
        <f>IF(AS7 = 0, AR7 - $AI$23 / 2, NA())</f>
        <v>#VALUE!</v>
      </c>
      <c r="AU7" s="186" t="e">
        <f>IF(AS7 = 0, AR7 + $AI$23 / 2, NA())</f>
        <v>#VALUE!</v>
      </c>
      <c r="AW7" s="222">
        <v>2</v>
      </c>
      <c r="AX7" s="222">
        <f xml:space="preserve"> IF(AW7 &lt;= $AX$4, AX6 + $AI$6 + $AI$11, NA())</f>
        <v>1289</v>
      </c>
      <c r="AY7" s="23">
        <v>0</v>
      </c>
      <c r="AZ7" s="222">
        <f xml:space="preserve"> IF($AW$6 + ROUNDDOWN(AY7 / 3, 0) &lt; $AX$4, $AW$6 + ROUNDDOWN(AY7 / 3, 0), NA())</f>
        <v>1</v>
      </c>
      <c r="BA7" s="222">
        <f ca="1" xml:space="preserve"> OFFSET($AX$6, AZ7, , ,)</f>
        <v>1289</v>
      </c>
      <c r="BB7" s="222">
        <f ca="1" xml:space="preserve"> IF(BA7, IF(MOD(AY7, 3) = 0, BA7 - $AI$11 / 2 - $AI$6, IF(MOD(AY7, 3) = 1, BA7 - $AI$11 / 2, BA7)))</f>
        <v>150</v>
      </c>
      <c r="BC7" s="222">
        <f ca="1" xml:space="preserve"> IF(BA7, IF(MOD(AY7, 3) = 2, $AI$22, $AI$22 + 60 + 50 + 35))</f>
        <v>1574.6708841029067</v>
      </c>
      <c r="BD7" s="12"/>
      <c r="BE7" s="25">
        <f t="shared" ref="BE7:BE25" si="3" xml:space="preserve"> IF(F6 = "", NA(), I5 + F6 / 2)</f>
        <v>5884</v>
      </c>
      <c r="BF7" s="23">
        <f t="shared" ref="BF7:BF25" si="4" xml:space="preserve"> IF(F6 = "", NA(), F6)</f>
        <v>7800</v>
      </c>
      <c r="BG7" s="23">
        <f t="shared" si="1"/>
        <v>9784</v>
      </c>
      <c r="BH7" s="26">
        <f>IF(F6 = "", NA(), ROW(A2))</f>
        <v>2</v>
      </c>
    </row>
    <row r="8" spans="1:60" x14ac:dyDescent="0.45">
      <c r="A8" s="62">
        <v>4</v>
      </c>
      <c r="B8" s="15">
        <v>9094</v>
      </c>
      <c r="C8" s="155" t="s">
        <v>432</v>
      </c>
      <c r="E8" s="25">
        <v>4</v>
      </c>
      <c r="F8" s="15">
        <v>8000</v>
      </c>
      <c r="G8" s="15" t="s">
        <v>1</v>
      </c>
      <c r="H8" s="15" t="s">
        <v>448</v>
      </c>
      <c r="I8" s="16">
        <f t="shared" si="0"/>
        <v>24884</v>
      </c>
      <c r="W8" s="17"/>
      <c r="X8" s="17"/>
      <c r="Y8" s="17"/>
      <c r="AF8" s="17"/>
      <c r="AG8" s="220"/>
      <c r="AH8" s="218" t="s">
        <v>576</v>
      </c>
      <c r="AI8" s="23">
        <f>基本参数输入!B13</f>
        <v>84</v>
      </c>
      <c r="AJ8" s="24"/>
      <c r="AK8" s="17"/>
      <c r="AL8" s="168">
        <v>3</v>
      </c>
      <c r="AM8" s="213" t="e">
        <f t="shared" ref="AM8:AM19" si="5" xml:space="preserve"> IF(B7 = "", NA(), IF(AS8 = 0, AP8, AO8))</f>
        <v>#VALUE!</v>
      </c>
      <c r="AN8" s="213" t="e">
        <f t="shared" si="2"/>
        <v>#VALUE!</v>
      </c>
      <c r="AO8" s="213" t="e">
        <f t="shared" ref="AO8:AO19" si="6" xml:space="preserve"> IF(B7 = "", NA(), AN7 + $AI$38 + $AI$39)</f>
        <v>#VALUE!</v>
      </c>
      <c r="AP8" s="213" t="e">
        <f t="shared" ref="AP8:AP19" si="7" xml:space="preserve"> IF(B7 = "", NA(), AN7 + $AI$16)</f>
        <v>#VALUE!</v>
      </c>
      <c r="AQ8" s="213" t="e">
        <f t="shared" ref="AQ8:AQ19" si="8" xml:space="preserve"> AO8 - $AI$39</f>
        <v>#VALUE!</v>
      </c>
      <c r="AR8" s="213" t="e">
        <f t="shared" ref="AR8:AR19" si="9">AP8 - $AI$16 / 2</f>
        <v>#VALUE!</v>
      </c>
      <c r="AS8" s="222">
        <f t="shared" ref="AS8:AS20" si="10" xml:space="preserve"> IF($AI$4 = "D2", IFERROR(MATCH(AQ8, $AN$28:$AN$47, 0), 0), 0)</f>
        <v>0</v>
      </c>
      <c r="AT8" s="222" t="e">
        <f t="shared" ref="AT8:AT20" si="11">IF(AS8 = 0, AR8 - $AI$23 / 2, NA())</f>
        <v>#VALUE!</v>
      </c>
      <c r="AU8" s="222" t="e">
        <f t="shared" ref="AU8:AU20" si="12">IF(AS8 = 0, AR8 + $AI$23 / 2, NA())</f>
        <v>#VALUE!</v>
      </c>
      <c r="AW8" s="222">
        <v>3</v>
      </c>
      <c r="AX8" s="222">
        <f t="shared" ref="AX8:AX71" si="13" xml:space="preserve"> IF(AW8 &lt;= $AX$4, AX7 + $AI$6 + $AI$11, NA())</f>
        <v>2433</v>
      </c>
      <c r="AY8" s="23">
        <v>1</v>
      </c>
      <c r="AZ8" s="222">
        <f t="shared" ref="AZ8:AZ71" si="14" xml:space="preserve"> IF($AW$6 + ROUNDDOWN(AY8 / 3, 0) &lt; $AX$4, $AW$6 + ROUNDDOWN(AY8 / 3, 0), NA())</f>
        <v>1</v>
      </c>
      <c r="BA8" s="222">
        <f t="shared" ref="BA8:BA71" ca="1" si="15" xml:space="preserve"> OFFSET($AX$6, AZ8, , ,)</f>
        <v>1289</v>
      </c>
      <c r="BB8" s="222">
        <f t="shared" ref="BB8:BB71" ca="1" si="16" xml:space="preserve"> IF(BA8, IF(MOD(AY8, 3) = 0, BA8 - $AI$11 / 2 - $AI$6, IF(MOD(AY8, 3) = 1, BA8 - $AI$11 / 2, BA8)))</f>
        <v>1284</v>
      </c>
      <c r="BC8" s="222">
        <f t="shared" ref="BC8:BC71" ca="1" si="17" xml:space="preserve"> IF(BA8, IF(MOD(AY8, 3) = 2, $AI$22, $AI$22 + 60 + 50 + 35))</f>
        <v>1574.6708841029067</v>
      </c>
      <c r="BD8" s="12"/>
      <c r="BE8" s="25">
        <f t="shared" si="3"/>
        <v>13334</v>
      </c>
      <c r="BF8" s="23">
        <f t="shared" si="4"/>
        <v>7100</v>
      </c>
      <c r="BG8" s="23">
        <f t="shared" si="1"/>
        <v>16884</v>
      </c>
      <c r="BH8" s="26">
        <f t="shared" ref="BH8:BH25" si="18">IF(F7 = "", NA(), ROW(AH3))</f>
        <v>3</v>
      </c>
    </row>
    <row r="9" spans="1:60" x14ac:dyDescent="0.45">
      <c r="A9" s="66">
        <v>5</v>
      </c>
      <c r="B9" s="15">
        <v>9094</v>
      </c>
      <c r="C9" s="155" t="s">
        <v>432</v>
      </c>
      <c r="E9" s="25">
        <v>5</v>
      </c>
      <c r="F9" s="15">
        <v>7800</v>
      </c>
      <c r="G9" s="15" t="s">
        <v>1</v>
      </c>
      <c r="H9" s="15" t="s">
        <v>448</v>
      </c>
      <c r="I9" s="16">
        <f t="shared" si="0"/>
        <v>32684</v>
      </c>
      <c r="W9" s="17"/>
      <c r="X9" s="17"/>
      <c r="Y9" s="17"/>
      <c r="AF9" s="17"/>
      <c r="AG9" s="220"/>
      <c r="AH9" s="218" t="s">
        <v>3</v>
      </c>
      <c r="AI9" s="23">
        <f>基本参数输入!H2</f>
        <v>1</v>
      </c>
      <c r="AJ9" s="24"/>
      <c r="AK9" s="17"/>
      <c r="AL9" s="169">
        <v>4</v>
      </c>
      <c r="AM9" s="213" t="e">
        <f t="shared" si="5"/>
        <v>#VALUE!</v>
      </c>
      <c r="AN9" s="213" t="e">
        <f t="shared" si="2"/>
        <v>#VALUE!</v>
      </c>
      <c r="AO9" s="213" t="e">
        <f t="shared" si="6"/>
        <v>#VALUE!</v>
      </c>
      <c r="AP9" s="213" t="e">
        <f t="shared" si="7"/>
        <v>#VALUE!</v>
      </c>
      <c r="AQ9" s="213" t="e">
        <f t="shared" si="8"/>
        <v>#VALUE!</v>
      </c>
      <c r="AR9" s="213" t="e">
        <f t="shared" si="9"/>
        <v>#VALUE!</v>
      </c>
      <c r="AS9" s="222">
        <f t="shared" si="10"/>
        <v>0</v>
      </c>
      <c r="AT9" s="222" t="e">
        <f t="shared" si="11"/>
        <v>#VALUE!</v>
      </c>
      <c r="AU9" s="222" t="e">
        <f t="shared" si="12"/>
        <v>#VALUE!</v>
      </c>
      <c r="AW9" s="222">
        <v>4</v>
      </c>
      <c r="AX9" s="222">
        <f t="shared" si="13"/>
        <v>3577</v>
      </c>
      <c r="AY9" s="23">
        <v>2</v>
      </c>
      <c r="AZ9" s="222">
        <f t="shared" si="14"/>
        <v>1</v>
      </c>
      <c r="BA9" s="222">
        <f t="shared" ca="1" si="15"/>
        <v>1289</v>
      </c>
      <c r="BB9" s="222">
        <f t="shared" ca="1" si="16"/>
        <v>1289</v>
      </c>
      <c r="BC9" s="222">
        <f t="shared" ca="1" si="17"/>
        <v>1429.6708841029067</v>
      </c>
      <c r="BD9" s="12"/>
      <c r="BE9" s="25">
        <f t="shared" si="3"/>
        <v>20884</v>
      </c>
      <c r="BF9" s="23">
        <f t="shared" si="4"/>
        <v>8000</v>
      </c>
      <c r="BG9" s="23">
        <f t="shared" si="1"/>
        <v>24884</v>
      </c>
      <c r="BH9" s="26">
        <f t="shared" si="18"/>
        <v>4</v>
      </c>
    </row>
    <row r="10" spans="1:60" x14ac:dyDescent="0.45">
      <c r="A10" s="67">
        <v>6</v>
      </c>
      <c r="B10" s="15">
        <v>9094</v>
      </c>
      <c r="C10" s="155" t="s">
        <v>432</v>
      </c>
      <c r="E10" s="25">
        <v>6</v>
      </c>
      <c r="F10" s="15">
        <v>6900</v>
      </c>
      <c r="G10" s="15" t="s">
        <v>1</v>
      </c>
      <c r="H10" s="15" t="s">
        <v>448</v>
      </c>
      <c r="I10" s="16">
        <f t="shared" si="0"/>
        <v>39584</v>
      </c>
      <c r="W10" s="17"/>
      <c r="X10" s="17"/>
      <c r="Y10" s="17"/>
      <c r="AF10" s="17"/>
      <c r="AG10" s="220"/>
      <c r="AH10" s="218" t="s">
        <v>577</v>
      </c>
      <c r="AI10" s="23">
        <f>基本参数输入!H3</f>
        <v>84</v>
      </c>
      <c r="AJ10" s="24"/>
      <c r="AK10" s="17"/>
      <c r="AL10" s="170">
        <v>5</v>
      </c>
      <c r="AM10" s="213" t="e">
        <f t="shared" si="5"/>
        <v>#VALUE!</v>
      </c>
      <c r="AN10" s="213" t="e">
        <f t="shared" si="2"/>
        <v>#VALUE!</v>
      </c>
      <c r="AO10" s="213" t="e">
        <f t="shared" si="6"/>
        <v>#VALUE!</v>
      </c>
      <c r="AP10" s="213" t="e">
        <f t="shared" si="7"/>
        <v>#VALUE!</v>
      </c>
      <c r="AQ10" s="213" t="e">
        <f t="shared" si="8"/>
        <v>#VALUE!</v>
      </c>
      <c r="AR10" s="213" t="e">
        <f t="shared" si="9"/>
        <v>#VALUE!</v>
      </c>
      <c r="AS10" s="222">
        <f t="shared" si="10"/>
        <v>0</v>
      </c>
      <c r="AT10" s="222" t="e">
        <f t="shared" si="11"/>
        <v>#VALUE!</v>
      </c>
      <c r="AU10" s="222" t="e">
        <f t="shared" si="12"/>
        <v>#VALUE!</v>
      </c>
      <c r="AW10" s="222">
        <v>5</v>
      </c>
      <c r="AX10" s="222">
        <f t="shared" si="13"/>
        <v>4721</v>
      </c>
      <c r="AY10" s="23">
        <v>3</v>
      </c>
      <c r="AZ10" s="222">
        <f t="shared" si="14"/>
        <v>2</v>
      </c>
      <c r="BA10" s="222">
        <f t="shared" ca="1" si="15"/>
        <v>2433</v>
      </c>
      <c r="BB10" s="222">
        <f t="shared" ca="1" si="16"/>
        <v>1294</v>
      </c>
      <c r="BC10" s="222">
        <f t="shared" ca="1" si="17"/>
        <v>1574.6708841029067</v>
      </c>
      <c r="BD10" s="12"/>
      <c r="BE10" s="25">
        <f t="shared" si="3"/>
        <v>28784</v>
      </c>
      <c r="BF10" s="23">
        <f t="shared" si="4"/>
        <v>7800</v>
      </c>
      <c r="BG10" s="23">
        <f t="shared" si="1"/>
        <v>32684</v>
      </c>
      <c r="BH10" s="26">
        <f t="shared" si="18"/>
        <v>5</v>
      </c>
    </row>
    <row r="11" spans="1:60" x14ac:dyDescent="0.45">
      <c r="A11" s="68">
        <v>7</v>
      </c>
      <c r="B11" s="15">
        <v>9162</v>
      </c>
      <c r="C11" s="155" t="s">
        <v>432</v>
      </c>
      <c r="E11" s="25">
        <v>7</v>
      </c>
      <c r="F11" s="15">
        <v>6000</v>
      </c>
      <c r="G11" s="15" t="s">
        <v>2</v>
      </c>
      <c r="H11" s="15" t="s">
        <v>448</v>
      </c>
      <c r="I11" s="16">
        <f t="shared" si="0"/>
        <v>45584</v>
      </c>
      <c r="W11" s="17"/>
      <c r="X11" s="17"/>
      <c r="Y11" s="17"/>
      <c r="AF11" s="17"/>
      <c r="AG11" s="220"/>
      <c r="AH11" s="218" t="s">
        <v>578</v>
      </c>
      <c r="AI11" s="23">
        <f>基本参数输入!B10</f>
        <v>10</v>
      </c>
      <c r="AJ11" s="24" t="s">
        <v>0</v>
      </c>
      <c r="AK11" s="17"/>
      <c r="AL11" s="171">
        <v>6</v>
      </c>
      <c r="AM11" s="213" t="e">
        <f t="shared" si="5"/>
        <v>#VALUE!</v>
      </c>
      <c r="AN11" s="213" t="e">
        <f t="shared" si="2"/>
        <v>#VALUE!</v>
      </c>
      <c r="AO11" s="213" t="e">
        <f t="shared" si="6"/>
        <v>#VALUE!</v>
      </c>
      <c r="AP11" s="213" t="e">
        <f t="shared" si="7"/>
        <v>#VALUE!</v>
      </c>
      <c r="AQ11" s="213" t="e">
        <f t="shared" si="8"/>
        <v>#VALUE!</v>
      </c>
      <c r="AR11" s="213" t="e">
        <f t="shared" si="9"/>
        <v>#VALUE!</v>
      </c>
      <c r="AS11" s="222">
        <f t="shared" si="10"/>
        <v>0</v>
      </c>
      <c r="AT11" s="222" t="e">
        <f t="shared" si="11"/>
        <v>#VALUE!</v>
      </c>
      <c r="AU11" s="222" t="e">
        <f t="shared" si="12"/>
        <v>#VALUE!</v>
      </c>
      <c r="AW11" s="222">
        <v>6</v>
      </c>
      <c r="AX11" s="222">
        <f t="shared" si="13"/>
        <v>5865</v>
      </c>
      <c r="AY11" s="23">
        <v>4</v>
      </c>
      <c r="AZ11" s="222">
        <f t="shared" si="14"/>
        <v>2</v>
      </c>
      <c r="BA11" s="222">
        <f t="shared" ca="1" si="15"/>
        <v>2433</v>
      </c>
      <c r="BB11" s="222">
        <f t="shared" ca="1" si="16"/>
        <v>2428</v>
      </c>
      <c r="BC11" s="222">
        <f t="shared" ca="1" si="17"/>
        <v>1574.6708841029067</v>
      </c>
      <c r="BD11" s="12"/>
      <c r="BE11" s="25">
        <f t="shared" si="3"/>
        <v>36134</v>
      </c>
      <c r="BF11" s="23">
        <f t="shared" si="4"/>
        <v>6900</v>
      </c>
      <c r="BG11" s="23">
        <f t="shared" si="1"/>
        <v>39584</v>
      </c>
      <c r="BH11" s="26">
        <f t="shared" si="18"/>
        <v>6</v>
      </c>
    </row>
    <row r="12" spans="1:60" x14ac:dyDescent="0.45">
      <c r="A12" s="69">
        <v>8</v>
      </c>
      <c r="B12" s="15">
        <v>9094</v>
      </c>
      <c r="C12" s="155"/>
      <c r="E12" s="25">
        <v>8</v>
      </c>
      <c r="F12" s="15">
        <v>6800</v>
      </c>
      <c r="G12" s="15" t="s">
        <v>1</v>
      </c>
      <c r="H12" s="15" t="s">
        <v>448</v>
      </c>
      <c r="I12" s="16">
        <f t="shared" si="0"/>
        <v>52384</v>
      </c>
      <c r="W12" s="17"/>
      <c r="X12" s="17"/>
      <c r="Y12" s="17"/>
      <c r="AF12" s="17"/>
      <c r="AG12" s="220"/>
      <c r="AH12" s="218" t="s">
        <v>579</v>
      </c>
      <c r="AI12" s="23">
        <f>基本参数输入!B9</f>
        <v>140</v>
      </c>
      <c r="AJ12" s="24" t="s">
        <v>0</v>
      </c>
      <c r="AK12" s="17"/>
      <c r="AL12" s="172">
        <v>7</v>
      </c>
      <c r="AM12" s="213" t="e">
        <f t="shared" si="5"/>
        <v>#VALUE!</v>
      </c>
      <c r="AN12" s="213" t="e">
        <f t="shared" si="2"/>
        <v>#VALUE!</v>
      </c>
      <c r="AO12" s="213" t="e">
        <f t="shared" si="6"/>
        <v>#VALUE!</v>
      </c>
      <c r="AP12" s="213" t="e">
        <f t="shared" si="7"/>
        <v>#VALUE!</v>
      </c>
      <c r="AQ12" s="213" t="e">
        <f t="shared" si="8"/>
        <v>#VALUE!</v>
      </c>
      <c r="AR12" s="213" t="e">
        <f t="shared" si="9"/>
        <v>#VALUE!</v>
      </c>
      <c r="AS12" s="222">
        <f t="shared" si="10"/>
        <v>0</v>
      </c>
      <c r="AT12" s="222" t="e">
        <f t="shared" si="11"/>
        <v>#VALUE!</v>
      </c>
      <c r="AU12" s="222" t="e">
        <f t="shared" si="12"/>
        <v>#VALUE!</v>
      </c>
      <c r="AW12" s="222">
        <v>7</v>
      </c>
      <c r="AX12" s="222">
        <f t="shared" si="13"/>
        <v>7009</v>
      </c>
      <c r="AY12" s="23">
        <v>5</v>
      </c>
      <c r="AZ12" s="222">
        <f t="shared" si="14"/>
        <v>2</v>
      </c>
      <c r="BA12" s="222">
        <f t="shared" ca="1" si="15"/>
        <v>2433</v>
      </c>
      <c r="BB12" s="222">
        <f t="shared" ca="1" si="16"/>
        <v>2433</v>
      </c>
      <c r="BC12" s="222">
        <f t="shared" ca="1" si="17"/>
        <v>1429.6708841029067</v>
      </c>
      <c r="BD12" s="12"/>
      <c r="BE12" s="25">
        <f t="shared" si="3"/>
        <v>42584</v>
      </c>
      <c r="BF12" s="23">
        <f t="shared" si="4"/>
        <v>6000</v>
      </c>
      <c r="BG12" s="23">
        <f t="shared" si="1"/>
        <v>45584</v>
      </c>
      <c r="BH12" s="26">
        <f t="shared" si="18"/>
        <v>7</v>
      </c>
    </row>
    <row r="13" spans="1:60" x14ac:dyDescent="0.45">
      <c r="A13" s="70">
        <v>9</v>
      </c>
      <c r="B13" s="15">
        <v>9094</v>
      </c>
      <c r="C13" s="155"/>
      <c r="E13" s="25">
        <v>9</v>
      </c>
      <c r="F13" s="15">
        <v>7000</v>
      </c>
      <c r="G13" s="15" t="s">
        <v>1</v>
      </c>
      <c r="H13" s="15" t="s">
        <v>448</v>
      </c>
      <c r="I13" s="16">
        <f t="shared" si="0"/>
        <v>59384</v>
      </c>
      <c r="W13" s="17"/>
      <c r="X13" s="17"/>
      <c r="Y13" s="17"/>
      <c r="AF13" s="17"/>
      <c r="AG13" s="220"/>
      <c r="AH13" s="218" t="s">
        <v>580</v>
      </c>
      <c r="AI13" s="31">
        <v>0</v>
      </c>
      <c r="AJ13" s="24" t="s">
        <v>502</v>
      </c>
      <c r="AK13" s="17"/>
      <c r="AL13" s="173">
        <v>8</v>
      </c>
      <c r="AM13" s="213" t="e">
        <f t="shared" si="5"/>
        <v>#VALUE!</v>
      </c>
      <c r="AN13" s="213" t="e">
        <f t="shared" si="2"/>
        <v>#VALUE!</v>
      </c>
      <c r="AO13" s="213" t="e">
        <f t="shared" si="6"/>
        <v>#VALUE!</v>
      </c>
      <c r="AP13" s="213" t="e">
        <f t="shared" si="7"/>
        <v>#VALUE!</v>
      </c>
      <c r="AQ13" s="213" t="e">
        <f t="shared" si="8"/>
        <v>#VALUE!</v>
      </c>
      <c r="AR13" s="213" t="e">
        <f t="shared" si="9"/>
        <v>#VALUE!</v>
      </c>
      <c r="AS13" s="222">
        <f t="shared" si="10"/>
        <v>0</v>
      </c>
      <c r="AT13" s="222" t="e">
        <f t="shared" si="11"/>
        <v>#VALUE!</v>
      </c>
      <c r="AU13" s="222" t="e">
        <f t="shared" si="12"/>
        <v>#VALUE!</v>
      </c>
      <c r="AW13" s="222">
        <v>8</v>
      </c>
      <c r="AX13" s="222">
        <f t="shared" si="13"/>
        <v>8153</v>
      </c>
      <c r="AY13" s="23">
        <v>6</v>
      </c>
      <c r="AZ13" s="222">
        <f t="shared" si="14"/>
        <v>3</v>
      </c>
      <c r="BA13" s="222">
        <f t="shared" ca="1" si="15"/>
        <v>3577</v>
      </c>
      <c r="BB13" s="222">
        <f t="shared" ca="1" si="16"/>
        <v>2438</v>
      </c>
      <c r="BC13" s="222">
        <f t="shared" ca="1" si="17"/>
        <v>1574.6708841029067</v>
      </c>
      <c r="BD13" s="12"/>
      <c r="BE13" s="25">
        <f t="shared" si="3"/>
        <v>48984</v>
      </c>
      <c r="BF13" s="23">
        <f t="shared" si="4"/>
        <v>6800</v>
      </c>
      <c r="BG13" s="23">
        <f t="shared" si="1"/>
        <v>52384</v>
      </c>
      <c r="BH13" s="26">
        <f t="shared" si="18"/>
        <v>8</v>
      </c>
    </row>
    <row r="14" spans="1:60" x14ac:dyDescent="0.45">
      <c r="A14" s="71">
        <v>10</v>
      </c>
      <c r="B14" s="15"/>
      <c r="C14" s="155"/>
      <c r="E14" s="25">
        <v>10</v>
      </c>
      <c r="F14" s="15">
        <v>7800</v>
      </c>
      <c r="G14" s="15" t="s">
        <v>1</v>
      </c>
      <c r="H14" s="15"/>
      <c r="I14" s="16">
        <f t="shared" si="0"/>
        <v>67184</v>
      </c>
      <c r="W14" s="17"/>
      <c r="X14" s="17"/>
      <c r="Y14" s="17"/>
      <c r="AF14" s="17"/>
      <c r="AG14" s="220"/>
      <c r="AH14" s="218" t="s">
        <v>581</v>
      </c>
      <c r="AI14" s="23">
        <f>COUNTIF(G5:G24, "=fixed")</f>
        <v>3</v>
      </c>
      <c r="AJ14" s="24"/>
      <c r="AK14" s="17"/>
      <c r="AL14" s="174">
        <v>9</v>
      </c>
      <c r="AM14" s="213" t="e">
        <f t="shared" si="5"/>
        <v>#VALUE!</v>
      </c>
      <c r="AN14" s="213" t="e">
        <f t="shared" si="2"/>
        <v>#VALUE!</v>
      </c>
      <c r="AO14" s="213" t="e">
        <f t="shared" si="6"/>
        <v>#VALUE!</v>
      </c>
      <c r="AP14" s="213" t="e">
        <f t="shared" si="7"/>
        <v>#VALUE!</v>
      </c>
      <c r="AQ14" s="213" t="e">
        <f t="shared" si="8"/>
        <v>#VALUE!</v>
      </c>
      <c r="AR14" s="213" t="e">
        <f t="shared" si="9"/>
        <v>#VALUE!</v>
      </c>
      <c r="AS14" s="222">
        <f t="shared" si="10"/>
        <v>0</v>
      </c>
      <c r="AT14" s="222" t="e">
        <f t="shared" si="11"/>
        <v>#VALUE!</v>
      </c>
      <c r="AU14" s="222" t="e">
        <f t="shared" si="12"/>
        <v>#VALUE!</v>
      </c>
      <c r="AW14" s="222">
        <v>9</v>
      </c>
      <c r="AX14" s="222">
        <f t="shared" si="13"/>
        <v>9297</v>
      </c>
      <c r="AY14" s="23">
        <v>7</v>
      </c>
      <c r="AZ14" s="222">
        <f t="shared" si="14"/>
        <v>3</v>
      </c>
      <c r="BA14" s="222">
        <f t="shared" ca="1" si="15"/>
        <v>3577</v>
      </c>
      <c r="BB14" s="222">
        <f t="shared" ca="1" si="16"/>
        <v>3572</v>
      </c>
      <c r="BC14" s="222">
        <f t="shared" ca="1" si="17"/>
        <v>1574.6708841029067</v>
      </c>
      <c r="BD14" s="12"/>
      <c r="BE14" s="25">
        <f t="shared" si="3"/>
        <v>55884</v>
      </c>
      <c r="BF14" s="23">
        <f t="shared" si="4"/>
        <v>7000</v>
      </c>
      <c r="BG14" s="23">
        <f t="shared" si="1"/>
        <v>59384</v>
      </c>
      <c r="BH14" s="26">
        <f t="shared" si="18"/>
        <v>9</v>
      </c>
    </row>
    <row r="15" spans="1:60" x14ac:dyDescent="0.45">
      <c r="A15" s="72">
        <v>11</v>
      </c>
      <c r="B15" s="15"/>
      <c r="C15" s="155"/>
      <c r="E15" s="25">
        <v>11</v>
      </c>
      <c r="F15" s="15">
        <v>7800</v>
      </c>
      <c r="G15" s="15" t="s">
        <v>1</v>
      </c>
      <c r="H15" s="15"/>
      <c r="I15" s="16">
        <f t="shared" si="0"/>
        <v>74984</v>
      </c>
      <c r="W15" s="17"/>
      <c r="X15" s="17"/>
      <c r="Y15" s="17"/>
      <c r="AF15" s="17"/>
      <c r="AG15" s="220"/>
      <c r="AH15" s="218" t="s">
        <v>582</v>
      </c>
      <c r="AI15" s="23">
        <f>COUNTIF(G5:G24, "=free")</f>
        <v>10</v>
      </c>
      <c r="AJ15" s="24"/>
      <c r="AK15" s="17"/>
      <c r="AL15" s="175">
        <v>10</v>
      </c>
      <c r="AM15" s="213" t="e">
        <f t="shared" si="5"/>
        <v>#N/A</v>
      </c>
      <c r="AN15" s="213" t="e">
        <f t="shared" si="2"/>
        <v>#N/A</v>
      </c>
      <c r="AO15" s="213" t="e">
        <f t="shared" si="6"/>
        <v>#N/A</v>
      </c>
      <c r="AP15" s="213" t="e">
        <f t="shared" si="7"/>
        <v>#N/A</v>
      </c>
      <c r="AQ15" s="213" t="e">
        <f t="shared" si="8"/>
        <v>#N/A</v>
      </c>
      <c r="AR15" s="213" t="e">
        <f t="shared" si="9"/>
        <v>#N/A</v>
      </c>
      <c r="AS15" s="222">
        <f t="shared" si="10"/>
        <v>0</v>
      </c>
      <c r="AT15" s="222" t="e">
        <f t="shared" si="11"/>
        <v>#N/A</v>
      </c>
      <c r="AU15" s="222" t="e">
        <f t="shared" si="12"/>
        <v>#N/A</v>
      </c>
      <c r="AW15" s="222">
        <v>10</v>
      </c>
      <c r="AX15" s="222">
        <f t="shared" si="13"/>
        <v>10441</v>
      </c>
      <c r="AY15" s="23">
        <v>8</v>
      </c>
      <c r="AZ15" s="222">
        <f t="shared" si="14"/>
        <v>3</v>
      </c>
      <c r="BA15" s="222">
        <f t="shared" ca="1" si="15"/>
        <v>3577</v>
      </c>
      <c r="BB15" s="222">
        <f t="shared" ca="1" si="16"/>
        <v>3577</v>
      </c>
      <c r="BC15" s="222">
        <f t="shared" ca="1" si="17"/>
        <v>1429.6708841029067</v>
      </c>
      <c r="BD15" s="12"/>
      <c r="BE15" s="25">
        <f t="shared" si="3"/>
        <v>63284</v>
      </c>
      <c r="BF15" s="23">
        <f t="shared" si="4"/>
        <v>7800</v>
      </c>
      <c r="BG15" s="23">
        <f t="shared" si="1"/>
        <v>67184</v>
      </c>
      <c r="BH15" s="26">
        <f t="shared" si="18"/>
        <v>10</v>
      </c>
    </row>
    <row r="16" spans="1:60" x14ac:dyDescent="0.45">
      <c r="A16" s="73">
        <v>12</v>
      </c>
      <c r="B16" s="15"/>
      <c r="C16" s="155"/>
      <c r="E16" s="25">
        <v>12</v>
      </c>
      <c r="F16" s="15">
        <v>7300</v>
      </c>
      <c r="G16" s="15" t="s">
        <v>2</v>
      </c>
      <c r="H16" s="15"/>
      <c r="I16" s="16">
        <f t="shared" si="0"/>
        <v>82284</v>
      </c>
      <c r="W16" s="17"/>
      <c r="X16" s="17"/>
      <c r="Y16" s="17"/>
      <c r="AF16" s="17"/>
      <c r="AG16" s="220"/>
      <c r="AH16" s="218" t="s">
        <v>583</v>
      </c>
      <c r="AI16" s="23" t="str">
        <f xml:space="preserve"> IF(OR(AI4 = "S1", AI4 = "D1"), 6, IF(AI4 = "D2", 46, ""))</f>
        <v/>
      </c>
      <c r="AJ16" s="24" t="s">
        <v>0</v>
      </c>
      <c r="AK16" s="17"/>
      <c r="AL16" s="176">
        <v>11</v>
      </c>
      <c r="AM16" s="213" t="e">
        <f t="shared" si="5"/>
        <v>#N/A</v>
      </c>
      <c r="AN16" s="213" t="e">
        <f t="shared" si="2"/>
        <v>#N/A</v>
      </c>
      <c r="AO16" s="213" t="e">
        <f t="shared" si="6"/>
        <v>#N/A</v>
      </c>
      <c r="AP16" s="213" t="e">
        <f t="shared" si="7"/>
        <v>#N/A</v>
      </c>
      <c r="AQ16" s="213" t="e">
        <f t="shared" si="8"/>
        <v>#N/A</v>
      </c>
      <c r="AR16" s="213" t="e">
        <f t="shared" si="9"/>
        <v>#N/A</v>
      </c>
      <c r="AS16" s="222">
        <f t="shared" si="10"/>
        <v>0</v>
      </c>
      <c r="AT16" s="222" t="e">
        <f t="shared" si="11"/>
        <v>#N/A</v>
      </c>
      <c r="AU16" s="222" t="e">
        <f t="shared" si="12"/>
        <v>#N/A</v>
      </c>
      <c r="AW16" s="222">
        <v>11</v>
      </c>
      <c r="AX16" s="222">
        <f t="shared" si="13"/>
        <v>11585</v>
      </c>
      <c r="AY16" s="23">
        <v>9</v>
      </c>
      <c r="AZ16" s="222">
        <f t="shared" si="14"/>
        <v>4</v>
      </c>
      <c r="BA16" s="222">
        <f t="shared" ca="1" si="15"/>
        <v>4721</v>
      </c>
      <c r="BB16" s="222">
        <f t="shared" ca="1" si="16"/>
        <v>3582</v>
      </c>
      <c r="BC16" s="222">
        <f t="shared" ca="1" si="17"/>
        <v>1574.6708841029067</v>
      </c>
      <c r="BD16" s="12"/>
      <c r="BE16" s="25">
        <f t="shared" si="3"/>
        <v>71084</v>
      </c>
      <c r="BF16" s="23">
        <f t="shared" si="4"/>
        <v>7800</v>
      </c>
      <c r="BG16" s="23">
        <f t="shared" si="1"/>
        <v>74984</v>
      </c>
      <c r="BH16" s="26">
        <f t="shared" si="18"/>
        <v>11</v>
      </c>
    </row>
    <row r="17" spans="1:60" x14ac:dyDescent="0.45">
      <c r="A17" s="74">
        <v>13</v>
      </c>
      <c r="B17" s="15"/>
      <c r="C17" s="155"/>
      <c r="E17" s="25">
        <v>13</v>
      </c>
      <c r="F17" s="15">
        <v>7700</v>
      </c>
      <c r="G17" s="15" t="s">
        <v>1</v>
      </c>
      <c r="H17" s="15"/>
      <c r="I17" s="16">
        <f t="shared" si="0"/>
        <v>89984</v>
      </c>
      <c r="W17" s="17"/>
      <c r="X17" s="17"/>
      <c r="Y17" s="17"/>
      <c r="AF17" s="17"/>
      <c r="AG17" s="220"/>
      <c r="AH17" s="218" t="s">
        <v>584</v>
      </c>
      <c r="AI17" s="23">
        <f>COUNT(B5:B19)</f>
        <v>9</v>
      </c>
      <c r="AJ17" s="24"/>
      <c r="AK17" s="17"/>
      <c r="AL17" s="177">
        <v>12</v>
      </c>
      <c r="AM17" s="213" t="e">
        <f t="shared" si="5"/>
        <v>#N/A</v>
      </c>
      <c r="AN17" s="213" t="e">
        <f t="shared" si="2"/>
        <v>#N/A</v>
      </c>
      <c r="AO17" s="213" t="e">
        <f t="shared" si="6"/>
        <v>#N/A</v>
      </c>
      <c r="AP17" s="213" t="e">
        <f t="shared" si="7"/>
        <v>#N/A</v>
      </c>
      <c r="AQ17" s="213" t="e">
        <f t="shared" si="8"/>
        <v>#N/A</v>
      </c>
      <c r="AR17" s="213" t="e">
        <f t="shared" si="9"/>
        <v>#N/A</v>
      </c>
      <c r="AS17" s="222">
        <f t="shared" si="10"/>
        <v>0</v>
      </c>
      <c r="AT17" s="222" t="e">
        <f t="shared" si="11"/>
        <v>#N/A</v>
      </c>
      <c r="AU17" s="222" t="e">
        <f t="shared" si="12"/>
        <v>#N/A</v>
      </c>
      <c r="AW17" s="222">
        <v>12</v>
      </c>
      <c r="AX17" s="222">
        <f t="shared" si="13"/>
        <v>12729</v>
      </c>
      <c r="AY17" s="23">
        <v>10</v>
      </c>
      <c r="AZ17" s="222">
        <f t="shared" si="14"/>
        <v>4</v>
      </c>
      <c r="BA17" s="222">
        <f t="shared" ca="1" si="15"/>
        <v>4721</v>
      </c>
      <c r="BB17" s="222">
        <f t="shared" ca="1" si="16"/>
        <v>4716</v>
      </c>
      <c r="BC17" s="222">
        <f t="shared" ca="1" si="17"/>
        <v>1574.6708841029067</v>
      </c>
      <c r="BD17" s="12"/>
      <c r="BE17" s="25">
        <f t="shared" si="3"/>
        <v>78634</v>
      </c>
      <c r="BF17" s="23">
        <f t="shared" si="4"/>
        <v>7300</v>
      </c>
      <c r="BG17" s="23">
        <f t="shared" si="1"/>
        <v>82284</v>
      </c>
      <c r="BH17" s="26">
        <f t="shared" si="18"/>
        <v>12</v>
      </c>
    </row>
    <row r="18" spans="1:60" x14ac:dyDescent="0.45">
      <c r="A18" s="210">
        <v>14</v>
      </c>
      <c r="B18" s="15"/>
      <c r="C18" s="155"/>
      <c r="E18" s="25">
        <v>14</v>
      </c>
      <c r="F18" s="15"/>
      <c r="G18" s="15"/>
      <c r="H18" s="15"/>
      <c r="I18" s="16" t="e">
        <f t="shared" si="0"/>
        <v>#N/A</v>
      </c>
      <c r="W18" s="17"/>
      <c r="X18" s="17"/>
      <c r="Y18" s="17"/>
      <c r="AF18" s="17"/>
      <c r="AG18" s="220"/>
      <c r="AH18" s="218" t="s">
        <v>585</v>
      </c>
      <c r="AI18" s="23">
        <f>基本参数输入!B11</f>
        <v>150</v>
      </c>
      <c r="AJ18" s="24" t="s">
        <v>0</v>
      </c>
      <c r="AK18" s="17"/>
      <c r="AL18" s="178">
        <v>13</v>
      </c>
      <c r="AM18" s="213" t="e">
        <f t="shared" si="5"/>
        <v>#N/A</v>
      </c>
      <c r="AN18" s="213" t="e">
        <f t="shared" si="2"/>
        <v>#N/A</v>
      </c>
      <c r="AO18" s="213" t="e">
        <f t="shared" si="6"/>
        <v>#N/A</v>
      </c>
      <c r="AP18" s="213" t="e">
        <f t="shared" si="7"/>
        <v>#N/A</v>
      </c>
      <c r="AQ18" s="213" t="e">
        <f t="shared" si="8"/>
        <v>#N/A</v>
      </c>
      <c r="AR18" s="213" t="e">
        <f t="shared" si="9"/>
        <v>#N/A</v>
      </c>
      <c r="AS18" s="222">
        <f t="shared" si="10"/>
        <v>0</v>
      </c>
      <c r="AT18" s="222" t="e">
        <f t="shared" si="11"/>
        <v>#N/A</v>
      </c>
      <c r="AU18" s="222" t="e">
        <f t="shared" si="12"/>
        <v>#N/A</v>
      </c>
      <c r="AW18" s="222">
        <v>13</v>
      </c>
      <c r="AX18" s="222">
        <f t="shared" si="13"/>
        <v>13873</v>
      </c>
      <c r="AY18" s="23">
        <v>11</v>
      </c>
      <c r="AZ18" s="222">
        <f t="shared" si="14"/>
        <v>4</v>
      </c>
      <c r="BA18" s="222">
        <f t="shared" ca="1" si="15"/>
        <v>4721</v>
      </c>
      <c r="BB18" s="222">
        <f t="shared" ca="1" si="16"/>
        <v>4721</v>
      </c>
      <c r="BC18" s="222">
        <f t="shared" ca="1" si="17"/>
        <v>1429.6708841029067</v>
      </c>
      <c r="BD18" s="12"/>
      <c r="BE18" s="25">
        <f t="shared" si="3"/>
        <v>86134</v>
      </c>
      <c r="BF18" s="23">
        <f t="shared" si="4"/>
        <v>7700</v>
      </c>
      <c r="BG18" s="23">
        <f t="shared" si="1"/>
        <v>89984</v>
      </c>
      <c r="BH18" s="26">
        <f t="shared" si="18"/>
        <v>13</v>
      </c>
    </row>
    <row r="19" spans="1:60" ht="17" thickBot="1" x14ac:dyDescent="0.5">
      <c r="A19" s="211">
        <v>15</v>
      </c>
      <c r="B19" s="32" t="e">
        <f xml:space="preserve"> IF(OR(AI4 = "S1", AI4 = "D1"), AI21 - SUM(B5:B18) - COUNT(B5:B18) * AI16,  AI21 - SUM(B5:B18) - COUNT(B5:B18) * AI16 - AI14 * (AI38 + AI39 - AI16))</f>
        <v>#VALUE!</v>
      </c>
      <c r="C19" s="156" t="s">
        <v>432</v>
      </c>
      <c r="E19" s="25">
        <v>15</v>
      </c>
      <c r="F19" s="15"/>
      <c r="G19" s="15"/>
      <c r="H19" s="15"/>
      <c r="I19" s="16" t="e">
        <f t="shared" si="0"/>
        <v>#N/A</v>
      </c>
      <c r="W19" s="17"/>
      <c r="X19" s="17"/>
      <c r="Y19" s="17"/>
      <c r="AF19" s="17"/>
      <c r="AG19" s="220"/>
      <c r="AH19" s="218" t="s">
        <v>586</v>
      </c>
      <c r="AI19" s="23">
        <f>基本参数输入!B12</f>
        <v>150</v>
      </c>
      <c r="AJ19" s="24" t="s">
        <v>0</v>
      </c>
      <c r="AK19" s="17"/>
      <c r="AL19" s="179">
        <v>14</v>
      </c>
      <c r="AM19" s="213" t="e">
        <f t="shared" si="5"/>
        <v>#N/A</v>
      </c>
      <c r="AN19" s="213" t="e">
        <f t="shared" si="2"/>
        <v>#N/A</v>
      </c>
      <c r="AO19" s="213" t="e">
        <f t="shared" si="6"/>
        <v>#N/A</v>
      </c>
      <c r="AP19" s="213" t="e">
        <f t="shared" si="7"/>
        <v>#N/A</v>
      </c>
      <c r="AQ19" s="213" t="e">
        <f t="shared" si="8"/>
        <v>#N/A</v>
      </c>
      <c r="AR19" s="213" t="e">
        <f t="shared" si="9"/>
        <v>#N/A</v>
      </c>
      <c r="AS19" s="222">
        <f t="shared" si="10"/>
        <v>0</v>
      </c>
      <c r="AT19" s="222" t="e">
        <f t="shared" si="11"/>
        <v>#N/A</v>
      </c>
      <c r="AU19" s="222" t="e">
        <f t="shared" si="12"/>
        <v>#N/A</v>
      </c>
      <c r="AW19" s="222">
        <v>14</v>
      </c>
      <c r="AX19" s="222">
        <f t="shared" si="13"/>
        <v>15017</v>
      </c>
      <c r="AY19" s="23">
        <v>12</v>
      </c>
      <c r="AZ19" s="222">
        <f t="shared" si="14"/>
        <v>5</v>
      </c>
      <c r="BA19" s="222">
        <f t="shared" ca="1" si="15"/>
        <v>5865</v>
      </c>
      <c r="BB19" s="222">
        <f t="shared" ca="1" si="16"/>
        <v>4726</v>
      </c>
      <c r="BC19" s="222">
        <f t="shared" ca="1" si="17"/>
        <v>1574.6708841029067</v>
      </c>
      <c r="BD19" s="12"/>
      <c r="BE19" s="25" t="e">
        <f t="shared" si="3"/>
        <v>#N/A</v>
      </c>
      <c r="BF19" s="23" t="e">
        <f t="shared" si="4"/>
        <v>#N/A</v>
      </c>
      <c r="BG19" s="23" t="e">
        <f t="shared" si="1"/>
        <v>#N/A</v>
      </c>
      <c r="BH19" s="26" t="e">
        <f t="shared" si="18"/>
        <v>#N/A</v>
      </c>
    </row>
    <row r="20" spans="1:60" ht="17" thickTop="1" x14ac:dyDescent="0.45">
      <c r="A20" s="13"/>
      <c r="E20" s="25">
        <v>16</v>
      </c>
      <c r="F20" s="15"/>
      <c r="G20" s="15"/>
      <c r="H20" s="15"/>
      <c r="I20" s="16" t="e">
        <f t="shared" si="0"/>
        <v>#N/A</v>
      </c>
      <c r="W20" s="17"/>
      <c r="X20" s="17"/>
      <c r="Y20" s="17"/>
      <c r="AF20" s="13"/>
      <c r="AG20" s="13"/>
      <c r="AH20" s="22" t="s">
        <v>587</v>
      </c>
      <c r="AI20" s="23">
        <f xml:space="preserve"> AI6 * AI10 + AI11 * (AI10 - 1)</f>
        <v>96086</v>
      </c>
      <c r="AJ20" s="24" t="s">
        <v>0</v>
      </c>
      <c r="AK20" s="17"/>
      <c r="AL20" s="180">
        <v>15</v>
      </c>
      <c r="AM20" s="181" t="e">
        <f>AN20 - B19</f>
        <v>#VALUE!</v>
      </c>
      <c r="AN20" s="181">
        <f>AI21</f>
        <v>96386</v>
      </c>
      <c r="AO20" s="187" t="s">
        <v>648</v>
      </c>
      <c r="AP20" s="187" t="s">
        <v>648</v>
      </c>
      <c r="AQ20" s="181" t="e">
        <f xml:space="preserve"> AM20 - AI39</f>
        <v>#VALUE!</v>
      </c>
      <c r="AR20" s="181" t="e">
        <f xml:space="preserve"> AM20 - AI16 / 2</f>
        <v>#VALUE!</v>
      </c>
      <c r="AS20" s="222">
        <f t="shared" si="10"/>
        <v>0</v>
      </c>
      <c r="AT20" s="222" t="e">
        <f t="shared" si="11"/>
        <v>#VALUE!</v>
      </c>
      <c r="AU20" s="222" t="e">
        <f t="shared" si="12"/>
        <v>#VALUE!</v>
      </c>
      <c r="AW20" s="222">
        <v>15</v>
      </c>
      <c r="AX20" s="222">
        <f t="shared" si="13"/>
        <v>16161</v>
      </c>
      <c r="AY20" s="23">
        <v>13</v>
      </c>
      <c r="AZ20" s="222">
        <f t="shared" si="14"/>
        <v>5</v>
      </c>
      <c r="BA20" s="222">
        <f t="shared" ca="1" si="15"/>
        <v>5865</v>
      </c>
      <c r="BB20" s="222">
        <f t="shared" ca="1" si="16"/>
        <v>5860</v>
      </c>
      <c r="BC20" s="222">
        <f t="shared" ca="1" si="17"/>
        <v>1574.6708841029067</v>
      </c>
      <c r="BD20" s="12"/>
      <c r="BE20" s="25" t="e">
        <f t="shared" si="3"/>
        <v>#N/A</v>
      </c>
      <c r="BF20" s="23" t="e">
        <f t="shared" si="4"/>
        <v>#N/A</v>
      </c>
      <c r="BG20" s="23" t="e">
        <f t="shared" si="1"/>
        <v>#N/A</v>
      </c>
      <c r="BH20" s="26" t="e">
        <f t="shared" si="18"/>
        <v>#N/A</v>
      </c>
    </row>
    <row r="21" spans="1:60" x14ac:dyDescent="0.45">
      <c r="A21" s="13"/>
      <c r="E21" s="25">
        <v>17</v>
      </c>
      <c r="F21" s="15"/>
      <c r="G21" s="15"/>
      <c r="H21" s="15"/>
      <c r="I21" s="16" t="e">
        <f t="shared" si="0"/>
        <v>#N/A</v>
      </c>
      <c r="W21" s="17"/>
      <c r="X21" s="17"/>
      <c r="Y21" s="17"/>
      <c r="AF21" s="13"/>
      <c r="AG21" s="13"/>
      <c r="AH21" s="22" t="s">
        <v>588</v>
      </c>
      <c r="AI21" s="23">
        <f>AI20 + AI18 + AI19</f>
        <v>96386</v>
      </c>
      <c r="AJ21" s="24" t="s">
        <v>0</v>
      </c>
      <c r="AK21" s="17"/>
      <c r="AL21" s="17"/>
      <c r="AM21" s="17"/>
      <c r="AN21" s="17"/>
      <c r="AO21" s="17"/>
      <c r="AP21" s="17"/>
      <c r="AW21" s="222">
        <v>16</v>
      </c>
      <c r="AX21" s="222">
        <f t="shared" si="13"/>
        <v>17305</v>
      </c>
      <c r="AY21" s="23">
        <v>14</v>
      </c>
      <c r="AZ21" s="222">
        <f t="shared" si="14"/>
        <v>5</v>
      </c>
      <c r="BA21" s="222">
        <f t="shared" ca="1" si="15"/>
        <v>5865</v>
      </c>
      <c r="BB21" s="222">
        <f t="shared" ca="1" si="16"/>
        <v>5865</v>
      </c>
      <c r="BC21" s="222">
        <f t="shared" ca="1" si="17"/>
        <v>1429.6708841029067</v>
      </c>
      <c r="BD21" s="12"/>
      <c r="BE21" s="25" t="e">
        <f t="shared" si="3"/>
        <v>#N/A</v>
      </c>
      <c r="BF21" s="23" t="e">
        <f t="shared" si="4"/>
        <v>#N/A</v>
      </c>
      <c r="BG21" s="23" t="e">
        <f t="shared" si="1"/>
        <v>#N/A</v>
      </c>
      <c r="BH21" s="26" t="e">
        <f t="shared" si="18"/>
        <v>#N/A</v>
      </c>
    </row>
    <row r="22" spans="1:60" x14ac:dyDescent="0.45">
      <c r="A22" s="13"/>
      <c r="E22" s="25">
        <v>18</v>
      </c>
      <c r="F22" s="15"/>
      <c r="G22" s="15"/>
      <c r="H22" s="15"/>
      <c r="I22" s="16" t="e">
        <f t="shared" si="0"/>
        <v>#N/A</v>
      </c>
      <c r="W22" s="17"/>
      <c r="X22" s="17"/>
      <c r="Y22" s="17"/>
      <c r="AF22" s="13"/>
      <c r="AG22" s="13"/>
      <c r="AH22" s="22" t="s">
        <v>589</v>
      </c>
      <c r="AI22" s="23">
        <f>基本参数输入!H10</f>
        <v>1429.6708841029067</v>
      </c>
      <c r="AJ22" s="24" t="s">
        <v>0</v>
      </c>
      <c r="AK22" s="17"/>
      <c r="AL22" s="17"/>
      <c r="AM22" s="17"/>
      <c r="AN22" s="17"/>
      <c r="AO22" s="17"/>
      <c r="AP22" s="17"/>
      <c r="AW22" s="222">
        <v>17</v>
      </c>
      <c r="AX22" s="222">
        <f t="shared" si="13"/>
        <v>18449</v>
      </c>
      <c r="AY22" s="23">
        <v>15</v>
      </c>
      <c r="AZ22" s="222">
        <f t="shared" si="14"/>
        <v>6</v>
      </c>
      <c r="BA22" s="222">
        <f t="shared" ca="1" si="15"/>
        <v>7009</v>
      </c>
      <c r="BB22" s="222">
        <f t="shared" ca="1" si="16"/>
        <v>5870</v>
      </c>
      <c r="BC22" s="222">
        <f t="shared" ca="1" si="17"/>
        <v>1574.6708841029067</v>
      </c>
      <c r="BD22" s="12"/>
      <c r="BE22" s="25" t="e">
        <f t="shared" si="3"/>
        <v>#N/A</v>
      </c>
      <c r="BF22" s="23" t="e">
        <f t="shared" si="4"/>
        <v>#N/A</v>
      </c>
      <c r="BG22" s="23" t="e">
        <f t="shared" si="1"/>
        <v>#N/A</v>
      </c>
      <c r="BH22" s="26" t="e">
        <f t="shared" si="18"/>
        <v>#N/A</v>
      </c>
    </row>
    <row r="23" spans="1:60" x14ac:dyDescent="0.45">
      <c r="A23" s="13"/>
      <c r="E23" s="25">
        <v>19</v>
      </c>
      <c r="F23" s="15"/>
      <c r="G23" s="15"/>
      <c r="H23" s="15"/>
      <c r="I23" s="16" t="e">
        <f t="shared" si="0"/>
        <v>#N/A</v>
      </c>
      <c r="W23" s="17"/>
      <c r="X23" s="17"/>
      <c r="Y23" s="17"/>
      <c r="AF23" s="13"/>
      <c r="AG23" s="13"/>
      <c r="AH23" s="22" t="s">
        <v>590</v>
      </c>
      <c r="AI23" s="23">
        <f>基本参数输入!B18</f>
        <v>300</v>
      </c>
      <c r="AJ23" s="24" t="s">
        <v>4</v>
      </c>
      <c r="AK23" s="17"/>
      <c r="AL23" s="17"/>
      <c r="AM23" s="17"/>
      <c r="AN23" s="17"/>
      <c r="AO23" s="17"/>
      <c r="AP23" s="17"/>
      <c r="AW23" s="222">
        <v>18</v>
      </c>
      <c r="AX23" s="222">
        <f t="shared" si="13"/>
        <v>19593</v>
      </c>
      <c r="AY23" s="23">
        <v>16</v>
      </c>
      <c r="AZ23" s="222">
        <f t="shared" si="14"/>
        <v>6</v>
      </c>
      <c r="BA23" s="222">
        <f t="shared" ca="1" si="15"/>
        <v>7009</v>
      </c>
      <c r="BB23" s="222">
        <f t="shared" ca="1" si="16"/>
        <v>7004</v>
      </c>
      <c r="BC23" s="222">
        <f t="shared" ca="1" si="17"/>
        <v>1574.6708841029067</v>
      </c>
      <c r="BD23" s="12"/>
      <c r="BE23" s="25" t="e">
        <f t="shared" si="3"/>
        <v>#N/A</v>
      </c>
      <c r="BF23" s="23" t="e">
        <f t="shared" si="4"/>
        <v>#N/A</v>
      </c>
      <c r="BG23" s="23" t="e">
        <f t="shared" si="1"/>
        <v>#N/A</v>
      </c>
      <c r="BH23" s="26" t="e">
        <f t="shared" si="18"/>
        <v>#N/A</v>
      </c>
    </row>
    <row r="24" spans="1:60" x14ac:dyDescent="0.45">
      <c r="A24" s="13"/>
      <c r="E24" s="25">
        <v>20</v>
      </c>
      <c r="F24" s="15"/>
      <c r="G24" s="15"/>
      <c r="H24" s="15"/>
      <c r="I24" s="16" t="e">
        <f t="shared" si="0"/>
        <v>#N/A</v>
      </c>
      <c r="W24" s="17"/>
      <c r="X24" s="17"/>
      <c r="Y24" s="17"/>
      <c r="AF24" s="13"/>
      <c r="AG24" s="13"/>
      <c r="AH24" s="22" t="s">
        <v>591</v>
      </c>
      <c r="AI24" s="23">
        <f>基本参数输入!B14</f>
        <v>60</v>
      </c>
      <c r="AJ24" s="24" t="s">
        <v>503</v>
      </c>
      <c r="AK24" s="17"/>
      <c r="AL24" s="17"/>
      <c r="AM24" s="17"/>
      <c r="AN24" s="17"/>
      <c r="AO24" s="17"/>
      <c r="AP24" s="17"/>
      <c r="AW24" s="222">
        <v>19</v>
      </c>
      <c r="AX24" s="222">
        <f t="shared" si="13"/>
        <v>20737</v>
      </c>
      <c r="AY24" s="23">
        <v>17</v>
      </c>
      <c r="AZ24" s="222">
        <f t="shared" si="14"/>
        <v>6</v>
      </c>
      <c r="BA24" s="222">
        <f t="shared" ca="1" si="15"/>
        <v>7009</v>
      </c>
      <c r="BB24" s="222">
        <f t="shared" ca="1" si="16"/>
        <v>7009</v>
      </c>
      <c r="BC24" s="222">
        <f t="shared" ca="1" si="17"/>
        <v>1429.6708841029067</v>
      </c>
      <c r="BD24" s="12"/>
      <c r="BE24" s="25" t="e">
        <f t="shared" si="3"/>
        <v>#N/A</v>
      </c>
      <c r="BF24" s="23" t="e">
        <f t="shared" si="4"/>
        <v>#N/A</v>
      </c>
      <c r="BG24" s="23" t="e">
        <f t="shared" si="1"/>
        <v>#N/A</v>
      </c>
      <c r="BH24" s="26" t="e">
        <f t="shared" si="18"/>
        <v>#N/A</v>
      </c>
    </row>
    <row r="25" spans="1:60" ht="17" thickBot="1" x14ac:dyDescent="0.5">
      <c r="A25" s="13"/>
      <c r="E25" s="34" t="s">
        <v>593</v>
      </c>
      <c r="F25" s="32">
        <f>AI21 - SUM(F5:F24)</f>
        <v>6402</v>
      </c>
      <c r="G25" s="35"/>
      <c r="H25" s="35"/>
      <c r="I25" s="36"/>
      <c r="W25" s="17"/>
      <c r="X25" s="89"/>
      <c r="Y25" s="89"/>
      <c r="AF25" s="13"/>
      <c r="AG25" s="13"/>
      <c r="AH25" s="22" t="s">
        <v>592</v>
      </c>
      <c r="AI25" s="31">
        <v>0</v>
      </c>
      <c r="AJ25" s="24" t="s">
        <v>502</v>
      </c>
      <c r="AK25" s="17"/>
      <c r="AL25" s="17"/>
      <c r="AM25" s="17"/>
      <c r="AN25" s="17"/>
      <c r="AO25" s="17"/>
      <c r="AP25" s="17"/>
      <c r="AW25" s="222">
        <v>20</v>
      </c>
      <c r="AX25" s="222">
        <f t="shared" si="13"/>
        <v>21881</v>
      </c>
      <c r="AY25" s="23">
        <v>18</v>
      </c>
      <c r="AZ25" s="222">
        <f t="shared" si="14"/>
        <v>7</v>
      </c>
      <c r="BA25" s="222">
        <f t="shared" ca="1" si="15"/>
        <v>8153</v>
      </c>
      <c r="BB25" s="222">
        <f t="shared" ca="1" si="16"/>
        <v>7014</v>
      </c>
      <c r="BC25" s="222">
        <f t="shared" ca="1" si="17"/>
        <v>1574.6708841029067</v>
      </c>
      <c r="BD25" s="89"/>
      <c r="BE25" s="25" t="e">
        <f t="shared" si="3"/>
        <v>#N/A</v>
      </c>
      <c r="BF25" s="23" t="e">
        <f t="shared" si="4"/>
        <v>#N/A</v>
      </c>
      <c r="BG25" s="23" t="e">
        <f t="shared" si="1"/>
        <v>#N/A</v>
      </c>
      <c r="BH25" s="26" t="e">
        <f t="shared" si="18"/>
        <v>#N/A</v>
      </c>
    </row>
    <row r="26" spans="1:60" ht="17" thickTop="1" x14ac:dyDescent="0.45">
      <c r="AH26" s="22" t="s">
        <v>594</v>
      </c>
      <c r="AI26" s="23">
        <f>基本参数输入!B19</f>
        <v>200</v>
      </c>
      <c r="AJ26" s="24" t="s">
        <v>5</v>
      </c>
      <c r="AK26" s="17"/>
      <c r="AL26" s="307" t="s">
        <v>608</v>
      </c>
      <c r="AM26" s="307"/>
      <c r="AN26" s="307"/>
      <c r="AO26" s="307"/>
      <c r="AP26" s="307"/>
      <c r="AQ26" s="307"/>
      <c r="AW26" s="222">
        <v>21</v>
      </c>
      <c r="AX26" s="222">
        <f t="shared" si="13"/>
        <v>23025</v>
      </c>
      <c r="AY26" s="23">
        <v>19</v>
      </c>
      <c r="AZ26" s="222">
        <f t="shared" si="14"/>
        <v>7</v>
      </c>
      <c r="BA26" s="222">
        <f t="shared" ca="1" si="15"/>
        <v>8153</v>
      </c>
      <c r="BB26" s="222">
        <f t="shared" ca="1" si="16"/>
        <v>8148</v>
      </c>
      <c r="BC26" s="222">
        <f t="shared" ca="1" si="17"/>
        <v>1574.6708841029067</v>
      </c>
      <c r="BE26" s="25">
        <f>SUM(F5:F24) + F25 / 2</f>
        <v>93185</v>
      </c>
      <c r="BF26" s="23">
        <f>F25</f>
        <v>6402</v>
      </c>
      <c r="BG26" s="23">
        <f>AI21</f>
        <v>96386</v>
      </c>
      <c r="BH26" s="26"/>
    </row>
    <row r="27" spans="1:60" ht="22.5" customHeight="1" thickBot="1" x14ac:dyDescent="0.55000000000000004">
      <c r="E27" s="215"/>
      <c r="F27" s="215"/>
      <c r="G27" s="215"/>
      <c r="H27" s="215"/>
      <c r="S27" s="38"/>
      <c r="T27" s="38"/>
      <c r="U27" s="38"/>
      <c r="V27" s="38"/>
      <c r="W27" s="38"/>
      <c r="X27" s="39"/>
      <c r="Y27" s="39"/>
      <c r="Z27" s="38"/>
      <c r="AA27" s="38"/>
      <c r="AB27" s="38"/>
      <c r="AC27" s="38"/>
      <c r="AH27" s="22" t="s">
        <v>537</v>
      </c>
      <c r="AI27" s="23">
        <f>基本参数输入!B15</f>
        <v>500</v>
      </c>
      <c r="AJ27" s="24" t="s">
        <v>502</v>
      </c>
      <c r="AK27" s="17"/>
      <c r="AL27" s="222"/>
      <c r="AM27" s="222"/>
      <c r="AN27" s="221" t="s">
        <v>664</v>
      </c>
      <c r="AO27" s="307" t="s">
        <v>569</v>
      </c>
      <c r="AP27" s="307"/>
      <c r="AQ27" s="307"/>
      <c r="AW27" s="222">
        <v>22</v>
      </c>
      <c r="AX27" s="222">
        <f t="shared" si="13"/>
        <v>24169</v>
      </c>
      <c r="AY27" s="23">
        <v>20</v>
      </c>
      <c r="AZ27" s="222">
        <f t="shared" si="14"/>
        <v>7</v>
      </c>
      <c r="BA27" s="222">
        <f t="shared" ca="1" si="15"/>
        <v>8153</v>
      </c>
      <c r="BB27" s="222">
        <f t="shared" ca="1" si="16"/>
        <v>8153</v>
      </c>
      <c r="BC27" s="222">
        <f t="shared" ca="1" si="17"/>
        <v>1429.6708841029067</v>
      </c>
      <c r="BD27" s="215"/>
      <c r="BE27" s="34">
        <f>AI21</f>
        <v>96386</v>
      </c>
      <c r="BF27" s="32"/>
      <c r="BG27" s="32"/>
      <c r="BH27" s="33"/>
    </row>
    <row r="28" spans="1:60" ht="18.75" customHeight="1" thickTop="1" x14ac:dyDescent="0.45">
      <c r="E28" s="44"/>
      <c r="F28" s="44"/>
      <c r="G28" s="44"/>
      <c r="H28" s="44"/>
      <c r="S28" s="38"/>
      <c r="T28" s="309"/>
      <c r="U28" s="309"/>
      <c r="V28" s="38"/>
      <c r="W28" s="38"/>
      <c r="X28" s="39"/>
      <c r="Y28" s="39"/>
      <c r="Z28" s="38"/>
      <c r="AA28" s="38"/>
      <c r="AB28" s="38"/>
      <c r="AC28" s="38"/>
      <c r="AH28" s="22" t="s">
        <v>595</v>
      </c>
      <c r="AI28" s="23">
        <f>基本参数输入!B20</f>
        <v>1500</v>
      </c>
      <c r="AJ28" s="24" t="s">
        <v>5</v>
      </c>
      <c r="AK28" s="17"/>
      <c r="AL28" s="222">
        <v>1</v>
      </c>
      <c r="AM28" s="222" t="str">
        <f>IF(G5 = "fixed", I5, "")</f>
        <v/>
      </c>
      <c r="AN28" s="222">
        <f xml:space="preserve"> IF(ROW(A1) &lt;= $AI$14, SMALL($AM$28:$AM$47, ROW(A1)), NA())</f>
        <v>9784</v>
      </c>
      <c r="AO28" s="222">
        <f>$AI$25</f>
        <v>0</v>
      </c>
      <c r="AP28" s="222">
        <f>$AI$26</f>
        <v>200</v>
      </c>
      <c r="AQ28" s="23">
        <f xml:space="preserve"> $AI$22</f>
        <v>1429.6708841029067</v>
      </c>
      <c r="AW28" s="222">
        <v>23</v>
      </c>
      <c r="AX28" s="222">
        <f t="shared" si="13"/>
        <v>25313</v>
      </c>
      <c r="AY28" s="23">
        <v>21</v>
      </c>
      <c r="AZ28" s="222">
        <f t="shared" si="14"/>
        <v>8</v>
      </c>
      <c r="BA28" s="222">
        <f t="shared" ca="1" si="15"/>
        <v>9297</v>
      </c>
      <c r="BB28" s="222">
        <f t="shared" ca="1" si="16"/>
        <v>8158</v>
      </c>
      <c r="BC28" s="222">
        <f t="shared" ca="1" si="17"/>
        <v>1574.6708841029067</v>
      </c>
      <c r="BD28" s="44"/>
    </row>
    <row r="29" spans="1:60" ht="17.25" customHeight="1" x14ac:dyDescent="0.45">
      <c r="E29" s="50"/>
      <c r="F29" s="50"/>
      <c r="G29" s="50"/>
      <c r="H29" s="50"/>
      <c r="S29" s="38"/>
      <c r="T29" s="38"/>
      <c r="U29" s="38"/>
      <c r="V29" s="38"/>
      <c r="W29" s="38"/>
      <c r="X29" s="39"/>
      <c r="Y29" s="39"/>
      <c r="Z29" s="38"/>
      <c r="AA29" s="38"/>
      <c r="AB29" s="38"/>
      <c r="AC29" s="38"/>
      <c r="AH29" s="22" t="s">
        <v>631</v>
      </c>
      <c r="AI29" s="23">
        <f>基本参数输入!H6</f>
        <v>254.5</v>
      </c>
      <c r="AJ29" s="24" t="s">
        <v>0</v>
      </c>
      <c r="AK29" s="17"/>
      <c r="AL29" s="222">
        <v>2</v>
      </c>
      <c r="AM29" s="222">
        <f t="shared" ref="AM29:AM47" si="19">IF(G6 = "fixed", I6, "")</f>
        <v>9784</v>
      </c>
      <c r="AN29" s="222">
        <f t="shared" ref="AN29:AN47" si="20" xml:space="preserve"> IF(ROW(A2) &lt;= $AI$14, SMALL($AM$28:$AM$47, ROW(A2)), NA())</f>
        <v>45584</v>
      </c>
      <c r="AO29" s="222">
        <f t="shared" ref="AO29:AO31" si="21">$AI$25</f>
        <v>0</v>
      </c>
      <c r="AP29" s="222">
        <f t="shared" ref="AP29:AP31" si="22">$AI$26</f>
        <v>200</v>
      </c>
      <c r="AQ29" s="23">
        <f t="shared" ref="AQ29:AQ31" si="23" xml:space="preserve"> $AI$22</f>
        <v>1429.6708841029067</v>
      </c>
      <c r="AW29" s="222">
        <v>24</v>
      </c>
      <c r="AX29" s="222">
        <f t="shared" si="13"/>
        <v>26457</v>
      </c>
      <c r="AY29" s="23">
        <v>22</v>
      </c>
      <c r="AZ29" s="222">
        <f t="shared" si="14"/>
        <v>8</v>
      </c>
      <c r="BA29" s="222">
        <f t="shared" ca="1" si="15"/>
        <v>9297</v>
      </c>
      <c r="BB29" s="222">
        <f t="shared" ca="1" si="16"/>
        <v>9292</v>
      </c>
      <c r="BC29" s="222">
        <f t="shared" ca="1" si="17"/>
        <v>1574.6708841029067</v>
      </c>
      <c r="BD29" s="50"/>
    </row>
    <row r="30" spans="1:60" x14ac:dyDescent="0.45">
      <c r="E30" s="214"/>
      <c r="F30" s="17"/>
      <c r="G30" s="17"/>
      <c r="H30" s="214"/>
      <c r="S30" s="38"/>
      <c r="T30" s="39"/>
      <c r="U30" s="39"/>
      <c r="V30" s="39"/>
      <c r="W30" s="39"/>
      <c r="X30" s="39"/>
      <c r="Y30" s="39"/>
      <c r="Z30" s="38"/>
      <c r="AA30" s="38"/>
      <c r="AB30" s="38"/>
      <c r="AC30" s="38"/>
      <c r="AH30" s="22" t="s">
        <v>632</v>
      </c>
      <c r="AI30" s="23">
        <f>基本参数输入!H7</f>
        <v>192.5</v>
      </c>
      <c r="AJ30" s="24" t="s">
        <v>0</v>
      </c>
      <c r="AK30" s="17"/>
      <c r="AL30" s="222">
        <v>3</v>
      </c>
      <c r="AM30" s="222" t="str">
        <f t="shared" si="19"/>
        <v/>
      </c>
      <c r="AN30" s="222">
        <f t="shared" si="20"/>
        <v>82284</v>
      </c>
      <c r="AO30" s="222">
        <f t="shared" si="21"/>
        <v>0</v>
      </c>
      <c r="AP30" s="222">
        <f t="shared" si="22"/>
        <v>200</v>
      </c>
      <c r="AQ30" s="23">
        <f t="shared" si="23"/>
        <v>1429.6708841029067</v>
      </c>
      <c r="AW30" s="222">
        <v>25</v>
      </c>
      <c r="AX30" s="222">
        <f t="shared" si="13"/>
        <v>27601</v>
      </c>
      <c r="AY30" s="23">
        <v>23</v>
      </c>
      <c r="AZ30" s="222">
        <f t="shared" si="14"/>
        <v>8</v>
      </c>
      <c r="BA30" s="222">
        <f t="shared" ca="1" si="15"/>
        <v>9297</v>
      </c>
      <c r="BB30" s="222">
        <f t="shared" ca="1" si="16"/>
        <v>9297</v>
      </c>
      <c r="BC30" s="222">
        <f t="shared" ca="1" si="17"/>
        <v>1429.6708841029067</v>
      </c>
      <c r="BD30" s="17"/>
    </row>
    <row r="31" spans="1:60" x14ac:dyDescent="0.45">
      <c r="E31" s="214"/>
      <c r="F31" s="17"/>
      <c r="G31" s="17"/>
      <c r="H31" s="214"/>
      <c r="S31" s="38"/>
      <c r="T31" s="39"/>
      <c r="U31" s="39"/>
      <c r="V31" s="39"/>
      <c r="W31" s="39"/>
      <c r="X31" s="39"/>
      <c r="Y31" s="39"/>
      <c r="Z31" s="38"/>
      <c r="AA31" s="38"/>
      <c r="AB31" s="38"/>
      <c r="AC31" s="38"/>
      <c r="AH31" s="22" t="s">
        <v>598</v>
      </c>
      <c r="AI31" s="23">
        <f>基本参数输入!B6</f>
        <v>1049</v>
      </c>
      <c r="AJ31" s="24" t="s">
        <v>502</v>
      </c>
      <c r="AK31" s="17"/>
      <c r="AL31" s="222">
        <v>4</v>
      </c>
      <c r="AM31" s="222" t="str">
        <f t="shared" si="19"/>
        <v/>
      </c>
      <c r="AN31" s="222" t="e">
        <f t="shared" si="20"/>
        <v>#N/A</v>
      </c>
      <c r="AO31" s="222">
        <f t="shared" si="21"/>
        <v>0</v>
      </c>
      <c r="AP31" s="222">
        <f t="shared" si="22"/>
        <v>200</v>
      </c>
      <c r="AQ31" s="23">
        <f t="shared" si="23"/>
        <v>1429.6708841029067</v>
      </c>
      <c r="AW31" s="222">
        <v>26</v>
      </c>
      <c r="AX31" s="222">
        <f t="shared" si="13"/>
        <v>28745</v>
      </c>
      <c r="AY31" s="23">
        <v>24</v>
      </c>
      <c r="AZ31" s="222">
        <f t="shared" si="14"/>
        <v>9</v>
      </c>
      <c r="BA31" s="222">
        <f t="shared" ca="1" si="15"/>
        <v>10441</v>
      </c>
      <c r="BB31" s="222">
        <f t="shared" ca="1" si="16"/>
        <v>9302</v>
      </c>
      <c r="BC31" s="222">
        <f t="shared" ca="1" si="17"/>
        <v>1574.6708841029067</v>
      </c>
      <c r="BD31" s="17"/>
    </row>
    <row r="32" spans="1:60" x14ac:dyDescent="0.45">
      <c r="E32" s="214"/>
      <c r="F32" s="17"/>
      <c r="G32" s="17"/>
      <c r="H32" s="214"/>
      <c r="S32" s="38"/>
      <c r="T32" s="39"/>
      <c r="U32" s="39"/>
      <c r="V32" s="39"/>
      <c r="W32" s="39"/>
      <c r="X32" s="39"/>
      <c r="Y32" s="39"/>
      <c r="Z32" s="38"/>
      <c r="AA32" s="38"/>
      <c r="AB32" s="38"/>
      <c r="AC32" s="38"/>
      <c r="AH32" s="22" t="s">
        <v>599</v>
      </c>
      <c r="AI32" s="23" t="e">
        <f>基本参数输入!#REF!</f>
        <v>#REF!</v>
      </c>
      <c r="AJ32" s="24" t="s">
        <v>502</v>
      </c>
      <c r="AK32" s="17"/>
      <c r="AL32" s="222">
        <v>5</v>
      </c>
      <c r="AM32" s="222" t="str">
        <f t="shared" si="19"/>
        <v/>
      </c>
      <c r="AN32" s="222" t="e">
        <f t="shared" si="20"/>
        <v>#N/A</v>
      </c>
      <c r="AO32" s="222"/>
      <c r="AP32" s="222"/>
      <c r="AQ32" s="30"/>
      <c r="AW32" s="222">
        <v>27</v>
      </c>
      <c r="AX32" s="222">
        <f t="shared" si="13"/>
        <v>29889</v>
      </c>
      <c r="AY32" s="23">
        <v>25</v>
      </c>
      <c r="AZ32" s="222">
        <f t="shared" si="14"/>
        <v>9</v>
      </c>
      <c r="BA32" s="222">
        <f t="shared" ca="1" si="15"/>
        <v>10441</v>
      </c>
      <c r="BB32" s="222">
        <f t="shared" ca="1" si="16"/>
        <v>10436</v>
      </c>
      <c r="BC32" s="222">
        <f t="shared" ca="1" si="17"/>
        <v>1574.6708841029067</v>
      </c>
      <c r="BD32" s="17"/>
    </row>
    <row r="33" spans="5:56" x14ac:dyDescent="0.45">
      <c r="E33" s="214"/>
      <c r="F33" s="17"/>
      <c r="G33" s="17"/>
      <c r="H33" s="214"/>
      <c r="S33" s="38"/>
      <c r="T33" s="39"/>
      <c r="U33" s="39"/>
      <c r="V33" s="39"/>
      <c r="W33" s="39"/>
      <c r="X33" s="39"/>
      <c r="Y33" s="39"/>
      <c r="Z33" s="38"/>
      <c r="AA33" s="38"/>
      <c r="AB33" s="38"/>
      <c r="AC33" s="38"/>
      <c r="AH33" s="22" t="s">
        <v>600</v>
      </c>
      <c r="AI33" s="23" t="e">
        <f>基本参数输入!#REF!</f>
        <v>#REF!</v>
      </c>
      <c r="AJ33" s="24" t="s">
        <v>502</v>
      </c>
      <c r="AK33" s="17"/>
      <c r="AL33" s="222">
        <v>6</v>
      </c>
      <c r="AM33" s="222" t="str">
        <f t="shared" si="19"/>
        <v/>
      </c>
      <c r="AN33" s="222" t="e">
        <f t="shared" si="20"/>
        <v>#N/A</v>
      </c>
      <c r="AO33" s="222"/>
      <c r="AP33" s="222"/>
      <c r="AQ33" s="30"/>
      <c r="AW33" s="222">
        <v>28</v>
      </c>
      <c r="AX33" s="222">
        <f t="shared" si="13"/>
        <v>31033</v>
      </c>
      <c r="AY33" s="23">
        <v>26</v>
      </c>
      <c r="AZ33" s="222">
        <f t="shared" si="14"/>
        <v>9</v>
      </c>
      <c r="BA33" s="222">
        <f t="shared" ca="1" si="15"/>
        <v>10441</v>
      </c>
      <c r="BB33" s="222">
        <f t="shared" ca="1" si="16"/>
        <v>10441</v>
      </c>
      <c r="BC33" s="222">
        <f t="shared" ca="1" si="17"/>
        <v>1429.6708841029067</v>
      </c>
      <c r="BD33" s="17"/>
    </row>
    <row r="34" spans="5:56" x14ac:dyDescent="0.45">
      <c r="E34" s="214"/>
      <c r="F34" s="17"/>
      <c r="G34" s="17"/>
      <c r="H34" s="214"/>
      <c r="S34" s="38"/>
      <c r="T34" s="39"/>
      <c r="U34" s="39"/>
      <c r="V34" s="39"/>
      <c r="W34" s="39"/>
      <c r="X34" s="39"/>
      <c r="Y34" s="39"/>
      <c r="Z34" s="38"/>
      <c r="AA34" s="38"/>
      <c r="AB34" s="38"/>
      <c r="AC34" s="38"/>
      <c r="AH34" s="22" t="s">
        <v>601</v>
      </c>
      <c r="AI34" s="23">
        <f>IF(AI4 = "S1", 50, 80)</f>
        <v>80</v>
      </c>
      <c r="AJ34" s="24" t="s">
        <v>502</v>
      </c>
      <c r="AK34" s="17"/>
      <c r="AL34" s="222">
        <v>7</v>
      </c>
      <c r="AM34" s="222">
        <f t="shared" si="19"/>
        <v>45584</v>
      </c>
      <c r="AN34" s="222" t="e">
        <f t="shared" si="20"/>
        <v>#N/A</v>
      </c>
      <c r="AO34" s="222"/>
      <c r="AP34" s="222"/>
      <c r="AQ34" s="30"/>
      <c r="AW34" s="222">
        <v>29</v>
      </c>
      <c r="AX34" s="222">
        <f t="shared" si="13"/>
        <v>32177</v>
      </c>
      <c r="AY34" s="23">
        <v>27</v>
      </c>
      <c r="AZ34" s="222">
        <f t="shared" si="14"/>
        <v>10</v>
      </c>
      <c r="BA34" s="222">
        <f t="shared" ca="1" si="15"/>
        <v>11585</v>
      </c>
      <c r="BB34" s="222">
        <f t="shared" ca="1" si="16"/>
        <v>10446</v>
      </c>
      <c r="BC34" s="222">
        <f t="shared" ca="1" si="17"/>
        <v>1574.6708841029067</v>
      </c>
      <c r="BD34" s="17"/>
    </row>
    <row r="35" spans="5:56" x14ac:dyDescent="0.45">
      <c r="E35" s="214"/>
      <c r="F35" s="17"/>
      <c r="G35" s="17"/>
      <c r="H35" s="214"/>
      <c r="S35" s="38"/>
      <c r="T35" s="39"/>
      <c r="U35" s="39"/>
      <c r="V35" s="39"/>
      <c r="W35" s="39"/>
      <c r="X35" s="39"/>
      <c r="Y35" s="39"/>
      <c r="Z35" s="38"/>
      <c r="AA35" s="38"/>
      <c r="AB35" s="38"/>
      <c r="AC35" s="38"/>
      <c r="AH35" s="22" t="s">
        <v>544</v>
      </c>
      <c r="AI35" s="23">
        <f>基本参数输入!B21</f>
        <v>0</v>
      </c>
      <c r="AJ35" s="24" t="s">
        <v>502</v>
      </c>
      <c r="AK35" s="17"/>
      <c r="AL35" s="222">
        <v>8</v>
      </c>
      <c r="AM35" s="222" t="str">
        <f t="shared" si="19"/>
        <v/>
      </c>
      <c r="AN35" s="222" t="e">
        <f t="shared" si="20"/>
        <v>#N/A</v>
      </c>
      <c r="AO35" s="222"/>
      <c r="AP35" s="222"/>
      <c r="AQ35" s="30"/>
      <c r="AW35" s="222">
        <v>30</v>
      </c>
      <c r="AX35" s="222">
        <f t="shared" si="13"/>
        <v>33321</v>
      </c>
      <c r="AY35" s="23">
        <v>28</v>
      </c>
      <c r="AZ35" s="222">
        <f t="shared" si="14"/>
        <v>10</v>
      </c>
      <c r="BA35" s="222">
        <f t="shared" ca="1" si="15"/>
        <v>11585</v>
      </c>
      <c r="BB35" s="222">
        <f t="shared" ca="1" si="16"/>
        <v>11580</v>
      </c>
      <c r="BC35" s="222">
        <f t="shared" ca="1" si="17"/>
        <v>1574.6708841029067</v>
      </c>
      <c r="BD35" s="17"/>
    </row>
    <row r="36" spans="5:56" x14ac:dyDescent="0.45">
      <c r="E36" s="214"/>
      <c r="F36" s="17"/>
      <c r="G36" s="17"/>
      <c r="H36" s="214"/>
      <c r="S36" s="38"/>
      <c r="T36" s="39"/>
      <c r="U36" s="39"/>
      <c r="V36" s="39"/>
      <c r="W36" s="39"/>
      <c r="X36" s="39"/>
      <c r="Y36" s="39"/>
      <c r="Z36" s="38"/>
      <c r="AA36" s="38"/>
      <c r="AB36" s="38"/>
      <c r="AC36" s="38"/>
      <c r="AH36" s="22" t="s">
        <v>514</v>
      </c>
      <c r="AI36" s="23">
        <f>基本参数输入!B8</f>
        <v>1400</v>
      </c>
      <c r="AJ36" s="24" t="s">
        <v>515</v>
      </c>
      <c r="AK36" s="17"/>
      <c r="AL36" s="222">
        <v>9</v>
      </c>
      <c r="AM36" s="222" t="str">
        <f t="shared" si="19"/>
        <v/>
      </c>
      <c r="AN36" s="222" t="e">
        <f t="shared" si="20"/>
        <v>#N/A</v>
      </c>
      <c r="AO36" s="222"/>
      <c r="AP36" s="222"/>
      <c r="AQ36" s="30"/>
      <c r="AW36" s="222">
        <v>31</v>
      </c>
      <c r="AX36" s="222">
        <f t="shared" si="13"/>
        <v>34465</v>
      </c>
      <c r="AY36" s="23">
        <v>29</v>
      </c>
      <c r="AZ36" s="222">
        <f t="shared" si="14"/>
        <v>10</v>
      </c>
      <c r="BA36" s="222">
        <f t="shared" ca="1" si="15"/>
        <v>11585</v>
      </c>
      <c r="BB36" s="222">
        <f t="shared" ca="1" si="16"/>
        <v>11585</v>
      </c>
      <c r="BC36" s="222">
        <f t="shared" ca="1" si="17"/>
        <v>1429.6708841029067</v>
      </c>
      <c r="BD36" s="17"/>
    </row>
    <row r="37" spans="5:56" x14ac:dyDescent="0.45">
      <c r="E37" s="214"/>
      <c r="F37" s="17"/>
      <c r="G37" s="17"/>
      <c r="H37" s="214"/>
      <c r="S37" s="38"/>
      <c r="T37" s="39"/>
      <c r="U37" s="39"/>
      <c r="V37" s="39"/>
      <c r="W37" s="39"/>
      <c r="X37" s="39"/>
      <c r="Y37" s="39"/>
      <c r="Z37" s="38"/>
      <c r="AA37" s="38"/>
      <c r="AB37" s="38"/>
      <c r="AC37" s="38"/>
      <c r="AH37" s="91" t="s">
        <v>636</v>
      </c>
      <c r="AI37" s="92" t="str">
        <f>基本参数输入!M2</f>
        <v>中文</v>
      </c>
      <c r="AJ37" s="24"/>
      <c r="AK37" s="17"/>
      <c r="AL37" s="222">
        <v>10</v>
      </c>
      <c r="AM37" s="222" t="str">
        <f t="shared" si="19"/>
        <v/>
      </c>
      <c r="AN37" s="222" t="e">
        <f t="shared" si="20"/>
        <v>#N/A</v>
      </c>
      <c r="AO37" s="222"/>
      <c r="AP37" s="222"/>
      <c r="AQ37" s="30"/>
      <c r="AW37" s="222">
        <v>32</v>
      </c>
      <c r="AX37" s="222">
        <f t="shared" si="13"/>
        <v>35609</v>
      </c>
      <c r="AY37" s="23">
        <v>30</v>
      </c>
      <c r="AZ37" s="222">
        <f t="shared" si="14"/>
        <v>11</v>
      </c>
      <c r="BA37" s="222">
        <f t="shared" ca="1" si="15"/>
        <v>12729</v>
      </c>
      <c r="BB37" s="222">
        <f t="shared" ca="1" si="16"/>
        <v>11590</v>
      </c>
      <c r="BC37" s="222">
        <f t="shared" ca="1" si="17"/>
        <v>1574.6708841029067</v>
      </c>
      <c r="BD37" s="17"/>
    </row>
    <row r="38" spans="5:56" x14ac:dyDescent="0.45">
      <c r="E38" s="214"/>
      <c r="F38" s="17"/>
      <c r="G38" s="17"/>
      <c r="H38" s="214"/>
      <c r="S38" s="38"/>
      <c r="T38" s="39"/>
      <c r="U38" s="39"/>
      <c r="V38" s="39"/>
      <c r="W38" s="39"/>
      <c r="X38" s="39"/>
      <c r="Y38" s="39"/>
      <c r="Z38" s="38"/>
      <c r="AA38" s="38"/>
      <c r="AB38" s="38"/>
      <c r="AC38" s="38"/>
      <c r="AH38" s="22" t="s">
        <v>680</v>
      </c>
      <c r="AI38" s="23">
        <f xml:space="preserve"> IF(AI4 = "D2", 75, 0)</f>
        <v>0</v>
      </c>
      <c r="AJ38" s="224" t="s">
        <v>0</v>
      </c>
      <c r="AK38" s="17"/>
      <c r="AL38" s="222">
        <v>11</v>
      </c>
      <c r="AM38" s="222" t="str">
        <f t="shared" si="19"/>
        <v/>
      </c>
      <c r="AN38" s="222" t="e">
        <f t="shared" si="20"/>
        <v>#N/A</v>
      </c>
      <c r="AO38" s="222"/>
      <c r="AP38" s="222"/>
      <c r="AQ38" s="30"/>
      <c r="AW38" s="222">
        <v>33</v>
      </c>
      <c r="AX38" s="222">
        <f t="shared" si="13"/>
        <v>36753</v>
      </c>
      <c r="AY38" s="23">
        <v>31</v>
      </c>
      <c r="AZ38" s="222">
        <f t="shared" si="14"/>
        <v>11</v>
      </c>
      <c r="BA38" s="222">
        <f t="shared" ca="1" si="15"/>
        <v>12729</v>
      </c>
      <c r="BB38" s="222">
        <f t="shared" ca="1" si="16"/>
        <v>12724</v>
      </c>
      <c r="BC38" s="222">
        <f t="shared" ca="1" si="17"/>
        <v>1574.6708841029067</v>
      </c>
      <c r="BD38" s="17"/>
    </row>
    <row r="39" spans="5:56" x14ac:dyDescent="0.45">
      <c r="E39" s="214"/>
      <c r="F39" s="17"/>
      <c r="G39" s="17"/>
      <c r="H39" s="214"/>
      <c r="S39" s="38"/>
      <c r="T39" s="39"/>
      <c r="U39" s="39"/>
      <c r="V39" s="39"/>
      <c r="W39" s="39"/>
      <c r="X39" s="39"/>
      <c r="Y39" s="39"/>
      <c r="Z39" s="38"/>
      <c r="AA39" s="38"/>
      <c r="AB39" s="38"/>
      <c r="AC39" s="38"/>
      <c r="AH39" s="225" t="s">
        <v>682</v>
      </c>
      <c r="AI39" s="23">
        <f xml:space="preserve"> IF(AI4 = "D2", 75, 0)</f>
        <v>0</v>
      </c>
      <c r="AJ39" s="224" t="s">
        <v>0</v>
      </c>
      <c r="AK39" s="17"/>
      <c r="AL39" s="222">
        <v>12</v>
      </c>
      <c r="AM39" s="222">
        <f t="shared" si="19"/>
        <v>82284</v>
      </c>
      <c r="AN39" s="222" t="e">
        <f t="shared" si="20"/>
        <v>#N/A</v>
      </c>
      <c r="AO39" s="222"/>
      <c r="AP39" s="222"/>
      <c r="AQ39" s="30"/>
      <c r="AW39" s="222">
        <v>34</v>
      </c>
      <c r="AX39" s="222">
        <f t="shared" si="13"/>
        <v>37897</v>
      </c>
      <c r="AY39" s="23">
        <v>32</v>
      </c>
      <c r="AZ39" s="222">
        <f t="shared" si="14"/>
        <v>11</v>
      </c>
      <c r="BA39" s="222">
        <f t="shared" ca="1" si="15"/>
        <v>12729</v>
      </c>
      <c r="BB39" s="222">
        <f t="shared" ca="1" si="16"/>
        <v>12729</v>
      </c>
      <c r="BC39" s="222">
        <f t="shared" ca="1" si="17"/>
        <v>1429.6708841029067</v>
      </c>
      <c r="BD39" s="17"/>
    </row>
    <row r="40" spans="5:56" x14ac:dyDescent="0.45">
      <c r="E40" s="214"/>
      <c r="F40" s="17"/>
      <c r="G40" s="17"/>
      <c r="H40" s="214"/>
      <c r="S40" s="38"/>
      <c r="T40" s="39"/>
      <c r="U40" s="39"/>
      <c r="V40" s="39"/>
      <c r="W40" s="39"/>
      <c r="X40" s="39"/>
      <c r="Y40" s="39"/>
      <c r="Z40" s="38"/>
      <c r="AA40" s="38"/>
      <c r="AB40" s="38"/>
      <c r="AC40" s="38"/>
      <c r="AH40" s="160" t="s">
        <v>684</v>
      </c>
      <c r="AI40" s="253">
        <f>基本参数输入!M3</f>
        <v>36</v>
      </c>
      <c r="AJ40" s="162" t="s">
        <v>685</v>
      </c>
      <c r="AK40" s="17"/>
      <c r="AL40" s="222">
        <v>13</v>
      </c>
      <c r="AM40" s="222" t="str">
        <f t="shared" si="19"/>
        <v/>
      </c>
      <c r="AN40" s="222" t="e">
        <f t="shared" si="20"/>
        <v>#N/A</v>
      </c>
      <c r="AO40" s="222"/>
      <c r="AP40" s="222"/>
      <c r="AQ40" s="30"/>
      <c r="AW40" s="222">
        <v>35</v>
      </c>
      <c r="AX40" s="222">
        <f t="shared" si="13"/>
        <v>39041</v>
      </c>
      <c r="AY40" s="23">
        <v>33</v>
      </c>
      <c r="AZ40" s="222">
        <f t="shared" si="14"/>
        <v>12</v>
      </c>
      <c r="BA40" s="222">
        <f t="shared" ca="1" si="15"/>
        <v>13873</v>
      </c>
      <c r="BB40" s="222">
        <f t="shared" ca="1" si="16"/>
        <v>12734</v>
      </c>
      <c r="BC40" s="222">
        <f t="shared" ca="1" si="17"/>
        <v>1574.6708841029067</v>
      </c>
      <c r="BD40" s="17"/>
    </row>
    <row r="41" spans="5:56" x14ac:dyDescent="0.45">
      <c r="E41" s="214"/>
      <c r="F41" s="17"/>
      <c r="G41" s="17"/>
      <c r="H41" s="214"/>
      <c r="S41" s="38"/>
      <c r="T41" s="39"/>
      <c r="U41" s="39"/>
      <c r="V41" s="39"/>
      <c r="W41" s="39"/>
      <c r="X41" s="39"/>
      <c r="Y41" s="39"/>
      <c r="Z41" s="38"/>
      <c r="AA41" s="38"/>
      <c r="AB41" s="38"/>
      <c r="AC41" s="38"/>
      <c r="AH41" s="160" t="s">
        <v>686</v>
      </c>
      <c r="AI41" s="253" t="str">
        <f>基本参数输入!M4</f>
        <v>ASCE 7-05</v>
      </c>
      <c r="AJ41" s="48"/>
      <c r="AK41" s="17"/>
      <c r="AL41" s="222">
        <v>14</v>
      </c>
      <c r="AM41" s="222" t="str">
        <f t="shared" si="19"/>
        <v/>
      </c>
      <c r="AN41" s="222" t="e">
        <f t="shared" si="20"/>
        <v>#N/A</v>
      </c>
      <c r="AO41" s="222"/>
      <c r="AP41" s="222"/>
      <c r="AQ41" s="30"/>
      <c r="AW41" s="222">
        <v>36</v>
      </c>
      <c r="AX41" s="222">
        <f t="shared" si="13"/>
        <v>40185</v>
      </c>
      <c r="AY41" s="23">
        <v>34</v>
      </c>
      <c r="AZ41" s="222">
        <f t="shared" si="14"/>
        <v>12</v>
      </c>
      <c r="BA41" s="222">
        <f t="shared" ca="1" si="15"/>
        <v>13873</v>
      </c>
      <c r="BB41" s="222">
        <f t="shared" ca="1" si="16"/>
        <v>13868</v>
      </c>
      <c r="BC41" s="222">
        <f t="shared" ca="1" si="17"/>
        <v>1574.6708841029067</v>
      </c>
      <c r="BD41" s="17"/>
    </row>
    <row r="42" spans="5:56" x14ac:dyDescent="0.45">
      <c r="E42" s="214"/>
      <c r="F42" s="17"/>
      <c r="G42" s="17"/>
      <c r="H42" s="214"/>
      <c r="S42" s="38"/>
      <c r="T42" s="39"/>
      <c r="U42" s="39"/>
      <c r="V42" s="39"/>
      <c r="W42" s="39"/>
      <c r="X42" s="39"/>
      <c r="Y42" s="39"/>
      <c r="Z42" s="38"/>
      <c r="AA42" s="38"/>
      <c r="AB42" s="38"/>
      <c r="AC42" s="38"/>
      <c r="AH42" s="160" t="s">
        <v>688</v>
      </c>
      <c r="AI42" s="253">
        <f>基本参数输入!M5</f>
        <v>530</v>
      </c>
      <c r="AJ42" s="162" t="s">
        <v>689</v>
      </c>
      <c r="AK42" s="17"/>
      <c r="AL42" s="222">
        <v>15</v>
      </c>
      <c r="AM42" s="222" t="str">
        <f t="shared" si="19"/>
        <v/>
      </c>
      <c r="AN42" s="222" t="e">
        <f t="shared" si="20"/>
        <v>#N/A</v>
      </c>
      <c r="AO42" s="222"/>
      <c r="AP42" s="222"/>
      <c r="AQ42" s="30"/>
      <c r="AW42" s="222">
        <v>37</v>
      </c>
      <c r="AX42" s="222">
        <f t="shared" si="13"/>
        <v>41329</v>
      </c>
      <c r="AY42" s="23">
        <v>35</v>
      </c>
      <c r="AZ42" s="222">
        <f t="shared" si="14"/>
        <v>12</v>
      </c>
      <c r="BA42" s="222">
        <f t="shared" ca="1" si="15"/>
        <v>13873</v>
      </c>
      <c r="BB42" s="222">
        <f t="shared" ca="1" si="16"/>
        <v>13873</v>
      </c>
      <c r="BC42" s="222">
        <f t="shared" ca="1" si="17"/>
        <v>1429.6708841029067</v>
      </c>
      <c r="BD42" s="17"/>
    </row>
    <row r="43" spans="5:56" x14ac:dyDescent="0.45">
      <c r="E43" s="214"/>
      <c r="F43" s="17"/>
      <c r="G43" s="17"/>
      <c r="H43" s="214"/>
      <c r="S43" s="38"/>
      <c r="T43" s="39"/>
      <c r="U43" s="39"/>
      <c r="V43" s="39"/>
      <c r="W43" s="39"/>
      <c r="X43" s="39"/>
      <c r="Y43" s="39"/>
      <c r="Z43" s="38"/>
      <c r="AA43" s="38"/>
      <c r="AB43" s="38"/>
      <c r="AC43" s="38"/>
      <c r="AH43" s="22"/>
      <c r="AI43" s="23"/>
      <c r="AJ43" s="24"/>
      <c r="AK43" s="17"/>
      <c r="AL43" s="222">
        <v>16</v>
      </c>
      <c r="AM43" s="222" t="str">
        <f t="shared" si="19"/>
        <v/>
      </c>
      <c r="AN43" s="222" t="e">
        <f t="shared" si="20"/>
        <v>#N/A</v>
      </c>
      <c r="AO43" s="222"/>
      <c r="AP43" s="222"/>
      <c r="AQ43" s="30"/>
      <c r="AW43" s="222">
        <v>38</v>
      </c>
      <c r="AX43" s="222">
        <f t="shared" si="13"/>
        <v>42473</v>
      </c>
      <c r="AY43" s="23">
        <v>36</v>
      </c>
      <c r="AZ43" s="222">
        <f t="shared" si="14"/>
        <v>13</v>
      </c>
      <c r="BA43" s="222">
        <f t="shared" ca="1" si="15"/>
        <v>15017</v>
      </c>
      <c r="BB43" s="222">
        <f t="shared" ca="1" si="16"/>
        <v>13878</v>
      </c>
      <c r="BC43" s="222">
        <f t="shared" ca="1" si="17"/>
        <v>1574.6708841029067</v>
      </c>
      <c r="BD43" s="17"/>
    </row>
    <row r="44" spans="5:56" x14ac:dyDescent="0.45">
      <c r="E44" s="214"/>
      <c r="F44" s="17"/>
      <c r="G44" s="17"/>
      <c r="H44" s="214"/>
      <c r="S44" s="38"/>
      <c r="T44" s="39"/>
      <c r="U44" s="39"/>
      <c r="V44" s="39"/>
      <c r="W44" s="39"/>
      <c r="X44" s="39"/>
      <c r="Y44" s="39"/>
      <c r="Z44" s="38"/>
      <c r="AA44" s="38"/>
      <c r="AB44" s="38"/>
      <c r="AC44" s="38"/>
      <c r="AH44" s="22"/>
      <c r="AI44" s="23"/>
      <c r="AJ44" s="24"/>
      <c r="AK44" s="17"/>
      <c r="AL44" s="222">
        <v>17</v>
      </c>
      <c r="AM44" s="222" t="str">
        <f t="shared" si="19"/>
        <v/>
      </c>
      <c r="AN44" s="222" t="e">
        <f t="shared" si="20"/>
        <v>#N/A</v>
      </c>
      <c r="AO44" s="222"/>
      <c r="AP44" s="222"/>
      <c r="AQ44" s="30"/>
      <c r="AW44" s="222">
        <v>39</v>
      </c>
      <c r="AX44" s="222">
        <f t="shared" si="13"/>
        <v>43617</v>
      </c>
      <c r="AY44" s="23">
        <v>37</v>
      </c>
      <c r="AZ44" s="222">
        <f t="shared" si="14"/>
        <v>13</v>
      </c>
      <c r="BA44" s="222">
        <f t="shared" ca="1" si="15"/>
        <v>15017</v>
      </c>
      <c r="BB44" s="222">
        <f t="shared" ca="1" si="16"/>
        <v>15012</v>
      </c>
      <c r="BC44" s="222">
        <f t="shared" ca="1" si="17"/>
        <v>1574.6708841029067</v>
      </c>
      <c r="BD44" s="17"/>
    </row>
    <row r="45" spans="5:56" x14ac:dyDescent="0.45">
      <c r="E45" s="214"/>
      <c r="F45" s="17"/>
      <c r="G45" s="17"/>
      <c r="H45" s="214"/>
      <c r="S45" s="38"/>
      <c r="T45" s="39"/>
      <c r="U45" s="39"/>
      <c r="V45" s="39"/>
      <c r="W45" s="39"/>
      <c r="X45" s="39"/>
      <c r="Y45" s="39"/>
      <c r="Z45" s="38"/>
      <c r="AA45" s="38"/>
      <c r="AB45" s="38"/>
      <c r="AC45" s="38"/>
      <c r="AH45" s="22"/>
      <c r="AI45" s="23"/>
      <c r="AJ45" s="24"/>
      <c r="AK45" s="17"/>
      <c r="AL45" s="222">
        <v>18</v>
      </c>
      <c r="AM45" s="222" t="str">
        <f t="shared" si="19"/>
        <v/>
      </c>
      <c r="AN45" s="222" t="e">
        <f t="shared" si="20"/>
        <v>#N/A</v>
      </c>
      <c r="AO45" s="222"/>
      <c r="AP45" s="222"/>
      <c r="AQ45" s="30"/>
      <c r="AW45" s="222">
        <v>40</v>
      </c>
      <c r="AX45" s="222">
        <f t="shared" si="13"/>
        <v>44761</v>
      </c>
      <c r="AY45" s="23">
        <v>38</v>
      </c>
      <c r="AZ45" s="222">
        <f t="shared" si="14"/>
        <v>13</v>
      </c>
      <c r="BA45" s="222">
        <f t="shared" ca="1" si="15"/>
        <v>15017</v>
      </c>
      <c r="BB45" s="222">
        <f t="shared" ca="1" si="16"/>
        <v>15017</v>
      </c>
      <c r="BC45" s="222">
        <f t="shared" ca="1" si="17"/>
        <v>1429.6708841029067</v>
      </c>
      <c r="BD45" s="17"/>
    </row>
    <row r="46" spans="5:56" x14ac:dyDescent="0.45">
      <c r="E46" s="214"/>
      <c r="F46" s="17"/>
      <c r="G46" s="17"/>
      <c r="H46" s="214"/>
      <c r="S46" s="38"/>
      <c r="T46" s="39"/>
      <c r="U46" s="39"/>
      <c r="V46" s="39"/>
      <c r="W46" s="39"/>
      <c r="X46" s="39"/>
      <c r="Y46" s="39"/>
      <c r="Z46" s="38"/>
      <c r="AA46" s="38"/>
      <c r="AB46" s="38"/>
      <c r="AC46" s="38"/>
      <c r="AH46" s="22"/>
      <c r="AI46" s="23"/>
      <c r="AJ46" s="24"/>
      <c r="AK46" s="17"/>
      <c r="AL46" s="222">
        <v>19</v>
      </c>
      <c r="AM46" s="222" t="str">
        <f t="shared" si="19"/>
        <v/>
      </c>
      <c r="AN46" s="222" t="e">
        <f t="shared" si="20"/>
        <v>#N/A</v>
      </c>
      <c r="AO46" s="222"/>
      <c r="AP46" s="222"/>
      <c r="AQ46" s="30"/>
      <c r="AW46" s="222">
        <v>41</v>
      </c>
      <c r="AX46" s="222">
        <f t="shared" si="13"/>
        <v>45905</v>
      </c>
      <c r="AY46" s="23">
        <v>39</v>
      </c>
      <c r="AZ46" s="222">
        <f t="shared" si="14"/>
        <v>14</v>
      </c>
      <c r="BA46" s="222">
        <f t="shared" ca="1" si="15"/>
        <v>16161</v>
      </c>
      <c r="BB46" s="222">
        <f t="shared" ca="1" si="16"/>
        <v>15022</v>
      </c>
      <c r="BC46" s="222">
        <f t="shared" ca="1" si="17"/>
        <v>1574.6708841029067</v>
      </c>
      <c r="BD46" s="17"/>
    </row>
    <row r="47" spans="5:56" x14ac:dyDescent="0.45">
      <c r="E47" s="214"/>
      <c r="F47" s="17"/>
      <c r="G47" s="17"/>
      <c r="H47" s="214"/>
      <c r="S47" s="38"/>
      <c r="T47" s="39"/>
      <c r="U47" s="39"/>
      <c r="V47" s="39"/>
      <c r="W47" s="39"/>
      <c r="X47" s="39"/>
      <c r="Y47" s="39"/>
      <c r="Z47" s="38"/>
      <c r="AA47" s="38"/>
      <c r="AB47" s="38"/>
      <c r="AC47" s="38"/>
      <c r="AH47" s="22"/>
      <c r="AI47" s="23"/>
      <c r="AJ47" s="24"/>
      <c r="AK47" s="17"/>
      <c r="AL47" s="222">
        <v>20</v>
      </c>
      <c r="AM47" s="222" t="str">
        <f t="shared" si="19"/>
        <v/>
      </c>
      <c r="AN47" s="222" t="e">
        <f t="shared" si="20"/>
        <v>#N/A</v>
      </c>
      <c r="AO47" s="222"/>
      <c r="AP47" s="222"/>
      <c r="AQ47" s="30"/>
      <c r="AW47" s="222">
        <v>42</v>
      </c>
      <c r="AX47" s="222">
        <f t="shared" si="13"/>
        <v>47049</v>
      </c>
      <c r="AY47" s="23">
        <v>40</v>
      </c>
      <c r="AZ47" s="222">
        <f t="shared" si="14"/>
        <v>14</v>
      </c>
      <c r="BA47" s="222">
        <f t="shared" ca="1" si="15"/>
        <v>16161</v>
      </c>
      <c r="BB47" s="222">
        <f t="shared" ca="1" si="16"/>
        <v>16156</v>
      </c>
      <c r="BC47" s="222">
        <f t="shared" ca="1" si="17"/>
        <v>1574.6708841029067</v>
      </c>
      <c r="BD47" s="17"/>
    </row>
    <row r="48" spans="5:56" x14ac:dyDescent="0.45">
      <c r="E48" s="214"/>
      <c r="F48" s="17"/>
      <c r="G48" s="17"/>
      <c r="H48" s="214"/>
      <c r="S48" s="38"/>
      <c r="T48" s="39"/>
      <c r="U48" s="39"/>
      <c r="V48" s="39"/>
      <c r="W48" s="39"/>
      <c r="X48" s="39"/>
      <c r="Y48" s="39"/>
      <c r="Z48" s="38"/>
      <c r="AA48" s="38"/>
      <c r="AB48" s="38"/>
      <c r="AC48" s="38"/>
      <c r="AH48" s="22"/>
      <c r="AI48" s="23"/>
      <c r="AJ48" s="24"/>
      <c r="AK48" s="17"/>
      <c r="AL48" s="307" t="s">
        <v>612</v>
      </c>
      <c r="AM48" s="307"/>
      <c r="AN48" s="307"/>
      <c r="AO48" s="307"/>
      <c r="AP48" s="307"/>
      <c r="AQ48" s="307"/>
      <c r="AW48" s="222">
        <v>43</v>
      </c>
      <c r="AX48" s="222">
        <f t="shared" si="13"/>
        <v>48193</v>
      </c>
      <c r="AY48" s="23">
        <v>41</v>
      </c>
      <c r="AZ48" s="222">
        <f t="shared" si="14"/>
        <v>14</v>
      </c>
      <c r="BA48" s="222">
        <f t="shared" ca="1" si="15"/>
        <v>16161</v>
      </c>
      <c r="BB48" s="222">
        <f t="shared" ca="1" si="16"/>
        <v>16161</v>
      </c>
      <c r="BC48" s="222">
        <f t="shared" ca="1" si="17"/>
        <v>1429.6708841029067</v>
      </c>
      <c r="BD48" s="17"/>
    </row>
    <row r="49" spans="5:56" x14ac:dyDescent="0.45">
      <c r="E49" s="214"/>
      <c r="F49" s="17"/>
      <c r="G49" s="17"/>
      <c r="H49" s="214"/>
      <c r="S49" s="38"/>
      <c r="T49" s="39"/>
      <c r="U49" s="39"/>
      <c r="V49" s="39"/>
      <c r="W49" s="39"/>
      <c r="X49" s="39"/>
      <c r="Y49" s="39"/>
      <c r="Z49" s="38"/>
      <c r="AA49" s="38"/>
      <c r="AB49" s="38"/>
      <c r="AC49" s="38"/>
      <c r="AH49" s="22"/>
      <c r="AI49" s="23"/>
      <c r="AJ49" s="24"/>
      <c r="AK49" s="17"/>
      <c r="AL49" s="222"/>
      <c r="AM49" s="222"/>
      <c r="AN49" s="221" t="s">
        <v>664</v>
      </c>
      <c r="AO49" s="307" t="s">
        <v>569</v>
      </c>
      <c r="AP49" s="307"/>
      <c r="AQ49" s="307"/>
      <c r="AW49" s="222">
        <v>44</v>
      </c>
      <c r="AX49" s="222">
        <f t="shared" si="13"/>
        <v>49337</v>
      </c>
      <c r="AY49" s="23">
        <v>42</v>
      </c>
      <c r="AZ49" s="222">
        <f t="shared" si="14"/>
        <v>15</v>
      </c>
      <c r="BA49" s="222">
        <f t="shared" ca="1" si="15"/>
        <v>17305</v>
      </c>
      <c r="BB49" s="222">
        <f t="shared" ca="1" si="16"/>
        <v>16166</v>
      </c>
      <c r="BC49" s="222">
        <f t="shared" ca="1" si="17"/>
        <v>1574.6708841029067</v>
      </c>
      <c r="BD49" s="17"/>
    </row>
    <row r="50" spans="5:56" x14ac:dyDescent="0.45">
      <c r="E50" s="214"/>
      <c r="F50" s="17"/>
      <c r="G50" s="17"/>
      <c r="H50" s="214"/>
      <c r="S50" s="38"/>
      <c r="T50" s="39"/>
      <c r="U50" s="39"/>
      <c r="V50" s="39"/>
      <c r="W50" s="39"/>
      <c r="X50" s="39"/>
      <c r="Y50" s="39"/>
      <c r="Z50" s="38"/>
      <c r="AA50" s="38"/>
      <c r="AB50" s="38"/>
      <c r="AC50" s="38"/>
      <c r="AH50" s="22"/>
      <c r="AI50" s="23"/>
      <c r="AJ50" s="24"/>
      <c r="AK50" s="17"/>
      <c r="AL50" s="222">
        <v>1</v>
      </c>
      <c r="AM50" s="222">
        <f>IF(G5 = "free",I5, "")</f>
        <v>1984</v>
      </c>
      <c r="AN50" s="222">
        <f xml:space="preserve"> IF(ROW(A1) &lt;= $AI$15, SMALL($AM$50:$AM$69, ROW(A1)), NA())</f>
        <v>1984</v>
      </c>
      <c r="AO50" s="222">
        <f>$AI$25</f>
        <v>0</v>
      </c>
      <c r="AP50" s="222">
        <f>$AI$26</f>
        <v>200</v>
      </c>
      <c r="AQ50" s="23">
        <f xml:space="preserve"> $AI$22</f>
        <v>1429.6708841029067</v>
      </c>
      <c r="AR50" s="18">
        <v>1</v>
      </c>
      <c r="AW50" s="222">
        <v>45</v>
      </c>
      <c r="AX50" s="222">
        <f t="shared" si="13"/>
        <v>50481</v>
      </c>
      <c r="AY50" s="23">
        <v>43</v>
      </c>
      <c r="AZ50" s="222">
        <f t="shared" si="14"/>
        <v>15</v>
      </c>
      <c r="BA50" s="222">
        <f t="shared" ca="1" si="15"/>
        <v>17305</v>
      </c>
      <c r="BB50" s="222">
        <f t="shared" ca="1" si="16"/>
        <v>17300</v>
      </c>
      <c r="BC50" s="222">
        <f t="shared" ca="1" si="17"/>
        <v>1574.6708841029067</v>
      </c>
      <c r="BD50" s="17"/>
    </row>
    <row r="51" spans="5:56" ht="17" thickBot="1" x14ac:dyDescent="0.5">
      <c r="E51" s="214"/>
      <c r="F51" s="17"/>
      <c r="G51" s="17"/>
      <c r="H51" s="214"/>
      <c r="S51" s="38"/>
      <c r="T51" s="39"/>
      <c r="U51" s="39"/>
      <c r="V51" s="39"/>
      <c r="W51" s="39"/>
      <c r="X51" s="39"/>
      <c r="Y51" s="39"/>
      <c r="Z51" s="38"/>
      <c r="AA51" s="38"/>
      <c r="AB51" s="38"/>
      <c r="AC51" s="38"/>
      <c r="AH51" s="41"/>
      <c r="AI51" s="32"/>
      <c r="AJ51" s="37"/>
      <c r="AK51" s="17"/>
      <c r="AL51" s="222">
        <v>2</v>
      </c>
      <c r="AM51" s="222" t="str">
        <f t="shared" ref="AM51:AM69" si="24">IF(G6 = "free",I6, "")</f>
        <v/>
      </c>
      <c r="AN51" s="222">
        <f t="shared" ref="AN51:AN69" si="25" xml:space="preserve"> IF(ROW(A2) &lt;= $AI$15, SMALL($AM$50:$AM$69, ROW(A2)), NA())</f>
        <v>16884</v>
      </c>
      <c r="AO51" s="222">
        <f t="shared" ref="AO51:AO69" si="26">$AI$25</f>
        <v>0</v>
      </c>
      <c r="AP51" s="222">
        <f t="shared" ref="AP51:AP69" si="27">$AI$26</f>
        <v>200</v>
      </c>
      <c r="AQ51" s="23">
        <f t="shared" ref="AQ51:AQ69" si="28" xml:space="preserve"> $AI$22</f>
        <v>1429.6708841029067</v>
      </c>
      <c r="AR51" s="18">
        <v>2</v>
      </c>
      <c r="AW51" s="222">
        <v>46</v>
      </c>
      <c r="AX51" s="222">
        <f t="shared" si="13"/>
        <v>51625</v>
      </c>
      <c r="AY51" s="23">
        <v>44</v>
      </c>
      <c r="AZ51" s="222">
        <f t="shared" si="14"/>
        <v>15</v>
      </c>
      <c r="BA51" s="222">
        <f t="shared" ca="1" si="15"/>
        <v>17305</v>
      </c>
      <c r="BB51" s="222">
        <f t="shared" ca="1" si="16"/>
        <v>17305</v>
      </c>
      <c r="BC51" s="222">
        <f t="shared" ca="1" si="17"/>
        <v>1429.6708841029067</v>
      </c>
      <c r="BD51" s="17"/>
    </row>
    <row r="52" spans="5:56" ht="17" thickTop="1" x14ac:dyDescent="0.45">
      <c r="E52" s="214"/>
      <c r="F52" s="17"/>
      <c r="G52" s="17"/>
      <c r="H52" s="214"/>
      <c r="S52" s="38"/>
      <c r="T52" s="39"/>
      <c r="U52" s="39"/>
      <c r="V52" s="39"/>
      <c r="W52" s="39"/>
      <c r="X52" s="39"/>
      <c r="Y52" s="39"/>
      <c r="Z52" s="38"/>
      <c r="AA52" s="38"/>
      <c r="AB52" s="38"/>
      <c r="AC52" s="38"/>
      <c r="AK52" s="17"/>
      <c r="AL52" s="222">
        <v>3</v>
      </c>
      <c r="AM52" s="222">
        <f t="shared" si="24"/>
        <v>16884</v>
      </c>
      <c r="AN52" s="222">
        <f t="shared" si="25"/>
        <v>24884</v>
      </c>
      <c r="AO52" s="222">
        <f t="shared" si="26"/>
        <v>0</v>
      </c>
      <c r="AP52" s="222">
        <f t="shared" si="27"/>
        <v>200</v>
      </c>
      <c r="AQ52" s="23">
        <f t="shared" si="28"/>
        <v>1429.6708841029067</v>
      </c>
      <c r="AR52" s="18">
        <v>3</v>
      </c>
      <c r="AW52" s="222">
        <v>47</v>
      </c>
      <c r="AX52" s="222">
        <f t="shared" si="13"/>
        <v>52769</v>
      </c>
      <c r="AY52" s="23">
        <v>45</v>
      </c>
      <c r="AZ52" s="222">
        <f t="shared" si="14"/>
        <v>16</v>
      </c>
      <c r="BA52" s="222">
        <f t="shared" ca="1" si="15"/>
        <v>18449</v>
      </c>
      <c r="BB52" s="222">
        <f t="shared" ca="1" si="16"/>
        <v>17310</v>
      </c>
      <c r="BC52" s="222">
        <f t="shared" ca="1" si="17"/>
        <v>1574.6708841029067</v>
      </c>
      <c r="BD52" s="17"/>
    </row>
    <row r="53" spans="5:56" x14ac:dyDescent="0.45">
      <c r="E53" s="214"/>
      <c r="F53" s="17"/>
      <c r="G53" s="17"/>
      <c r="H53" s="214"/>
      <c r="S53" s="38"/>
      <c r="T53" s="39"/>
      <c r="U53" s="39"/>
      <c r="V53" s="39"/>
      <c r="W53" s="39"/>
      <c r="X53" s="39"/>
      <c r="Y53" s="39"/>
      <c r="Z53" s="38"/>
      <c r="AA53" s="38"/>
      <c r="AB53" s="38"/>
      <c r="AC53" s="38"/>
      <c r="AI53" s="17"/>
      <c r="AJ53" s="17"/>
      <c r="AK53" s="17"/>
      <c r="AL53" s="222">
        <v>4</v>
      </c>
      <c r="AM53" s="222">
        <f t="shared" si="24"/>
        <v>24884</v>
      </c>
      <c r="AN53" s="222">
        <f t="shared" si="25"/>
        <v>32684</v>
      </c>
      <c r="AO53" s="222">
        <f t="shared" si="26"/>
        <v>0</v>
      </c>
      <c r="AP53" s="222">
        <f t="shared" si="27"/>
        <v>200</v>
      </c>
      <c r="AQ53" s="23">
        <f t="shared" si="28"/>
        <v>1429.6708841029067</v>
      </c>
      <c r="AR53" s="18">
        <v>4</v>
      </c>
      <c r="AW53" s="222">
        <v>48</v>
      </c>
      <c r="AX53" s="222">
        <f t="shared" si="13"/>
        <v>53913</v>
      </c>
      <c r="AY53" s="23">
        <v>46</v>
      </c>
      <c r="AZ53" s="222">
        <f t="shared" si="14"/>
        <v>16</v>
      </c>
      <c r="BA53" s="222">
        <f t="shared" ca="1" si="15"/>
        <v>18449</v>
      </c>
      <c r="BB53" s="222">
        <f t="shared" ca="1" si="16"/>
        <v>18444</v>
      </c>
      <c r="BC53" s="222">
        <f t="shared" ca="1" si="17"/>
        <v>1574.6708841029067</v>
      </c>
      <c r="BD53" s="17"/>
    </row>
    <row r="54" spans="5:56" x14ac:dyDescent="0.45">
      <c r="E54" s="214"/>
      <c r="F54" s="17"/>
      <c r="G54" s="17"/>
      <c r="H54" s="214"/>
      <c r="S54" s="38"/>
      <c r="T54" s="39"/>
      <c r="U54" s="39"/>
      <c r="V54" s="39"/>
      <c r="W54" s="39"/>
      <c r="X54" s="39"/>
      <c r="Y54" s="39"/>
      <c r="Z54" s="38"/>
      <c r="AA54" s="38"/>
      <c r="AB54" s="38"/>
      <c r="AC54" s="38"/>
      <c r="AI54" s="17"/>
      <c r="AJ54" s="17"/>
      <c r="AK54" s="17"/>
      <c r="AL54" s="222">
        <v>5</v>
      </c>
      <c r="AM54" s="222">
        <f t="shared" si="24"/>
        <v>32684</v>
      </c>
      <c r="AN54" s="222">
        <f t="shared" si="25"/>
        <v>39584</v>
      </c>
      <c r="AO54" s="222">
        <f t="shared" si="26"/>
        <v>0</v>
      </c>
      <c r="AP54" s="222">
        <f t="shared" si="27"/>
        <v>200</v>
      </c>
      <c r="AQ54" s="23">
        <f t="shared" si="28"/>
        <v>1429.6708841029067</v>
      </c>
      <c r="AR54" s="18">
        <v>5</v>
      </c>
      <c r="AW54" s="222">
        <v>49</v>
      </c>
      <c r="AX54" s="228">
        <f t="shared" si="13"/>
        <v>55057</v>
      </c>
      <c r="AY54" s="23">
        <v>47</v>
      </c>
      <c r="AZ54" s="222">
        <f t="shared" si="14"/>
        <v>16</v>
      </c>
      <c r="BA54" s="222">
        <f t="shared" ca="1" si="15"/>
        <v>18449</v>
      </c>
      <c r="BB54" s="222">
        <f t="shared" ca="1" si="16"/>
        <v>18449</v>
      </c>
      <c r="BC54" s="222">
        <f t="shared" ca="1" si="17"/>
        <v>1429.6708841029067</v>
      </c>
      <c r="BD54" s="17"/>
    </row>
    <row r="55" spans="5:56" x14ac:dyDescent="0.45">
      <c r="E55" s="214"/>
      <c r="F55" s="17"/>
      <c r="G55" s="17"/>
      <c r="H55" s="214"/>
      <c r="S55" s="38"/>
      <c r="T55" s="39"/>
      <c r="U55" s="39"/>
      <c r="V55" s="39"/>
      <c r="W55" s="39"/>
      <c r="X55" s="39"/>
      <c r="Y55" s="39"/>
      <c r="Z55" s="38"/>
      <c r="AA55" s="38"/>
      <c r="AB55" s="38"/>
      <c r="AC55" s="38"/>
      <c r="AI55" s="17"/>
      <c r="AJ55" s="17"/>
      <c r="AK55" s="17"/>
      <c r="AL55" s="222">
        <v>6</v>
      </c>
      <c r="AM55" s="222">
        <f t="shared" si="24"/>
        <v>39584</v>
      </c>
      <c r="AN55" s="222">
        <f t="shared" si="25"/>
        <v>52384</v>
      </c>
      <c r="AO55" s="222">
        <f t="shared" si="26"/>
        <v>0</v>
      </c>
      <c r="AP55" s="222">
        <f t="shared" si="27"/>
        <v>200</v>
      </c>
      <c r="AQ55" s="23">
        <f t="shared" si="28"/>
        <v>1429.6708841029067</v>
      </c>
      <c r="AR55" s="18">
        <v>6</v>
      </c>
      <c r="AW55" s="222">
        <v>50</v>
      </c>
      <c r="AX55" s="222">
        <f t="shared" si="13"/>
        <v>56201</v>
      </c>
      <c r="AY55" s="23">
        <v>48</v>
      </c>
      <c r="AZ55" s="222">
        <f t="shared" si="14"/>
        <v>17</v>
      </c>
      <c r="BA55" s="222">
        <f t="shared" ca="1" si="15"/>
        <v>19593</v>
      </c>
      <c r="BB55" s="222">
        <f t="shared" ca="1" si="16"/>
        <v>18454</v>
      </c>
      <c r="BC55" s="222">
        <f t="shared" ca="1" si="17"/>
        <v>1574.6708841029067</v>
      </c>
      <c r="BD55" s="17"/>
    </row>
    <row r="56" spans="5:56" x14ac:dyDescent="0.45">
      <c r="E56" s="214"/>
      <c r="F56" s="17"/>
      <c r="G56" s="17"/>
      <c r="H56" s="214"/>
      <c r="S56" s="38"/>
      <c r="T56" s="39"/>
      <c r="U56" s="39"/>
      <c r="V56" s="39"/>
      <c r="W56" s="39"/>
      <c r="X56" s="39"/>
      <c r="Y56" s="39"/>
      <c r="Z56" s="38"/>
      <c r="AA56" s="38"/>
      <c r="AB56" s="38"/>
      <c r="AC56" s="38"/>
      <c r="AI56" s="17"/>
      <c r="AJ56" s="17"/>
      <c r="AK56" s="17"/>
      <c r="AL56" s="222">
        <v>7</v>
      </c>
      <c r="AM56" s="222" t="str">
        <f t="shared" si="24"/>
        <v/>
      </c>
      <c r="AN56" s="222">
        <f t="shared" si="25"/>
        <v>59384</v>
      </c>
      <c r="AO56" s="222">
        <f t="shared" si="26"/>
        <v>0</v>
      </c>
      <c r="AP56" s="222">
        <f t="shared" si="27"/>
        <v>200</v>
      </c>
      <c r="AQ56" s="23">
        <f t="shared" si="28"/>
        <v>1429.6708841029067</v>
      </c>
      <c r="AR56" s="18">
        <v>7</v>
      </c>
      <c r="AW56" s="222">
        <v>51</v>
      </c>
      <c r="AX56" s="222">
        <f t="shared" si="13"/>
        <v>57345</v>
      </c>
      <c r="AY56" s="23">
        <v>49</v>
      </c>
      <c r="AZ56" s="222">
        <f t="shared" si="14"/>
        <v>17</v>
      </c>
      <c r="BA56" s="222">
        <f t="shared" ca="1" si="15"/>
        <v>19593</v>
      </c>
      <c r="BB56" s="222">
        <f t="shared" ca="1" si="16"/>
        <v>19588</v>
      </c>
      <c r="BC56" s="222">
        <f t="shared" ca="1" si="17"/>
        <v>1574.6708841029067</v>
      </c>
      <c r="BD56" s="17"/>
    </row>
    <row r="57" spans="5:56" x14ac:dyDescent="0.45">
      <c r="E57" s="214"/>
      <c r="F57" s="17"/>
      <c r="G57" s="17"/>
      <c r="H57" s="214"/>
      <c r="S57" s="38"/>
      <c r="T57" s="39"/>
      <c r="U57" s="39"/>
      <c r="V57" s="39"/>
      <c r="W57" s="39"/>
      <c r="X57" s="39"/>
      <c r="Y57" s="39"/>
      <c r="Z57" s="38"/>
      <c r="AA57" s="38"/>
      <c r="AB57" s="38"/>
      <c r="AC57" s="38"/>
      <c r="AI57" s="17"/>
      <c r="AJ57" s="17"/>
      <c r="AK57" s="17"/>
      <c r="AL57" s="222">
        <v>8</v>
      </c>
      <c r="AM57" s="222">
        <f t="shared" si="24"/>
        <v>52384</v>
      </c>
      <c r="AN57" s="222">
        <f t="shared" si="25"/>
        <v>67184</v>
      </c>
      <c r="AO57" s="222">
        <f t="shared" si="26"/>
        <v>0</v>
      </c>
      <c r="AP57" s="222">
        <f t="shared" si="27"/>
        <v>200</v>
      </c>
      <c r="AQ57" s="23">
        <f t="shared" si="28"/>
        <v>1429.6708841029067</v>
      </c>
      <c r="AR57" s="18">
        <v>8</v>
      </c>
      <c r="AW57" s="222">
        <v>52</v>
      </c>
      <c r="AX57" s="222">
        <f t="shared" si="13"/>
        <v>58489</v>
      </c>
      <c r="AY57" s="23">
        <v>50</v>
      </c>
      <c r="AZ57" s="222">
        <f t="shared" si="14"/>
        <v>17</v>
      </c>
      <c r="BA57" s="222">
        <f t="shared" ca="1" si="15"/>
        <v>19593</v>
      </c>
      <c r="BB57" s="222">
        <f t="shared" ca="1" si="16"/>
        <v>19593</v>
      </c>
      <c r="BC57" s="222">
        <f t="shared" ca="1" si="17"/>
        <v>1429.6708841029067</v>
      </c>
      <c r="BD57" s="17"/>
    </row>
    <row r="58" spans="5:56" x14ac:dyDescent="0.45">
      <c r="E58" s="214"/>
      <c r="F58" s="17"/>
      <c r="G58" s="17"/>
      <c r="H58" s="214"/>
      <c r="S58" s="38"/>
      <c r="T58" s="39"/>
      <c r="U58" s="39"/>
      <c r="V58" s="39"/>
      <c r="W58" s="39"/>
      <c r="X58" s="39"/>
      <c r="Y58" s="39"/>
      <c r="Z58" s="38"/>
      <c r="AA58" s="38"/>
      <c r="AB58" s="38"/>
      <c r="AC58" s="38"/>
      <c r="AI58" s="17"/>
      <c r="AJ58" s="17"/>
      <c r="AK58" s="17"/>
      <c r="AL58" s="222">
        <v>9</v>
      </c>
      <c r="AM58" s="222">
        <f t="shared" si="24"/>
        <v>59384</v>
      </c>
      <c r="AN58" s="222">
        <f t="shared" si="25"/>
        <v>74984</v>
      </c>
      <c r="AO58" s="222">
        <f t="shared" si="26"/>
        <v>0</v>
      </c>
      <c r="AP58" s="222">
        <f t="shared" si="27"/>
        <v>200</v>
      </c>
      <c r="AQ58" s="23">
        <f t="shared" si="28"/>
        <v>1429.6708841029067</v>
      </c>
      <c r="AR58" s="18">
        <v>9</v>
      </c>
      <c r="AW58" s="222">
        <v>53</v>
      </c>
      <c r="AX58" s="229">
        <f t="shared" si="13"/>
        <v>59633</v>
      </c>
      <c r="AY58" s="23">
        <v>51</v>
      </c>
      <c r="AZ58" s="222">
        <f t="shared" si="14"/>
        <v>18</v>
      </c>
      <c r="BA58" s="222">
        <f t="shared" ca="1" si="15"/>
        <v>20737</v>
      </c>
      <c r="BB58" s="222">
        <f t="shared" ca="1" si="16"/>
        <v>19598</v>
      </c>
      <c r="BC58" s="222">
        <f t="shared" ca="1" si="17"/>
        <v>1574.6708841029067</v>
      </c>
      <c r="BD58" s="17"/>
    </row>
    <row r="59" spans="5:56" x14ac:dyDescent="0.45">
      <c r="E59" s="214"/>
      <c r="F59" s="17"/>
      <c r="G59" s="17"/>
      <c r="H59" s="214"/>
      <c r="S59" s="38"/>
      <c r="T59" s="39"/>
      <c r="U59" s="39"/>
      <c r="V59" s="39"/>
      <c r="W59" s="39"/>
      <c r="X59" s="39"/>
      <c r="Y59" s="39"/>
      <c r="Z59" s="38"/>
      <c r="AA59" s="38"/>
      <c r="AB59" s="38"/>
      <c r="AC59" s="38"/>
      <c r="AI59" s="17"/>
      <c r="AJ59" s="17"/>
      <c r="AK59" s="17"/>
      <c r="AL59" s="222">
        <v>10</v>
      </c>
      <c r="AM59" s="222">
        <f t="shared" si="24"/>
        <v>67184</v>
      </c>
      <c r="AN59" s="222">
        <f t="shared" si="25"/>
        <v>89984</v>
      </c>
      <c r="AO59" s="222">
        <f t="shared" si="26"/>
        <v>0</v>
      </c>
      <c r="AP59" s="222">
        <f t="shared" si="27"/>
        <v>200</v>
      </c>
      <c r="AQ59" s="23">
        <f t="shared" si="28"/>
        <v>1429.6708841029067</v>
      </c>
      <c r="AR59" s="18">
        <v>10</v>
      </c>
      <c r="AW59" s="222">
        <v>54</v>
      </c>
      <c r="AX59" s="222">
        <f t="shared" si="13"/>
        <v>60777</v>
      </c>
      <c r="AY59" s="23">
        <v>52</v>
      </c>
      <c r="AZ59" s="222">
        <f t="shared" si="14"/>
        <v>18</v>
      </c>
      <c r="BA59" s="222">
        <f t="shared" ca="1" si="15"/>
        <v>20737</v>
      </c>
      <c r="BB59" s="222">
        <f t="shared" ca="1" si="16"/>
        <v>20732</v>
      </c>
      <c r="BC59" s="222">
        <f t="shared" ca="1" si="17"/>
        <v>1574.6708841029067</v>
      </c>
      <c r="BD59" s="17"/>
    </row>
    <row r="60" spans="5:56" x14ac:dyDescent="0.45">
      <c r="E60" s="214"/>
      <c r="F60" s="17"/>
      <c r="G60" s="17"/>
      <c r="H60" s="214"/>
      <c r="S60" s="38"/>
      <c r="T60" s="39"/>
      <c r="U60" s="39"/>
      <c r="V60" s="39"/>
      <c r="W60" s="39"/>
      <c r="X60" s="39"/>
      <c r="Y60" s="39"/>
      <c r="Z60" s="38"/>
      <c r="AA60" s="38"/>
      <c r="AB60" s="38"/>
      <c r="AC60" s="38"/>
      <c r="AI60" s="17"/>
      <c r="AJ60" s="17"/>
      <c r="AK60" s="17"/>
      <c r="AL60" s="222">
        <v>11</v>
      </c>
      <c r="AM60" s="222">
        <f t="shared" si="24"/>
        <v>74984</v>
      </c>
      <c r="AN60" s="222" t="e">
        <f t="shared" si="25"/>
        <v>#N/A</v>
      </c>
      <c r="AO60" s="222">
        <f t="shared" si="26"/>
        <v>0</v>
      </c>
      <c r="AP60" s="222">
        <f t="shared" si="27"/>
        <v>200</v>
      </c>
      <c r="AQ60" s="23">
        <f t="shared" si="28"/>
        <v>1429.6708841029067</v>
      </c>
      <c r="AR60" s="18">
        <v>11</v>
      </c>
      <c r="AW60" s="222">
        <v>55</v>
      </c>
      <c r="AX60" s="222">
        <f t="shared" si="13"/>
        <v>61921</v>
      </c>
      <c r="AY60" s="23">
        <v>53</v>
      </c>
      <c r="AZ60" s="222">
        <f t="shared" si="14"/>
        <v>18</v>
      </c>
      <c r="BA60" s="222">
        <f t="shared" ca="1" si="15"/>
        <v>20737</v>
      </c>
      <c r="BB60" s="222">
        <f t="shared" ca="1" si="16"/>
        <v>20737</v>
      </c>
      <c r="BC60" s="222">
        <f t="shared" ca="1" si="17"/>
        <v>1429.6708841029067</v>
      </c>
      <c r="BD60" s="17"/>
    </row>
    <row r="61" spans="5:56" x14ac:dyDescent="0.45">
      <c r="E61" s="214"/>
      <c r="F61" s="17"/>
      <c r="G61" s="17"/>
      <c r="H61" s="214"/>
      <c r="S61" s="38"/>
      <c r="T61" s="39"/>
      <c r="U61" s="39"/>
      <c r="V61" s="39"/>
      <c r="W61" s="39"/>
      <c r="X61" s="39"/>
      <c r="Y61" s="39"/>
      <c r="Z61" s="38"/>
      <c r="AA61" s="38"/>
      <c r="AB61" s="38"/>
      <c r="AC61" s="38"/>
      <c r="AI61" s="17"/>
      <c r="AJ61" s="17"/>
      <c r="AK61" s="17"/>
      <c r="AL61" s="222">
        <v>12</v>
      </c>
      <c r="AM61" s="222" t="str">
        <f t="shared" si="24"/>
        <v/>
      </c>
      <c r="AN61" s="222" t="e">
        <f t="shared" si="25"/>
        <v>#N/A</v>
      </c>
      <c r="AO61" s="222">
        <f t="shared" si="26"/>
        <v>0</v>
      </c>
      <c r="AP61" s="222">
        <f t="shared" si="27"/>
        <v>200</v>
      </c>
      <c r="AQ61" s="23">
        <f t="shared" si="28"/>
        <v>1429.6708841029067</v>
      </c>
      <c r="AR61" s="18">
        <v>12</v>
      </c>
      <c r="AW61" s="222">
        <v>56</v>
      </c>
      <c r="AX61" s="222">
        <f t="shared" si="13"/>
        <v>63065</v>
      </c>
      <c r="AY61" s="23">
        <v>54</v>
      </c>
      <c r="AZ61" s="222">
        <f t="shared" si="14"/>
        <v>19</v>
      </c>
      <c r="BA61" s="222">
        <f t="shared" ca="1" si="15"/>
        <v>21881</v>
      </c>
      <c r="BB61" s="222">
        <f t="shared" ca="1" si="16"/>
        <v>20742</v>
      </c>
      <c r="BC61" s="222">
        <f t="shared" ca="1" si="17"/>
        <v>1574.6708841029067</v>
      </c>
      <c r="BD61" s="17"/>
    </row>
    <row r="62" spans="5:56" x14ac:dyDescent="0.45">
      <c r="E62" s="214"/>
      <c r="F62" s="17"/>
      <c r="G62" s="17"/>
      <c r="H62" s="214"/>
      <c r="S62" s="38"/>
      <c r="T62" s="39"/>
      <c r="U62" s="39"/>
      <c r="V62" s="39"/>
      <c r="W62" s="39"/>
      <c r="X62" s="39"/>
      <c r="Y62" s="39"/>
      <c r="Z62" s="38"/>
      <c r="AA62" s="38"/>
      <c r="AB62" s="38"/>
      <c r="AC62" s="38"/>
      <c r="AI62" s="17"/>
      <c r="AJ62" s="17"/>
      <c r="AK62" s="17"/>
      <c r="AL62" s="222">
        <v>13</v>
      </c>
      <c r="AM62" s="222">
        <f t="shared" si="24"/>
        <v>89984</v>
      </c>
      <c r="AN62" s="222" t="e">
        <f t="shared" si="25"/>
        <v>#N/A</v>
      </c>
      <c r="AO62" s="222">
        <f t="shared" si="26"/>
        <v>0</v>
      </c>
      <c r="AP62" s="222">
        <f t="shared" si="27"/>
        <v>200</v>
      </c>
      <c r="AQ62" s="23">
        <f t="shared" si="28"/>
        <v>1429.6708841029067</v>
      </c>
      <c r="AR62" s="18">
        <v>13</v>
      </c>
      <c r="AW62" s="222">
        <v>57</v>
      </c>
      <c r="AX62" s="222">
        <f t="shared" si="13"/>
        <v>64209</v>
      </c>
      <c r="AY62" s="23">
        <v>55</v>
      </c>
      <c r="AZ62" s="222">
        <f t="shared" si="14"/>
        <v>19</v>
      </c>
      <c r="BA62" s="222">
        <f t="shared" ca="1" si="15"/>
        <v>21881</v>
      </c>
      <c r="BB62" s="222">
        <f t="shared" ca="1" si="16"/>
        <v>21876</v>
      </c>
      <c r="BC62" s="222">
        <f t="shared" ca="1" si="17"/>
        <v>1574.6708841029067</v>
      </c>
      <c r="BD62" s="17"/>
    </row>
    <row r="63" spans="5:56" x14ac:dyDescent="0.45">
      <c r="E63" s="214"/>
      <c r="F63" s="17"/>
      <c r="G63" s="17"/>
      <c r="H63" s="214"/>
      <c r="S63" s="38"/>
      <c r="T63" s="39"/>
      <c r="U63" s="39"/>
      <c r="V63" s="39"/>
      <c r="W63" s="39"/>
      <c r="X63" s="39"/>
      <c r="Y63" s="39"/>
      <c r="Z63" s="38"/>
      <c r="AA63" s="38"/>
      <c r="AB63" s="38"/>
      <c r="AC63" s="38"/>
      <c r="AI63" s="17"/>
      <c r="AJ63" s="17"/>
      <c r="AK63" s="17"/>
      <c r="AL63" s="222">
        <v>14</v>
      </c>
      <c r="AM63" s="222" t="str">
        <f t="shared" si="24"/>
        <v/>
      </c>
      <c r="AN63" s="222" t="e">
        <f t="shared" si="25"/>
        <v>#N/A</v>
      </c>
      <c r="AO63" s="222">
        <f t="shared" si="26"/>
        <v>0</v>
      </c>
      <c r="AP63" s="222">
        <f t="shared" si="27"/>
        <v>200</v>
      </c>
      <c r="AQ63" s="23">
        <f t="shared" si="28"/>
        <v>1429.6708841029067</v>
      </c>
      <c r="AR63" s="18">
        <v>14</v>
      </c>
      <c r="AW63" s="222">
        <v>58</v>
      </c>
      <c r="AX63" s="222">
        <f t="shared" si="13"/>
        <v>65353</v>
      </c>
      <c r="AY63" s="23">
        <v>56</v>
      </c>
      <c r="AZ63" s="222">
        <f t="shared" si="14"/>
        <v>19</v>
      </c>
      <c r="BA63" s="222">
        <f t="shared" ca="1" si="15"/>
        <v>21881</v>
      </c>
      <c r="BB63" s="222">
        <f t="shared" ca="1" si="16"/>
        <v>21881</v>
      </c>
      <c r="BC63" s="222">
        <f t="shared" ca="1" si="17"/>
        <v>1429.6708841029067</v>
      </c>
      <c r="BD63" s="17"/>
    </row>
    <row r="64" spans="5:56" x14ac:dyDescent="0.45">
      <c r="E64" s="214"/>
      <c r="F64" s="17"/>
      <c r="G64" s="17"/>
      <c r="H64" s="214"/>
      <c r="S64" s="38"/>
      <c r="T64" s="39"/>
      <c r="U64" s="39"/>
      <c r="V64" s="39"/>
      <c r="W64" s="39"/>
      <c r="X64" s="39"/>
      <c r="Y64" s="39"/>
      <c r="Z64" s="38"/>
      <c r="AA64" s="38"/>
      <c r="AB64" s="38"/>
      <c r="AC64" s="38"/>
      <c r="AI64" s="17"/>
      <c r="AJ64" s="17"/>
      <c r="AK64" s="17"/>
      <c r="AL64" s="222">
        <v>15</v>
      </c>
      <c r="AM64" s="222" t="str">
        <f t="shared" si="24"/>
        <v/>
      </c>
      <c r="AN64" s="222" t="e">
        <f t="shared" si="25"/>
        <v>#N/A</v>
      </c>
      <c r="AO64" s="222">
        <f t="shared" si="26"/>
        <v>0</v>
      </c>
      <c r="AP64" s="222">
        <f t="shared" si="27"/>
        <v>200</v>
      </c>
      <c r="AQ64" s="23">
        <f t="shared" si="28"/>
        <v>1429.6708841029067</v>
      </c>
      <c r="AR64" s="18">
        <v>15</v>
      </c>
      <c r="AW64" s="222">
        <v>59</v>
      </c>
      <c r="AX64" s="222">
        <f t="shared" si="13"/>
        <v>66497</v>
      </c>
      <c r="AY64" s="23">
        <v>57</v>
      </c>
      <c r="AZ64" s="222">
        <f t="shared" si="14"/>
        <v>20</v>
      </c>
      <c r="BA64" s="222">
        <f t="shared" ca="1" si="15"/>
        <v>23025</v>
      </c>
      <c r="BB64" s="222">
        <f t="shared" ca="1" si="16"/>
        <v>21886</v>
      </c>
      <c r="BC64" s="222">
        <f t="shared" ca="1" si="17"/>
        <v>1574.6708841029067</v>
      </c>
      <c r="BD64" s="17"/>
    </row>
    <row r="65" spans="5:56" x14ac:dyDescent="0.45">
      <c r="E65" s="214"/>
      <c r="F65" s="17"/>
      <c r="G65" s="17"/>
      <c r="H65" s="214"/>
      <c r="S65" s="38"/>
      <c r="T65" s="39"/>
      <c r="U65" s="39"/>
      <c r="V65" s="39"/>
      <c r="W65" s="39"/>
      <c r="X65" s="39"/>
      <c r="Y65" s="39"/>
      <c r="Z65" s="38"/>
      <c r="AA65" s="38"/>
      <c r="AB65" s="38"/>
      <c r="AC65" s="38"/>
      <c r="AI65" s="17"/>
      <c r="AJ65" s="17"/>
      <c r="AK65" s="17"/>
      <c r="AL65" s="222">
        <v>16</v>
      </c>
      <c r="AM65" s="222" t="str">
        <f t="shared" si="24"/>
        <v/>
      </c>
      <c r="AN65" s="222" t="e">
        <f t="shared" si="25"/>
        <v>#N/A</v>
      </c>
      <c r="AO65" s="222">
        <f t="shared" si="26"/>
        <v>0</v>
      </c>
      <c r="AP65" s="222">
        <f t="shared" si="27"/>
        <v>200</v>
      </c>
      <c r="AQ65" s="23">
        <f t="shared" si="28"/>
        <v>1429.6708841029067</v>
      </c>
      <c r="AR65" s="18">
        <v>16</v>
      </c>
      <c r="AW65" s="222">
        <v>60</v>
      </c>
      <c r="AX65" s="222">
        <f t="shared" si="13"/>
        <v>67641</v>
      </c>
      <c r="AY65" s="23">
        <v>58</v>
      </c>
      <c r="AZ65" s="222">
        <f t="shared" si="14"/>
        <v>20</v>
      </c>
      <c r="BA65" s="222">
        <f t="shared" ca="1" si="15"/>
        <v>23025</v>
      </c>
      <c r="BB65" s="222">
        <f t="shared" ca="1" si="16"/>
        <v>23020</v>
      </c>
      <c r="BC65" s="222">
        <f t="shared" ca="1" si="17"/>
        <v>1574.6708841029067</v>
      </c>
      <c r="BD65" s="17"/>
    </row>
    <row r="66" spans="5:56" x14ac:dyDescent="0.45">
      <c r="E66" s="214"/>
      <c r="F66" s="17"/>
      <c r="G66" s="17"/>
      <c r="H66" s="214"/>
      <c r="S66" s="38"/>
      <c r="T66" s="39"/>
      <c r="U66" s="39"/>
      <c r="V66" s="39"/>
      <c r="W66" s="39"/>
      <c r="X66" s="39"/>
      <c r="Y66" s="39"/>
      <c r="Z66" s="38"/>
      <c r="AA66" s="38"/>
      <c r="AB66" s="38"/>
      <c r="AC66" s="38"/>
      <c r="AI66" s="17"/>
      <c r="AJ66" s="17"/>
      <c r="AK66" s="17"/>
      <c r="AL66" s="222">
        <v>17</v>
      </c>
      <c r="AM66" s="222" t="str">
        <f t="shared" si="24"/>
        <v/>
      </c>
      <c r="AN66" s="222" t="e">
        <f t="shared" si="25"/>
        <v>#N/A</v>
      </c>
      <c r="AO66" s="222">
        <f t="shared" si="26"/>
        <v>0</v>
      </c>
      <c r="AP66" s="222">
        <f t="shared" si="27"/>
        <v>200</v>
      </c>
      <c r="AQ66" s="23">
        <f t="shared" si="28"/>
        <v>1429.6708841029067</v>
      </c>
      <c r="AR66" s="18">
        <v>17</v>
      </c>
      <c r="AW66" s="222">
        <v>61</v>
      </c>
      <c r="AX66" s="222">
        <f t="shared" si="13"/>
        <v>68785</v>
      </c>
      <c r="AY66" s="23">
        <v>59</v>
      </c>
      <c r="AZ66" s="222">
        <f t="shared" si="14"/>
        <v>20</v>
      </c>
      <c r="BA66" s="222">
        <f t="shared" ca="1" si="15"/>
        <v>23025</v>
      </c>
      <c r="BB66" s="222">
        <f t="shared" ca="1" si="16"/>
        <v>23025</v>
      </c>
      <c r="BC66" s="222">
        <f t="shared" ca="1" si="17"/>
        <v>1429.6708841029067</v>
      </c>
      <c r="BD66" s="17"/>
    </row>
    <row r="67" spans="5:56" x14ac:dyDescent="0.45">
      <c r="E67" s="214"/>
      <c r="F67" s="17"/>
      <c r="G67" s="17"/>
      <c r="H67" s="214"/>
      <c r="S67" s="38"/>
      <c r="T67" s="39"/>
      <c r="U67" s="39"/>
      <c r="V67" s="39"/>
      <c r="W67" s="39"/>
      <c r="X67" s="39"/>
      <c r="Y67" s="39"/>
      <c r="Z67" s="38"/>
      <c r="AA67" s="38"/>
      <c r="AB67" s="38"/>
      <c r="AC67" s="38"/>
      <c r="AI67" s="17"/>
      <c r="AJ67" s="17"/>
      <c r="AK67" s="17"/>
      <c r="AL67" s="222">
        <v>18</v>
      </c>
      <c r="AM67" s="222" t="str">
        <f t="shared" si="24"/>
        <v/>
      </c>
      <c r="AN67" s="222" t="e">
        <f t="shared" si="25"/>
        <v>#N/A</v>
      </c>
      <c r="AO67" s="222">
        <f t="shared" si="26"/>
        <v>0</v>
      </c>
      <c r="AP67" s="222">
        <f t="shared" si="27"/>
        <v>200</v>
      </c>
      <c r="AQ67" s="23">
        <f t="shared" si="28"/>
        <v>1429.6708841029067</v>
      </c>
      <c r="AR67" s="18">
        <v>18</v>
      </c>
      <c r="AW67" s="222">
        <v>62</v>
      </c>
      <c r="AX67" s="222">
        <f t="shared" si="13"/>
        <v>69929</v>
      </c>
      <c r="AY67" s="23">
        <v>60</v>
      </c>
      <c r="AZ67" s="222">
        <f t="shared" si="14"/>
        <v>21</v>
      </c>
      <c r="BA67" s="222">
        <f t="shared" ca="1" si="15"/>
        <v>24169</v>
      </c>
      <c r="BB67" s="222">
        <f t="shared" ca="1" si="16"/>
        <v>23030</v>
      </c>
      <c r="BC67" s="222">
        <f t="shared" ca="1" si="17"/>
        <v>1574.6708841029067</v>
      </c>
      <c r="BD67" s="17"/>
    </row>
    <row r="68" spans="5:56" x14ac:dyDescent="0.45">
      <c r="E68" s="214"/>
      <c r="F68" s="17"/>
      <c r="G68" s="17"/>
      <c r="H68" s="214"/>
      <c r="S68" s="38"/>
      <c r="T68" s="39"/>
      <c r="U68" s="39"/>
      <c r="V68" s="39"/>
      <c r="W68" s="39"/>
      <c r="X68" s="39"/>
      <c r="Y68" s="39"/>
      <c r="Z68" s="38"/>
      <c r="AA68" s="38"/>
      <c r="AB68" s="38"/>
      <c r="AC68" s="38"/>
      <c r="AI68" s="17"/>
      <c r="AJ68" s="17"/>
      <c r="AK68" s="17"/>
      <c r="AL68" s="222">
        <v>19</v>
      </c>
      <c r="AM68" s="222" t="str">
        <f t="shared" si="24"/>
        <v/>
      </c>
      <c r="AN68" s="222" t="e">
        <f t="shared" si="25"/>
        <v>#N/A</v>
      </c>
      <c r="AO68" s="222">
        <f t="shared" si="26"/>
        <v>0</v>
      </c>
      <c r="AP68" s="222">
        <f t="shared" si="27"/>
        <v>200</v>
      </c>
      <c r="AQ68" s="23">
        <f t="shared" si="28"/>
        <v>1429.6708841029067</v>
      </c>
      <c r="AR68" s="18">
        <v>19</v>
      </c>
      <c r="AW68" s="222">
        <v>63</v>
      </c>
      <c r="AX68" s="222">
        <f t="shared" si="13"/>
        <v>71073</v>
      </c>
      <c r="AY68" s="23">
        <v>61</v>
      </c>
      <c r="AZ68" s="222">
        <f t="shared" si="14"/>
        <v>21</v>
      </c>
      <c r="BA68" s="222">
        <f t="shared" ca="1" si="15"/>
        <v>24169</v>
      </c>
      <c r="BB68" s="222">
        <f t="shared" ca="1" si="16"/>
        <v>24164</v>
      </c>
      <c r="BC68" s="222">
        <f t="shared" ca="1" si="17"/>
        <v>1574.6708841029067</v>
      </c>
      <c r="BD68" s="17"/>
    </row>
    <row r="69" spans="5:56" x14ac:dyDescent="0.45">
      <c r="E69" s="214"/>
      <c r="F69" s="17"/>
      <c r="G69" s="17"/>
      <c r="H69" s="214"/>
      <c r="S69" s="38"/>
      <c r="T69" s="39"/>
      <c r="U69" s="39"/>
      <c r="V69" s="39"/>
      <c r="W69" s="39"/>
      <c r="X69" s="39"/>
      <c r="Y69" s="39"/>
      <c r="Z69" s="38"/>
      <c r="AA69" s="38"/>
      <c r="AB69" s="38"/>
      <c r="AC69" s="38"/>
      <c r="AI69" s="17"/>
      <c r="AJ69" s="17"/>
      <c r="AK69" s="17"/>
      <c r="AL69" s="222">
        <v>20</v>
      </c>
      <c r="AM69" s="222" t="str">
        <f t="shared" si="24"/>
        <v/>
      </c>
      <c r="AN69" s="222" t="e">
        <f t="shared" si="25"/>
        <v>#N/A</v>
      </c>
      <c r="AO69" s="222">
        <f t="shared" si="26"/>
        <v>0</v>
      </c>
      <c r="AP69" s="222">
        <f t="shared" si="27"/>
        <v>200</v>
      </c>
      <c r="AQ69" s="23">
        <f t="shared" si="28"/>
        <v>1429.6708841029067</v>
      </c>
      <c r="AR69" s="18">
        <v>20</v>
      </c>
      <c r="AW69" s="222">
        <v>64</v>
      </c>
      <c r="AX69" s="222">
        <f t="shared" si="13"/>
        <v>72217</v>
      </c>
      <c r="AY69" s="23">
        <v>62</v>
      </c>
      <c r="AZ69" s="222">
        <f t="shared" si="14"/>
        <v>21</v>
      </c>
      <c r="BA69" s="222">
        <f t="shared" ca="1" si="15"/>
        <v>24169</v>
      </c>
      <c r="BB69" s="222">
        <f t="shared" ca="1" si="16"/>
        <v>24169</v>
      </c>
      <c r="BC69" s="222">
        <f t="shared" ca="1" si="17"/>
        <v>1429.6708841029067</v>
      </c>
      <c r="BD69" s="17"/>
    </row>
    <row r="70" spans="5:56" x14ac:dyDescent="0.45">
      <c r="E70" s="214"/>
      <c r="F70" s="17"/>
      <c r="G70" s="17"/>
      <c r="H70" s="214"/>
      <c r="S70" s="38"/>
      <c r="T70" s="39"/>
      <c r="U70" s="39"/>
      <c r="V70" s="39"/>
      <c r="W70" s="39"/>
      <c r="X70" s="39"/>
      <c r="Y70" s="39"/>
      <c r="Z70" s="38"/>
      <c r="AA70" s="38"/>
      <c r="AB70" s="38"/>
      <c r="AC70" s="38"/>
      <c r="AI70" s="17"/>
      <c r="AJ70" s="17"/>
      <c r="AK70" s="17"/>
      <c r="AL70" s="17"/>
      <c r="AM70" s="17"/>
      <c r="AN70" s="17"/>
      <c r="AO70" s="17"/>
      <c r="AP70" s="17"/>
      <c r="AW70" s="222">
        <v>65</v>
      </c>
      <c r="AX70" s="222">
        <f t="shared" si="13"/>
        <v>73361</v>
      </c>
      <c r="AY70" s="23">
        <v>63</v>
      </c>
      <c r="AZ70" s="222">
        <f t="shared" si="14"/>
        <v>22</v>
      </c>
      <c r="BA70" s="222">
        <f t="shared" ca="1" si="15"/>
        <v>25313</v>
      </c>
      <c r="BB70" s="222">
        <f t="shared" ca="1" si="16"/>
        <v>24174</v>
      </c>
      <c r="BC70" s="222">
        <f t="shared" ca="1" si="17"/>
        <v>1574.6708841029067</v>
      </c>
      <c r="BD70" s="17"/>
    </row>
    <row r="71" spans="5:56" x14ac:dyDescent="0.45">
      <c r="E71" s="214"/>
      <c r="F71" s="17"/>
      <c r="G71" s="17"/>
      <c r="H71" s="214"/>
      <c r="S71" s="38"/>
      <c r="T71" s="39"/>
      <c r="U71" s="39"/>
      <c r="V71" s="39"/>
      <c r="W71" s="39"/>
      <c r="X71" s="39"/>
      <c r="Y71" s="39"/>
      <c r="Z71" s="38"/>
      <c r="AA71" s="38"/>
      <c r="AB71" s="38"/>
      <c r="AC71" s="38"/>
      <c r="AI71" s="17"/>
      <c r="AJ71" s="17"/>
      <c r="AK71" s="17"/>
      <c r="AL71" s="17"/>
      <c r="AM71" s="17"/>
      <c r="AN71" s="17"/>
      <c r="AO71" s="17"/>
      <c r="AP71" s="17"/>
      <c r="AW71" s="222">
        <v>66</v>
      </c>
      <c r="AX71" s="222">
        <f t="shared" si="13"/>
        <v>74505</v>
      </c>
      <c r="AY71" s="23">
        <v>64</v>
      </c>
      <c r="AZ71" s="222">
        <f t="shared" si="14"/>
        <v>22</v>
      </c>
      <c r="BA71" s="222">
        <f t="shared" ca="1" si="15"/>
        <v>25313</v>
      </c>
      <c r="BB71" s="222">
        <f t="shared" ca="1" si="16"/>
        <v>25308</v>
      </c>
      <c r="BC71" s="222">
        <f t="shared" ca="1" si="17"/>
        <v>1574.6708841029067</v>
      </c>
      <c r="BD71" s="17"/>
    </row>
    <row r="72" spans="5:56" x14ac:dyDescent="0.45">
      <c r="E72" s="214"/>
      <c r="F72" s="17"/>
      <c r="G72" s="17"/>
      <c r="H72" s="214"/>
      <c r="S72" s="38"/>
      <c r="T72" s="39"/>
      <c r="U72" s="39"/>
      <c r="V72" s="39"/>
      <c r="W72" s="39"/>
      <c r="X72" s="39"/>
      <c r="Y72" s="39"/>
      <c r="Z72" s="38"/>
      <c r="AA72" s="38"/>
      <c r="AB72" s="38"/>
      <c r="AC72" s="38"/>
      <c r="AI72" s="17"/>
      <c r="AJ72" s="17"/>
      <c r="AK72" s="17"/>
      <c r="AL72" s="17"/>
      <c r="AM72" s="17"/>
      <c r="AN72" s="17"/>
      <c r="AO72" s="17"/>
      <c r="AP72" s="17"/>
      <c r="AW72" s="222">
        <v>67</v>
      </c>
      <c r="AX72" s="222">
        <f t="shared" ref="AX72:AX135" si="29" xml:space="preserve"> IF(AW72 &lt;= $AX$4, AX71 + $AI$6 + $AI$11, NA())</f>
        <v>75649</v>
      </c>
      <c r="AY72" s="23">
        <v>65</v>
      </c>
      <c r="AZ72" s="222">
        <f t="shared" ref="AZ72:AZ135" si="30" xml:space="preserve"> IF($AW$6 + ROUNDDOWN(AY72 / 3, 0) &lt; $AX$4, $AW$6 + ROUNDDOWN(AY72 / 3, 0), NA())</f>
        <v>22</v>
      </c>
      <c r="BA72" s="222">
        <f t="shared" ref="BA72:BA135" ca="1" si="31" xml:space="preserve"> OFFSET($AX$6, AZ72, , ,)</f>
        <v>25313</v>
      </c>
      <c r="BB72" s="222">
        <f t="shared" ref="BB72:BB135" ca="1" si="32" xml:space="preserve"> IF(BA72, IF(MOD(AY72, 3) = 0, BA72 - $AI$11 / 2 - $AI$6, IF(MOD(AY72, 3) = 1, BA72 - $AI$11 / 2, BA72)))</f>
        <v>25313</v>
      </c>
      <c r="BC72" s="222">
        <f t="shared" ref="BC72:BC135" ca="1" si="33" xml:space="preserve"> IF(BA72, IF(MOD(AY72, 3) = 2, $AI$22, $AI$22 + 60 + 50 + 35))</f>
        <v>1429.6708841029067</v>
      </c>
      <c r="BD72" s="17"/>
    </row>
    <row r="73" spans="5:56" x14ac:dyDescent="0.45">
      <c r="E73" s="214"/>
      <c r="F73" s="17"/>
      <c r="G73" s="17"/>
      <c r="H73" s="214"/>
      <c r="S73" s="38"/>
      <c r="T73" s="39"/>
      <c r="U73" s="39"/>
      <c r="V73" s="39"/>
      <c r="W73" s="39"/>
      <c r="X73" s="39"/>
      <c r="Y73" s="39"/>
      <c r="Z73" s="38"/>
      <c r="AA73" s="38"/>
      <c r="AB73" s="38"/>
      <c r="AC73" s="38"/>
      <c r="AI73" s="17"/>
      <c r="AJ73" s="17"/>
      <c r="AK73" s="17"/>
      <c r="AL73" s="17"/>
      <c r="AM73" s="17"/>
      <c r="AN73" s="17"/>
      <c r="AO73" s="17"/>
      <c r="AP73" s="17"/>
      <c r="AW73" s="222">
        <v>68</v>
      </c>
      <c r="AX73" s="222">
        <f t="shared" si="29"/>
        <v>76793</v>
      </c>
      <c r="AY73" s="23">
        <v>66</v>
      </c>
      <c r="AZ73" s="222">
        <f t="shared" si="30"/>
        <v>23</v>
      </c>
      <c r="BA73" s="222">
        <f t="shared" ca="1" si="31"/>
        <v>26457</v>
      </c>
      <c r="BB73" s="222">
        <f t="shared" ca="1" si="32"/>
        <v>25318</v>
      </c>
      <c r="BC73" s="222">
        <f t="shared" ca="1" si="33"/>
        <v>1574.6708841029067</v>
      </c>
      <c r="BD73" s="17"/>
    </row>
    <row r="74" spans="5:56" x14ac:dyDescent="0.45">
      <c r="E74" s="214"/>
      <c r="F74" s="17"/>
      <c r="G74" s="17"/>
      <c r="H74" s="214"/>
      <c r="S74" s="38"/>
      <c r="T74" s="39"/>
      <c r="U74" s="39"/>
      <c r="V74" s="39"/>
      <c r="W74" s="39"/>
      <c r="X74" s="39"/>
      <c r="Y74" s="39"/>
      <c r="Z74" s="38"/>
      <c r="AA74" s="38"/>
      <c r="AB74" s="38"/>
      <c r="AC74" s="38"/>
      <c r="AI74" s="17"/>
      <c r="AJ74" s="17"/>
      <c r="AK74" s="17"/>
      <c r="AL74" s="17"/>
      <c r="AM74" s="17"/>
      <c r="AN74" s="17"/>
      <c r="AO74" s="17"/>
      <c r="AP74" s="17"/>
      <c r="AW74" s="222">
        <v>69</v>
      </c>
      <c r="AX74" s="222">
        <f t="shared" si="29"/>
        <v>77937</v>
      </c>
      <c r="AY74" s="23">
        <v>67</v>
      </c>
      <c r="AZ74" s="222">
        <f t="shared" si="30"/>
        <v>23</v>
      </c>
      <c r="BA74" s="222">
        <f t="shared" ca="1" si="31"/>
        <v>26457</v>
      </c>
      <c r="BB74" s="222">
        <f t="shared" ca="1" si="32"/>
        <v>26452</v>
      </c>
      <c r="BC74" s="222">
        <f t="shared" ca="1" si="33"/>
        <v>1574.6708841029067</v>
      </c>
      <c r="BD74" s="17"/>
    </row>
    <row r="75" spans="5:56" x14ac:dyDescent="0.45">
      <c r="E75" s="214"/>
      <c r="F75" s="17"/>
      <c r="G75" s="17"/>
      <c r="H75" s="214"/>
      <c r="S75" s="38"/>
      <c r="T75" s="39"/>
      <c r="U75" s="39"/>
      <c r="V75" s="39"/>
      <c r="W75" s="39"/>
      <c r="X75" s="39"/>
      <c r="Y75" s="39"/>
      <c r="Z75" s="38"/>
      <c r="AA75" s="38"/>
      <c r="AB75" s="38"/>
      <c r="AC75" s="38"/>
      <c r="AI75" s="17"/>
      <c r="AJ75" s="17"/>
      <c r="AK75" s="17"/>
      <c r="AL75" s="17"/>
      <c r="AM75" s="17"/>
      <c r="AN75" s="17"/>
      <c r="AO75" s="17"/>
      <c r="AP75" s="17"/>
      <c r="AW75" s="222">
        <v>70</v>
      </c>
      <c r="AX75" s="222">
        <f t="shared" si="29"/>
        <v>79081</v>
      </c>
      <c r="AY75" s="23">
        <v>68</v>
      </c>
      <c r="AZ75" s="222">
        <f t="shared" si="30"/>
        <v>23</v>
      </c>
      <c r="BA75" s="222">
        <f t="shared" ca="1" si="31"/>
        <v>26457</v>
      </c>
      <c r="BB75" s="222">
        <f t="shared" ca="1" si="32"/>
        <v>26457</v>
      </c>
      <c r="BC75" s="222">
        <f t="shared" ca="1" si="33"/>
        <v>1429.6708841029067</v>
      </c>
      <c r="BD75" s="17"/>
    </row>
    <row r="76" spans="5:56" x14ac:dyDescent="0.45">
      <c r="E76" s="214"/>
      <c r="F76" s="17"/>
      <c r="G76" s="17"/>
      <c r="H76" s="214"/>
      <c r="S76" s="38"/>
      <c r="T76" s="39"/>
      <c r="U76" s="39"/>
      <c r="V76" s="39"/>
      <c r="W76" s="39"/>
      <c r="X76" s="39"/>
      <c r="Y76" s="39"/>
      <c r="Z76" s="38"/>
      <c r="AA76" s="38"/>
      <c r="AB76" s="38"/>
      <c r="AC76" s="38"/>
      <c r="AI76" s="17"/>
      <c r="AJ76" s="17"/>
      <c r="AK76" s="17"/>
      <c r="AL76" s="17"/>
      <c r="AM76" s="17"/>
      <c r="AN76" s="17"/>
      <c r="AO76" s="17"/>
      <c r="AP76" s="17"/>
      <c r="AW76" s="222">
        <v>71</v>
      </c>
      <c r="AX76" s="222">
        <f t="shared" si="29"/>
        <v>80225</v>
      </c>
      <c r="AY76" s="23">
        <v>69</v>
      </c>
      <c r="AZ76" s="222">
        <f t="shared" si="30"/>
        <v>24</v>
      </c>
      <c r="BA76" s="222">
        <f t="shared" ca="1" si="31"/>
        <v>27601</v>
      </c>
      <c r="BB76" s="222">
        <f t="shared" ca="1" si="32"/>
        <v>26462</v>
      </c>
      <c r="BC76" s="222">
        <f t="shared" ca="1" si="33"/>
        <v>1574.6708841029067</v>
      </c>
      <c r="BD76" s="17"/>
    </row>
    <row r="77" spans="5:56" x14ac:dyDescent="0.45">
      <c r="E77" s="214"/>
      <c r="F77" s="17"/>
      <c r="G77" s="17"/>
      <c r="H77" s="214"/>
      <c r="S77" s="38"/>
      <c r="T77" s="39"/>
      <c r="U77" s="39"/>
      <c r="V77" s="39"/>
      <c r="W77" s="39"/>
      <c r="X77" s="39"/>
      <c r="Y77" s="39"/>
      <c r="Z77" s="38"/>
      <c r="AA77" s="38"/>
      <c r="AB77" s="38"/>
      <c r="AC77" s="38"/>
      <c r="AI77" s="17"/>
      <c r="AJ77" s="17"/>
      <c r="AK77" s="17"/>
      <c r="AL77" s="17"/>
      <c r="AM77" s="17"/>
      <c r="AN77" s="17"/>
      <c r="AO77" s="17"/>
      <c r="AP77" s="17"/>
      <c r="AW77" s="222">
        <v>72</v>
      </c>
      <c r="AX77" s="222">
        <f t="shared" si="29"/>
        <v>81369</v>
      </c>
      <c r="AY77" s="23">
        <v>70</v>
      </c>
      <c r="AZ77" s="222">
        <f t="shared" si="30"/>
        <v>24</v>
      </c>
      <c r="BA77" s="222">
        <f t="shared" ca="1" si="31"/>
        <v>27601</v>
      </c>
      <c r="BB77" s="222">
        <f t="shared" ca="1" si="32"/>
        <v>27596</v>
      </c>
      <c r="BC77" s="222">
        <f t="shared" ca="1" si="33"/>
        <v>1574.6708841029067</v>
      </c>
      <c r="BD77" s="17"/>
    </row>
    <row r="78" spans="5:56" x14ac:dyDescent="0.45">
      <c r="E78" s="214"/>
      <c r="F78" s="17"/>
      <c r="G78" s="17"/>
      <c r="H78" s="214"/>
      <c r="S78" s="38"/>
      <c r="T78" s="39"/>
      <c r="U78" s="39"/>
      <c r="V78" s="39"/>
      <c r="W78" s="39"/>
      <c r="X78" s="39"/>
      <c r="Y78" s="39"/>
      <c r="Z78" s="38"/>
      <c r="AA78" s="38"/>
      <c r="AB78" s="38"/>
      <c r="AC78" s="38"/>
      <c r="AI78" s="17"/>
      <c r="AJ78" s="17"/>
      <c r="AK78" s="17"/>
      <c r="AL78" s="17"/>
      <c r="AM78" s="17"/>
      <c r="AN78" s="17"/>
      <c r="AO78" s="17"/>
      <c r="AP78" s="17"/>
      <c r="AW78" s="222">
        <v>73</v>
      </c>
      <c r="AX78" s="222">
        <f t="shared" si="29"/>
        <v>82513</v>
      </c>
      <c r="AY78" s="23">
        <v>71</v>
      </c>
      <c r="AZ78" s="222">
        <f t="shared" si="30"/>
        <v>24</v>
      </c>
      <c r="BA78" s="222">
        <f t="shared" ca="1" si="31"/>
        <v>27601</v>
      </c>
      <c r="BB78" s="222">
        <f t="shared" ca="1" si="32"/>
        <v>27601</v>
      </c>
      <c r="BC78" s="222">
        <f t="shared" ca="1" si="33"/>
        <v>1429.6708841029067</v>
      </c>
      <c r="BD78" s="17"/>
    </row>
    <row r="79" spans="5:56" x14ac:dyDescent="0.45">
      <c r="E79" s="214"/>
      <c r="F79" s="17"/>
      <c r="G79" s="17"/>
      <c r="H79" s="214"/>
      <c r="S79" s="38"/>
      <c r="T79" s="39"/>
      <c r="U79" s="39"/>
      <c r="V79" s="39"/>
      <c r="W79" s="39"/>
      <c r="X79" s="39"/>
      <c r="Y79" s="39"/>
      <c r="Z79" s="38"/>
      <c r="AA79" s="38"/>
      <c r="AB79" s="38"/>
      <c r="AC79" s="38"/>
      <c r="AI79" s="17"/>
      <c r="AJ79" s="17"/>
      <c r="AK79" s="17"/>
      <c r="AL79" s="17"/>
      <c r="AM79" s="17"/>
      <c r="AN79" s="17"/>
      <c r="AO79" s="17"/>
      <c r="AP79" s="17"/>
      <c r="AW79" s="222">
        <v>74</v>
      </c>
      <c r="AX79" s="222">
        <f t="shared" si="29"/>
        <v>83657</v>
      </c>
      <c r="AY79" s="23">
        <v>72</v>
      </c>
      <c r="AZ79" s="222">
        <f t="shared" si="30"/>
        <v>25</v>
      </c>
      <c r="BA79" s="222">
        <f t="shared" ca="1" si="31"/>
        <v>28745</v>
      </c>
      <c r="BB79" s="222">
        <f t="shared" ca="1" si="32"/>
        <v>27606</v>
      </c>
      <c r="BC79" s="222">
        <f t="shared" ca="1" si="33"/>
        <v>1574.6708841029067</v>
      </c>
      <c r="BD79" s="17"/>
    </row>
    <row r="80" spans="5:56" x14ac:dyDescent="0.45">
      <c r="E80" s="214"/>
      <c r="F80" s="17"/>
      <c r="G80" s="17"/>
      <c r="H80" s="214"/>
      <c r="S80" s="38"/>
      <c r="T80" s="39"/>
      <c r="U80" s="39"/>
      <c r="V80" s="39"/>
      <c r="W80" s="39"/>
      <c r="X80" s="39"/>
      <c r="Y80" s="39"/>
      <c r="Z80" s="38"/>
      <c r="AA80" s="38"/>
      <c r="AB80" s="38"/>
      <c r="AC80" s="38"/>
      <c r="AI80" s="17"/>
      <c r="AJ80" s="17"/>
      <c r="AK80" s="17"/>
      <c r="AL80" s="17"/>
      <c r="AM80" s="17"/>
      <c r="AN80" s="17"/>
      <c r="AO80" s="17"/>
      <c r="AP80" s="17"/>
      <c r="AW80" s="222">
        <v>75</v>
      </c>
      <c r="AX80" s="222">
        <f t="shared" si="29"/>
        <v>84801</v>
      </c>
      <c r="AY80" s="23">
        <v>73</v>
      </c>
      <c r="AZ80" s="222">
        <f t="shared" si="30"/>
        <v>25</v>
      </c>
      <c r="BA80" s="222">
        <f t="shared" ca="1" si="31"/>
        <v>28745</v>
      </c>
      <c r="BB80" s="222">
        <f t="shared" ca="1" si="32"/>
        <v>28740</v>
      </c>
      <c r="BC80" s="222">
        <f t="shared" ca="1" si="33"/>
        <v>1574.6708841029067</v>
      </c>
      <c r="BD80" s="17"/>
    </row>
    <row r="81" spans="5:56" x14ac:dyDescent="0.45">
      <c r="E81" s="214"/>
      <c r="F81" s="17"/>
      <c r="G81" s="17"/>
      <c r="H81" s="214"/>
      <c r="S81" s="38"/>
      <c r="T81" s="39"/>
      <c r="U81" s="39"/>
      <c r="V81" s="39"/>
      <c r="W81" s="39"/>
      <c r="X81" s="39"/>
      <c r="Y81" s="39"/>
      <c r="Z81" s="38"/>
      <c r="AA81" s="38"/>
      <c r="AB81" s="38"/>
      <c r="AC81" s="38"/>
      <c r="AI81" s="17"/>
      <c r="AJ81" s="17"/>
      <c r="AK81" s="17"/>
      <c r="AL81" s="17"/>
      <c r="AM81" s="17"/>
      <c r="AN81" s="17"/>
      <c r="AO81" s="17"/>
      <c r="AP81" s="17"/>
      <c r="AW81" s="222">
        <v>76</v>
      </c>
      <c r="AX81" s="222">
        <f t="shared" si="29"/>
        <v>85945</v>
      </c>
      <c r="AY81" s="23">
        <v>74</v>
      </c>
      <c r="AZ81" s="222">
        <f t="shared" si="30"/>
        <v>25</v>
      </c>
      <c r="BA81" s="222">
        <f t="shared" ca="1" si="31"/>
        <v>28745</v>
      </c>
      <c r="BB81" s="222">
        <f t="shared" ca="1" si="32"/>
        <v>28745</v>
      </c>
      <c r="BC81" s="222">
        <f t="shared" ca="1" si="33"/>
        <v>1429.6708841029067</v>
      </c>
      <c r="BD81" s="17"/>
    </row>
    <row r="82" spans="5:56" x14ac:dyDescent="0.45">
      <c r="E82" s="214"/>
      <c r="F82" s="17"/>
      <c r="G82" s="17"/>
      <c r="H82" s="214"/>
      <c r="S82" s="38"/>
      <c r="T82" s="39"/>
      <c r="U82" s="39"/>
      <c r="V82" s="39"/>
      <c r="W82" s="39"/>
      <c r="X82" s="39"/>
      <c r="Y82" s="39"/>
      <c r="Z82" s="38"/>
      <c r="AA82" s="38"/>
      <c r="AB82" s="38"/>
      <c r="AC82" s="38"/>
      <c r="AI82" s="17"/>
      <c r="AJ82" s="17"/>
      <c r="AK82" s="17"/>
      <c r="AL82" s="17"/>
      <c r="AM82" s="17"/>
      <c r="AN82" s="17"/>
      <c r="AO82" s="17"/>
      <c r="AP82" s="17"/>
      <c r="AW82" s="222">
        <v>77</v>
      </c>
      <c r="AX82" s="222">
        <f t="shared" si="29"/>
        <v>87089</v>
      </c>
      <c r="AY82" s="23">
        <v>75</v>
      </c>
      <c r="AZ82" s="222">
        <f t="shared" si="30"/>
        <v>26</v>
      </c>
      <c r="BA82" s="222">
        <f t="shared" ca="1" si="31"/>
        <v>29889</v>
      </c>
      <c r="BB82" s="222">
        <f t="shared" ca="1" si="32"/>
        <v>28750</v>
      </c>
      <c r="BC82" s="222">
        <f t="shared" ca="1" si="33"/>
        <v>1574.6708841029067</v>
      </c>
      <c r="BD82" s="17"/>
    </row>
    <row r="83" spans="5:56" x14ac:dyDescent="0.45">
      <c r="E83" s="214"/>
      <c r="F83" s="17"/>
      <c r="G83" s="17"/>
      <c r="H83" s="214"/>
      <c r="S83" s="38"/>
      <c r="T83" s="39"/>
      <c r="U83" s="39"/>
      <c r="V83" s="39"/>
      <c r="W83" s="39"/>
      <c r="X83" s="39"/>
      <c r="Y83" s="39"/>
      <c r="Z83" s="38"/>
      <c r="AA83" s="38"/>
      <c r="AB83" s="38"/>
      <c r="AC83" s="38"/>
      <c r="AI83" s="17"/>
      <c r="AJ83" s="17"/>
      <c r="AK83" s="17"/>
      <c r="AL83" s="17"/>
      <c r="AM83" s="17"/>
      <c r="AN83" s="17"/>
      <c r="AO83" s="17"/>
      <c r="AP83" s="17"/>
      <c r="AW83" s="222">
        <v>78</v>
      </c>
      <c r="AX83" s="222">
        <f t="shared" si="29"/>
        <v>88233</v>
      </c>
      <c r="AY83" s="23">
        <v>76</v>
      </c>
      <c r="AZ83" s="222">
        <f t="shared" si="30"/>
        <v>26</v>
      </c>
      <c r="BA83" s="222">
        <f t="shared" ca="1" si="31"/>
        <v>29889</v>
      </c>
      <c r="BB83" s="222">
        <f t="shared" ca="1" si="32"/>
        <v>29884</v>
      </c>
      <c r="BC83" s="222">
        <f t="shared" ca="1" si="33"/>
        <v>1574.6708841029067</v>
      </c>
      <c r="BD83" s="17"/>
    </row>
    <row r="84" spans="5:56" x14ac:dyDescent="0.45">
      <c r="E84" s="214"/>
      <c r="F84" s="17"/>
      <c r="G84" s="17"/>
      <c r="H84" s="214"/>
      <c r="S84" s="38"/>
      <c r="T84" s="39"/>
      <c r="U84" s="39"/>
      <c r="V84" s="39"/>
      <c r="W84" s="39"/>
      <c r="X84" s="39"/>
      <c r="Y84" s="39"/>
      <c r="Z84" s="38"/>
      <c r="AA84" s="38"/>
      <c r="AB84" s="38"/>
      <c r="AC84" s="38"/>
      <c r="AI84" s="17"/>
      <c r="AJ84" s="17"/>
      <c r="AK84" s="17"/>
      <c r="AL84" s="17"/>
      <c r="AM84" s="17"/>
      <c r="AN84" s="17"/>
      <c r="AO84" s="17"/>
      <c r="AP84" s="17"/>
      <c r="AW84" s="222">
        <v>79</v>
      </c>
      <c r="AX84" s="222">
        <f t="shared" si="29"/>
        <v>89377</v>
      </c>
      <c r="AY84" s="23">
        <v>77</v>
      </c>
      <c r="AZ84" s="222">
        <f t="shared" si="30"/>
        <v>26</v>
      </c>
      <c r="BA84" s="222">
        <f t="shared" ca="1" si="31"/>
        <v>29889</v>
      </c>
      <c r="BB84" s="222">
        <f t="shared" ca="1" si="32"/>
        <v>29889</v>
      </c>
      <c r="BC84" s="222">
        <f t="shared" ca="1" si="33"/>
        <v>1429.6708841029067</v>
      </c>
      <c r="BD84" s="17"/>
    </row>
    <row r="85" spans="5:56" x14ac:dyDescent="0.45">
      <c r="E85" s="214"/>
      <c r="F85" s="17"/>
      <c r="G85" s="17"/>
      <c r="H85" s="214"/>
      <c r="S85" s="38"/>
      <c r="T85" s="39"/>
      <c r="U85" s="39"/>
      <c r="V85" s="39"/>
      <c r="W85" s="39"/>
      <c r="X85" s="39"/>
      <c r="Y85" s="39"/>
      <c r="Z85" s="38"/>
      <c r="AA85" s="38"/>
      <c r="AB85" s="38"/>
      <c r="AC85" s="38"/>
      <c r="AI85" s="17"/>
      <c r="AJ85" s="17"/>
      <c r="AK85" s="17"/>
      <c r="AL85" s="17"/>
      <c r="AM85" s="17"/>
      <c r="AN85" s="17"/>
      <c r="AO85" s="17"/>
      <c r="AP85" s="17"/>
      <c r="AW85" s="222">
        <v>80</v>
      </c>
      <c r="AX85" s="222">
        <f t="shared" si="29"/>
        <v>90521</v>
      </c>
      <c r="AY85" s="23">
        <v>78</v>
      </c>
      <c r="AZ85" s="222">
        <f t="shared" si="30"/>
        <v>27</v>
      </c>
      <c r="BA85" s="222">
        <f t="shared" ca="1" si="31"/>
        <v>31033</v>
      </c>
      <c r="BB85" s="222">
        <f t="shared" ca="1" si="32"/>
        <v>29894</v>
      </c>
      <c r="BC85" s="222">
        <f t="shared" ca="1" si="33"/>
        <v>1574.6708841029067</v>
      </c>
      <c r="BD85" s="17"/>
    </row>
    <row r="86" spans="5:56" x14ac:dyDescent="0.45">
      <c r="E86" s="214"/>
      <c r="F86" s="17"/>
      <c r="G86" s="17"/>
      <c r="H86" s="214"/>
      <c r="S86" s="38"/>
      <c r="T86" s="39"/>
      <c r="U86" s="39"/>
      <c r="V86" s="39"/>
      <c r="W86" s="39"/>
      <c r="X86" s="39"/>
      <c r="Y86" s="39"/>
      <c r="Z86" s="38"/>
      <c r="AA86" s="38"/>
      <c r="AB86" s="38"/>
      <c r="AC86" s="38"/>
      <c r="AI86" s="17"/>
      <c r="AJ86" s="17"/>
      <c r="AK86" s="17"/>
      <c r="AL86" s="17"/>
      <c r="AM86" s="17"/>
      <c r="AN86" s="17"/>
      <c r="AO86" s="17"/>
      <c r="AP86" s="17"/>
      <c r="AW86" s="222">
        <v>81</v>
      </c>
      <c r="AX86" s="222">
        <f t="shared" si="29"/>
        <v>91665</v>
      </c>
      <c r="AY86" s="23">
        <v>79</v>
      </c>
      <c r="AZ86" s="222">
        <f t="shared" si="30"/>
        <v>27</v>
      </c>
      <c r="BA86" s="222">
        <f t="shared" ca="1" si="31"/>
        <v>31033</v>
      </c>
      <c r="BB86" s="222">
        <f t="shared" ca="1" si="32"/>
        <v>31028</v>
      </c>
      <c r="BC86" s="222">
        <f t="shared" ca="1" si="33"/>
        <v>1574.6708841029067</v>
      </c>
      <c r="BD86" s="17"/>
    </row>
    <row r="87" spans="5:56" x14ac:dyDescent="0.45">
      <c r="E87" s="214"/>
      <c r="F87" s="17"/>
      <c r="G87" s="17"/>
      <c r="H87" s="214"/>
      <c r="S87" s="38"/>
      <c r="T87" s="39"/>
      <c r="U87" s="39"/>
      <c r="V87" s="39"/>
      <c r="W87" s="39"/>
      <c r="X87" s="39"/>
      <c r="Y87" s="39"/>
      <c r="Z87" s="38"/>
      <c r="AA87" s="38"/>
      <c r="AB87" s="38"/>
      <c r="AC87" s="38"/>
      <c r="AI87" s="17"/>
      <c r="AJ87" s="17"/>
      <c r="AK87" s="17"/>
      <c r="AL87" s="17"/>
      <c r="AM87" s="17"/>
      <c r="AN87" s="17"/>
      <c r="AO87" s="17"/>
      <c r="AP87" s="17"/>
      <c r="AW87" s="222">
        <v>82</v>
      </c>
      <c r="AX87" s="222">
        <f t="shared" si="29"/>
        <v>92809</v>
      </c>
      <c r="AY87" s="23">
        <v>80</v>
      </c>
      <c r="AZ87" s="222">
        <f t="shared" si="30"/>
        <v>27</v>
      </c>
      <c r="BA87" s="222">
        <f t="shared" ca="1" si="31"/>
        <v>31033</v>
      </c>
      <c r="BB87" s="222">
        <f t="shared" ca="1" si="32"/>
        <v>31033</v>
      </c>
      <c r="BC87" s="222">
        <f t="shared" ca="1" si="33"/>
        <v>1429.6708841029067</v>
      </c>
      <c r="BD87" s="17"/>
    </row>
    <row r="88" spans="5:56" x14ac:dyDescent="0.45">
      <c r="E88" s="214"/>
      <c r="F88" s="17"/>
      <c r="G88" s="17"/>
      <c r="H88" s="214"/>
      <c r="S88" s="38"/>
      <c r="T88" s="39"/>
      <c r="U88" s="39"/>
      <c r="V88" s="39"/>
      <c r="W88" s="39"/>
      <c r="X88" s="39"/>
      <c r="Y88" s="39"/>
      <c r="Z88" s="38"/>
      <c r="AA88" s="38"/>
      <c r="AB88" s="38"/>
      <c r="AC88" s="38"/>
      <c r="AI88" s="17"/>
      <c r="AJ88" s="17"/>
      <c r="AK88" s="17"/>
      <c r="AL88" s="17"/>
      <c r="AM88" s="17"/>
      <c r="AN88" s="17"/>
      <c r="AO88" s="17"/>
      <c r="AP88" s="17"/>
      <c r="AW88" s="222">
        <v>83</v>
      </c>
      <c r="AX88" s="222">
        <f t="shared" si="29"/>
        <v>93953</v>
      </c>
      <c r="AY88" s="23">
        <v>81</v>
      </c>
      <c r="AZ88" s="222">
        <f t="shared" si="30"/>
        <v>28</v>
      </c>
      <c r="BA88" s="222">
        <f t="shared" ca="1" si="31"/>
        <v>32177</v>
      </c>
      <c r="BB88" s="222">
        <f t="shared" ca="1" si="32"/>
        <v>31038</v>
      </c>
      <c r="BC88" s="222">
        <f t="shared" ca="1" si="33"/>
        <v>1574.6708841029067</v>
      </c>
      <c r="BD88" s="17"/>
    </row>
    <row r="89" spans="5:56" x14ac:dyDescent="0.45">
      <c r="E89" s="214"/>
      <c r="F89" s="17"/>
      <c r="G89" s="17"/>
      <c r="H89" s="214"/>
      <c r="S89" s="38"/>
      <c r="T89" s="39"/>
      <c r="U89" s="39"/>
      <c r="V89" s="39"/>
      <c r="W89" s="39"/>
      <c r="X89" s="39"/>
      <c r="Y89" s="39"/>
      <c r="Z89" s="38"/>
      <c r="AA89" s="38"/>
      <c r="AB89" s="38"/>
      <c r="AC89" s="38"/>
      <c r="AI89" s="17"/>
      <c r="AJ89" s="17"/>
      <c r="AK89" s="17"/>
      <c r="AL89" s="17"/>
      <c r="AM89" s="17"/>
      <c r="AN89" s="17"/>
      <c r="AO89" s="17"/>
      <c r="AP89" s="17"/>
      <c r="AW89" s="222">
        <v>84</v>
      </c>
      <c r="AX89" s="222">
        <f t="shared" si="29"/>
        <v>95097</v>
      </c>
      <c r="AY89" s="23">
        <v>82</v>
      </c>
      <c r="AZ89" s="222">
        <f t="shared" si="30"/>
        <v>28</v>
      </c>
      <c r="BA89" s="222">
        <f t="shared" ca="1" si="31"/>
        <v>32177</v>
      </c>
      <c r="BB89" s="222">
        <f t="shared" ca="1" si="32"/>
        <v>32172</v>
      </c>
      <c r="BC89" s="222">
        <f t="shared" ca="1" si="33"/>
        <v>1574.6708841029067</v>
      </c>
      <c r="BD89" s="17"/>
    </row>
    <row r="90" spans="5:56" x14ac:dyDescent="0.45">
      <c r="E90" s="214"/>
      <c r="F90" s="17"/>
      <c r="G90" s="17"/>
      <c r="H90" s="214"/>
      <c r="S90" s="38"/>
      <c r="T90" s="39"/>
      <c r="U90" s="39"/>
      <c r="V90" s="39"/>
      <c r="W90" s="39"/>
      <c r="X90" s="39"/>
      <c r="Y90" s="39"/>
      <c r="Z90" s="38"/>
      <c r="AA90" s="38"/>
      <c r="AB90" s="38"/>
      <c r="AC90" s="38"/>
      <c r="AI90" s="17"/>
      <c r="AJ90" s="17"/>
      <c r="AK90" s="17"/>
      <c r="AL90" s="17"/>
      <c r="AM90" s="17"/>
      <c r="AN90" s="17"/>
      <c r="AO90" s="17"/>
      <c r="AP90" s="17"/>
      <c r="AW90" s="222">
        <v>85</v>
      </c>
      <c r="AX90" s="222">
        <f t="shared" si="29"/>
        <v>96241</v>
      </c>
      <c r="AY90" s="23">
        <v>83</v>
      </c>
      <c r="AZ90" s="222">
        <f t="shared" si="30"/>
        <v>28</v>
      </c>
      <c r="BA90" s="222">
        <f t="shared" ca="1" si="31"/>
        <v>32177</v>
      </c>
      <c r="BB90" s="222">
        <f t="shared" ca="1" si="32"/>
        <v>32177</v>
      </c>
      <c r="BC90" s="222">
        <f t="shared" ca="1" si="33"/>
        <v>1429.6708841029067</v>
      </c>
      <c r="BD90" s="17"/>
    </row>
    <row r="91" spans="5:56" x14ac:dyDescent="0.45">
      <c r="E91" s="214"/>
      <c r="F91" s="17"/>
      <c r="G91" s="17"/>
      <c r="H91" s="214"/>
      <c r="S91" s="38"/>
      <c r="T91" s="39"/>
      <c r="U91" s="39"/>
      <c r="V91" s="39"/>
      <c r="W91" s="39"/>
      <c r="X91" s="39"/>
      <c r="Y91" s="39"/>
      <c r="Z91" s="38"/>
      <c r="AA91" s="38"/>
      <c r="AB91" s="38"/>
      <c r="AC91" s="38"/>
      <c r="AI91" s="17"/>
      <c r="AJ91" s="17"/>
      <c r="AK91" s="17"/>
      <c r="AL91" s="17"/>
      <c r="AM91" s="17"/>
      <c r="AN91" s="17"/>
      <c r="AO91" s="17"/>
      <c r="AP91" s="17"/>
      <c r="AW91" s="222">
        <v>86</v>
      </c>
      <c r="AX91" s="222" t="e">
        <f t="shared" si="29"/>
        <v>#N/A</v>
      </c>
      <c r="AY91" s="23">
        <v>84</v>
      </c>
      <c r="AZ91" s="222">
        <f t="shared" si="30"/>
        <v>29</v>
      </c>
      <c r="BA91" s="222">
        <f t="shared" ca="1" si="31"/>
        <v>33321</v>
      </c>
      <c r="BB91" s="222">
        <f t="shared" ca="1" si="32"/>
        <v>32182</v>
      </c>
      <c r="BC91" s="222">
        <f t="shared" ca="1" si="33"/>
        <v>1574.6708841029067</v>
      </c>
      <c r="BD91" s="17"/>
    </row>
    <row r="92" spans="5:56" x14ac:dyDescent="0.45">
      <c r="E92" s="214"/>
      <c r="F92" s="17"/>
      <c r="G92" s="17"/>
      <c r="H92" s="214"/>
      <c r="S92" s="38"/>
      <c r="T92" s="39"/>
      <c r="U92" s="39"/>
      <c r="V92" s="39"/>
      <c r="W92" s="39"/>
      <c r="X92" s="39"/>
      <c r="Y92" s="39"/>
      <c r="Z92" s="38"/>
      <c r="AA92" s="38"/>
      <c r="AB92" s="38"/>
      <c r="AC92" s="38"/>
      <c r="AI92" s="17"/>
      <c r="AJ92" s="17"/>
      <c r="AK92" s="17"/>
      <c r="AL92" s="17"/>
      <c r="AM92" s="17"/>
      <c r="AN92" s="17"/>
      <c r="AO92" s="17"/>
      <c r="AP92" s="17"/>
      <c r="AW92" s="222">
        <v>87</v>
      </c>
      <c r="AX92" s="222" t="e">
        <f t="shared" si="29"/>
        <v>#N/A</v>
      </c>
      <c r="AY92" s="23">
        <v>85</v>
      </c>
      <c r="AZ92" s="222">
        <f t="shared" si="30"/>
        <v>29</v>
      </c>
      <c r="BA92" s="222">
        <f t="shared" ca="1" si="31"/>
        <v>33321</v>
      </c>
      <c r="BB92" s="222">
        <f t="shared" ca="1" si="32"/>
        <v>33316</v>
      </c>
      <c r="BC92" s="222">
        <f t="shared" ca="1" si="33"/>
        <v>1574.6708841029067</v>
      </c>
      <c r="BD92" s="17"/>
    </row>
    <row r="93" spans="5:56" x14ac:dyDescent="0.45">
      <c r="E93" s="214"/>
      <c r="F93" s="17"/>
      <c r="G93" s="17"/>
      <c r="H93" s="214"/>
      <c r="S93" s="38"/>
      <c r="T93" s="39"/>
      <c r="U93" s="39"/>
      <c r="V93" s="39"/>
      <c r="W93" s="39"/>
      <c r="X93" s="39"/>
      <c r="Y93" s="39"/>
      <c r="Z93" s="38"/>
      <c r="AA93" s="38"/>
      <c r="AB93" s="38"/>
      <c r="AC93" s="38"/>
      <c r="AI93" s="17"/>
      <c r="AJ93" s="17"/>
      <c r="AK93" s="17"/>
      <c r="AL93" s="17"/>
      <c r="AM93" s="17"/>
      <c r="AN93" s="17"/>
      <c r="AO93" s="17"/>
      <c r="AP93" s="17"/>
      <c r="AW93" s="222">
        <v>88</v>
      </c>
      <c r="AX93" s="222" t="e">
        <f t="shared" si="29"/>
        <v>#N/A</v>
      </c>
      <c r="AY93" s="23">
        <v>86</v>
      </c>
      <c r="AZ93" s="222">
        <f t="shared" si="30"/>
        <v>29</v>
      </c>
      <c r="BA93" s="222">
        <f t="shared" ca="1" si="31"/>
        <v>33321</v>
      </c>
      <c r="BB93" s="222">
        <f t="shared" ca="1" si="32"/>
        <v>33321</v>
      </c>
      <c r="BC93" s="222">
        <f t="shared" ca="1" si="33"/>
        <v>1429.6708841029067</v>
      </c>
      <c r="BD93" s="17"/>
    </row>
    <row r="94" spans="5:56" x14ac:dyDescent="0.45">
      <c r="E94" s="214"/>
      <c r="F94" s="17"/>
      <c r="G94" s="17"/>
      <c r="H94" s="214"/>
      <c r="S94" s="38"/>
      <c r="T94" s="39"/>
      <c r="U94" s="39"/>
      <c r="V94" s="39"/>
      <c r="W94" s="39"/>
      <c r="X94" s="39"/>
      <c r="Y94" s="39"/>
      <c r="Z94" s="38"/>
      <c r="AA94" s="38"/>
      <c r="AB94" s="38"/>
      <c r="AC94" s="38"/>
      <c r="AI94" s="17"/>
      <c r="AJ94" s="17"/>
      <c r="AK94" s="17"/>
      <c r="AL94" s="17"/>
      <c r="AM94" s="17"/>
      <c r="AN94" s="17"/>
      <c r="AO94" s="17"/>
      <c r="AP94" s="17"/>
      <c r="AW94" s="222">
        <v>89</v>
      </c>
      <c r="AX94" s="222" t="e">
        <f t="shared" si="29"/>
        <v>#N/A</v>
      </c>
      <c r="AY94" s="23">
        <v>87</v>
      </c>
      <c r="AZ94" s="222">
        <f t="shared" si="30"/>
        <v>30</v>
      </c>
      <c r="BA94" s="222">
        <f t="shared" ca="1" si="31"/>
        <v>34465</v>
      </c>
      <c r="BB94" s="222">
        <f t="shared" ca="1" si="32"/>
        <v>33326</v>
      </c>
      <c r="BC94" s="222">
        <f t="shared" ca="1" si="33"/>
        <v>1574.6708841029067</v>
      </c>
      <c r="BD94" s="17"/>
    </row>
    <row r="95" spans="5:56" x14ac:dyDescent="0.45">
      <c r="E95" s="214"/>
      <c r="F95" s="17"/>
      <c r="G95" s="17"/>
      <c r="H95" s="214"/>
      <c r="S95" s="38"/>
      <c r="T95" s="39"/>
      <c r="U95" s="39"/>
      <c r="V95" s="39"/>
      <c r="W95" s="39"/>
      <c r="X95" s="39"/>
      <c r="Y95" s="39"/>
      <c r="Z95" s="38"/>
      <c r="AA95" s="38"/>
      <c r="AB95" s="38"/>
      <c r="AC95" s="38"/>
      <c r="AI95" s="17"/>
      <c r="AJ95" s="17"/>
      <c r="AK95" s="17"/>
      <c r="AL95" s="17"/>
      <c r="AM95" s="17"/>
      <c r="AN95" s="17"/>
      <c r="AO95" s="17"/>
      <c r="AP95" s="17"/>
      <c r="AW95" s="222">
        <v>90</v>
      </c>
      <c r="AX95" s="222" t="e">
        <f t="shared" si="29"/>
        <v>#N/A</v>
      </c>
      <c r="AY95" s="23">
        <v>88</v>
      </c>
      <c r="AZ95" s="222">
        <f t="shared" si="30"/>
        <v>30</v>
      </c>
      <c r="BA95" s="222">
        <f t="shared" ca="1" si="31"/>
        <v>34465</v>
      </c>
      <c r="BB95" s="222">
        <f t="shared" ca="1" si="32"/>
        <v>34460</v>
      </c>
      <c r="BC95" s="222">
        <f t="shared" ca="1" si="33"/>
        <v>1574.6708841029067</v>
      </c>
      <c r="BD95" s="17"/>
    </row>
    <row r="96" spans="5:56" x14ac:dyDescent="0.45">
      <c r="E96" s="214"/>
      <c r="F96" s="17"/>
      <c r="G96" s="17"/>
      <c r="H96" s="214"/>
      <c r="S96" s="38"/>
      <c r="T96" s="39"/>
      <c r="U96" s="39"/>
      <c r="V96" s="39"/>
      <c r="W96" s="39"/>
      <c r="X96" s="39"/>
      <c r="Y96" s="39"/>
      <c r="Z96" s="38"/>
      <c r="AA96" s="38"/>
      <c r="AB96" s="38"/>
      <c r="AC96" s="38"/>
      <c r="AI96" s="17"/>
      <c r="AJ96" s="17"/>
      <c r="AK96" s="17"/>
      <c r="AL96" s="17"/>
      <c r="AM96" s="17"/>
      <c r="AN96" s="17"/>
      <c r="AO96" s="17"/>
      <c r="AP96" s="17"/>
      <c r="AW96" s="222">
        <v>91</v>
      </c>
      <c r="AX96" s="222" t="e">
        <f t="shared" si="29"/>
        <v>#N/A</v>
      </c>
      <c r="AY96" s="23">
        <v>89</v>
      </c>
      <c r="AZ96" s="222">
        <f t="shared" si="30"/>
        <v>30</v>
      </c>
      <c r="BA96" s="222">
        <f t="shared" ca="1" si="31"/>
        <v>34465</v>
      </c>
      <c r="BB96" s="222">
        <f t="shared" ca="1" si="32"/>
        <v>34465</v>
      </c>
      <c r="BC96" s="222">
        <f t="shared" ca="1" si="33"/>
        <v>1429.6708841029067</v>
      </c>
      <c r="BD96" s="17"/>
    </row>
    <row r="97" spans="5:56" x14ac:dyDescent="0.45">
      <c r="E97" s="214"/>
      <c r="F97" s="17"/>
      <c r="G97" s="17"/>
      <c r="H97" s="214"/>
      <c r="S97" s="38"/>
      <c r="T97" s="39"/>
      <c r="U97" s="39"/>
      <c r="V97" s="39"/>
      <c r="W97" s="39"/>
      <c r="X97" s="39"/>
      <c r="Y97" s="39"/>
      <c r="Z97" s="38"/>
      <c r="AA97" s="38"/>
      <c r="AB97" s="38"/>
      <c r="AC97" s="38"/>
      <c r="AI97" s="17"/>
      <c r="AJ97" s="17"/>
      <c r="AK97" s="17"/>
      <c r="AL97" s="17"/>
      <c r="AM97" s="17"/>
      <c r="AN97" s="17"/>
      <c r="AO97" s="17"/>
      <c r="AP97" s="17"/>
      <c r="AW97" s="222">
        <v>92</v>
      </c>
      <c r="AX97" s="222" t="e">
        <f t="shared" si="29"/>
        <v>#N/A</v>
      </c>
      <c r="AY97" s="23">
        <v>90</v>
      </c>
      <c r="AZ97" s="222">
        <f t="shared" si="30"/>
        <v>31</v>
      </c>
      <c r="BA97" s="222">
        <f t="shared" ca="1" si="31"/>
        <v>35609</v>
      </c>
      <c r="BB97" s="222">
        <f t="shared" ca="1" si="32"/>
        <v>34470</v>
      </c>
      <c r="BC97" s="222">
        <f t="shared" ca="1" si="33"/>
        <v>1574.6708841029067</v>
      </c>
      <c r="BD97" s="17"/>
    </row>
    <row r="98" spans="5:56" x14ac:dyDescent="0.45">
      <c r="E98" s="214"/>
      <c r="F98" s="17"/>
      <c r="G98" s="17"/>
      <c r="H98" s="214"/>
      <c r="S98" s="38"/>
      <c r="T98" s="39"/>
      <c r="U98" s="39"/>
      <c r="V98" s="39"/>
      <c r="W98" s="39"/>
      <c r="X98" s="39"/>
      <c r="Y98" s="39"/>
      <c r="Z98" s="38"/>
      <c r="AA98" s="38"/>
      <c r="AB98" s="38"/>
      <c r="AC98" s="38"/>
      <c r="AI98" s="17"/>
      <c r="AJ98" s="17"/>
      <c r="AK98" s="17"/>
      <c r="AL98" s="17"/>
      <c r="AM98" s="17"/>
      <c r="AN98" s="17"/>
      <c r="AO98" s="17"/>
      <c r="AP98" s="17"/>
      <c r="AW98" s="222">
        <v>93</v>
      </c>
      <c r="AX98" s="222" t="e">
        <f t="shared" si="29"/>
        <v>#N/A</v>
      </c>
      <c r="AY98" s="23">
        <v>91</v>
      </c>
      <c r="AZ98" s="222">
        <f t="shared" si="30"/>
        <v>31</v>
      </c>
      <c r="BA98" s="222">
        <f t="shared" ca="1" si="31"/>
        <v>35609</v>
      </c>
      <c r="BB98" s="222">
        <f t="shared" ca="1" si="32"/>
        <v>35604</v>
      </c>
      <c r="BC98" s="222">
        <f t="shared" ca="1" si="33"/>
        <v>1574.6708841029067</v>
      </c>
      <c r="BD98" s="17"/>
    </row>
    <row r="99" spans="5:56" x14ac:dyDescent="0.45">
      <c r="E99" s="214"/>
      <c r="F99" s="17"/>
      <c r="G99" s="17"/>
      <c r="H99" s="214"/>
      <c r="S99" s="38"/>
      <c r="T99" s="39"/>
      <c r="U99" s="39"/>
      <c r="V99" s="39"/>
      <c r="W99" s="39"/>
      <c r="X99" s="39"/>
      <c r="Y99" s="39"/>
      <c r="Z99" s="38"/>
      <c r="AA99" s="38"/>
      <c r="AB99" s="38"/>
      <c r="AC99" s="38"/>
      <c r="AI99" s="17"/>
      <c r="AJ99" s="17"/>
      <c r="AK99" s="17"/>
      <c r="AL99" s="17"/>
      <c r="AM99" s="17"/>
      <c r="AN99" s="17"/>
      <c r="AO99" s="17"/>
      <c r="AP99" s="17"/>
      <c r="AW99" s="222">
        <v>94</v>
      </c>
      <c r="AX99" s="222" t="e">
        <f t="shared" si="29"/>
        <v>#N/A</v>
      </c>
      <c r="AY99" s="23">
        <v>92</v>
      </c>
      <c r="AZ99" s="222">
        <f t="shared" si="30"/>
        <v>31</v>
      </c>
      <c r="BA99" s="222">
        <f t="shared" ca="1" si="31"/>
        <v>35609</v>
      </c>
      <c r="BB99" s="222">
        <f t="shared" ca="1" si="32"/>
        <v>35609</v>
      </c>
      <c r="BC99" s="222">
        <f t="shared" ca="1" si="33"/>
        <v>1429.6708841029067</v>
      </c>
      <c r="BD99" s="17"/>
    </row>
    <row r="100" spans="5:56" x14ac:dyDescent="0.45">
      <c r="E100" s="214"/>
      <c r="F100" s="17"/>
      <c r="G100" s="17"/>
      <c r="H100" s="214"/>
      <c r="S100" s="38"/>
      <c r="T100" s="39"/>
      <c r="U100" s="39"/>
      <c r="V100" s="39"/>
      <c r="W100" s="39"/>
      <c r="X100" s="39"/>
      <c r="Y100" s="39"/>
      <c r="Z100" s="38"/>
      <c r="AA100" s="38"/>
      <c r="AB100" s="38"/>
      <c r="AC100" s="38"/>
      <c r="AI100" s="17"/>
      <c r="AJ100" s="17"/>
      <c r="AK100" s="17"/>
      <c r="AL100" s="17"/>
      <c r="AM100" s="17"/>
      <c r="AN100" s="17"/>
      <c r="AO100" s="17"/>
      <c r="AP100" s="17"/>
      <c r="AW100" s="222">
        <v>95</v>
      </c>
      <c r="AX100" s="222" t="e">
        <f t="shared" si="29"/>
        <v>#N/A</v>
      </c>
      <c r="AY100" s="23">
        <v>93</v>
      </c>
      <c r="AZ100" s="222">
        <f t="shared" si="30"/>
        <v>32</v>
      </c>
      <c r="BA100" s="222">
        <f t="shared" ca="1" si="31"/>
        <v>36753</v>
      </c>
      <c r="BB100" s="222">
        <f t="shared" ca="1" si="32"/>
        <v>35614</v>
      </c>
      <c r="BC100" s="222">
        <f t="shared" ca="1" si="33"/>
        <v>1574.6708841029067</v>
      </c>
      <c r="BD100" s="17"/>
    </row>
    <row r="101" spans="5:56" x14ac:dyDescent="0.45">
      <c r="E101" s="214"/>
      <c r="F101" s="17"/>
      <c r="G101" s="17"/>
      <c r="H101" s="214"/>
      <c r="S101" s="38"/>
      <c r="T101" s="39"/>
      <c r="U101" s="39"/>
      <c r="V101" s="39"/>
      <c r="W101" s="39"/>
      <c r="X101" s="39"/>
      <c r="Y101" s="39"/>
      <c r="Z101" s="38"/>
      <c r="AA101" s="38"/>
      <c r="AB101" s="38"/>
      <c r="AC101" s="38"/>
      <c r="AI101" s="17"/>
      <c r="AJ101" s="17"/>
      <c r="AK101" s="17"/>
      <c r="AL101" s="17"/>
      <c r="AM101" s="17"/>
      <c r="AN101" s="17"/>
      <c r="AO101" s="17"/>
      <c r="AP101" s="17"/>
      <c r="AW101" s="222">
        <v>96</v>
      </c>
      <c r="AX101" s="222" t="e">
        <f t="shared" si="29"/>
        <v>#N/A</v>
      </c>
      <c r="AY101" s="23">
        <v>94</v>
      </c>
      <c r="AZ101" s="222">
        <f t="shared" si="30"/>
        <v>32</v>
      </c>
      <c r="BA101" s="222">
        <f t="shared" ca="1" si="31"/>
        <v>36753</v>
      </c>
      <c r="BB101" s="222">
        <f t="shared" ca="1" si="32"/>
        <v>36748</v>
      </c>
      <c r="BC101" s="222">
        <f t="shared" ca="1" si="33"/>
        <v>1574.6708841029067</v>
      </c>
      <c r="BD101" s="17"/>
    </row>
    <row r="102" spans="5:56" x14ac:dyDescent="0.45">
      <c r="E102" s="214"/>
      <c r="F102" s="17"/>
      <c r="G102" s="17"/>
      <c r="H102" s="214"/>
      <c r="S102" s="38"/>
      <c r="T102" s="39"/>
      <c r="U102" s="39"/>
      <c r="V102" s="39"/>
      <c r="W102" s="39"/>
      <c r="X102" s="39"/>
      <c r="Y102" s="39"/>
      <c r="Z102" s="38"/>
      <c r="AA102" s="38"/>
      <c r="AB102" s="38"/>
      <c r="AC102" s="38"/>
      <c r="AI102" s="17"/>
      <c r="AJ102" s="17"/>
      <c r="AK102" s="17"/>
      <c r="AL102" s="17"/>
      <c r="AM102" s="17"/>
      <c r="AN102" s="17"/>
      <c r="AO102" s="17"/>
      <c r="AP102" s="17"/>
      <c r="AW102" s="222">
        <v>97</v>
      </c>
      <c r="AX102" s="222" t="e">
        <f t="shared" si="29"/>
        <v>#N/A</v>
      </c>
      <c r="AY102" s="23">
        <v>95</v>
      </c>
      <c r="AZ102" s="222">
        <f t="shared" si="30"/>
        <v>32</v>
      </c>
      <c r="BA102" s="222">
        <f t="shared" ca="1" si="31"/>
        <v>36753</v>
      </c>
      <c r="BB102" s="222">
        <f t="shared" ca="1" si="32"/>
        <v>36753</v>
      </c>
      <c r="BC102" s="222">
        <f t="shared" ca="1" si="33"/>
        <v>1429.6708841029067</v>
      </c>
      <c r="BD102" s="17"/>
    </row>
    <row r="103" spans="5:56" x14ac:dyDescent="0.45">
      <c r="E103" s="214"/>
      <c r="F103" s="17"/>
      <c r="G103" s="17"/>
      <c r="H103" s="214"/>
      <c r="S103" s="38"/>
      <c r="T103" s="39"/>
      <c r="U103" s="39"/>
      <c r="V103" s="39"/>
      <c r="W103" s="39"/>
      <c r="X103" s="39"/>
      <c r="Y103" s="39"/>
      <c r="Z103" s="38"/>
      <c r="AA103" s="38"/>
      <c r="AB103" s="38"/>
      <c r="AC103" s="38"/>
      <c r="AI103" s="17"/>
      <c r="AJ103" s="17"/>
      <c r="AK103" s="17"/>
      <c r="AL103" s="17"/>
      <c r="AM103" s="17"/>
      <c r="AN103" s="17"/>
      <c r="AO103" s="17"/>
      <c r="AP103" s="17"/>
      <c r="AW103" s="222">
        <v>98</v>
      </c>
      <c r="AX103" s="222" t="e">
        <f t="shared" si="29"/>
        <v>#N/A</v>
      </c>
      <c r="AY103" s="23">
        <v>96</v>
      </c>
      <c r="AZ103" s="222">
        <f t="shared" si="30"/>
        <v>33</v>
      </c>
      <c r="BA103" s="222">
        <f t="shared" ca="1" si="31"/>
        <v>37897</v>
      </c>
      <c r="BB103" s="222">
        <f t="shared" ca="1" si="32"/>
        <v>36758</v>
      </c>
      <c r="BC103" s="222">
        <f t="shared" ca="1" si="33"/>
        <v>1574.6708841029067</v>
      </c>
      <c r="BD103" s="17"/>
    </row>
    <row r="104" spans="5:56" x14ac:dyDescent="0.45">
      <c r="E104" s="214"/>
      <c r="F104" s="17"/>
      <c r="G104" s="17"/>
      <c r="H104" s="214"/>
      <c r="S104" s="38"/>
      <c r="T104" s="39"/>
      <c r="U104" s="39"/>
      <c r="V104" s="39"/>
      <c r="W104" s="39"/>
      <c r="X104" s="39"/>
      <c r="Y104" s="39"/>
      <c r="Z104" s="38"/>
      <c r="AA104" s="38"/>
      <c r="AB104" s="38"/>
      <c r="AC104" s="38"/>
      <c r="AI104" s="17"/>
      <c r="AJ104" s="17"/>
      <c r="AK104" s="17"/>
      <c r="AL104" s="17"/>
      <c r="AM104" s="17"/>
      <c r="AN104" s="17"/>
      <c r="AO104" s="17"/>
      <c r="AP104" s="17"/>
      <c r="AW104" s="222">
        <v>99</v>
      </c>
      <c r="AX104" s="222" t="e">
        <f t="shared" si="29"/>
        <v>#N/A</v>
      </c>
      <c r="AY104" s="23">
        <v>97</v>
      </c>
      <c r="AZ104" s="222">
        <f t="shared" si="30"/>
        <v>33</v>
      </c>
      <c r="BA104" s="222">
        <f t="shared" ca="1" si="31"/>
        <v>37897</v>
      </c>
      <c r="BB104" s="222">
        <f t="shared" ca="1" si="32"/>
        <v>37892</v>
      </c>
      <c r="BC104" s="222">
        <f t="shared" ca="1" si="33"/>
        <v>1574.6708841029067</v>
      </c>
      <c r="BD104" s="17"/>
    </row>
    <row r="105" spans="5:56" x14ac:dyDescent="0.45">
      <c r="E105" s="214"/>
      <c r="F105" s="17"/>
      <c r="G105" s="17"/>
      <c r="H105" s="214"/>
      <c r="S105" s="38"/>
      <c r="T105" s="39"/>
      <c r="U105" s="39"/>
      <c r="V105" s="39"/>
      <c r="W105" s="39"/>
      <c r="X105" s="39"/>
      <c r="Y105" s="39"/>
      <c r="Z105" s="38"/>
      <c r="AA105" s="38"/>
      <c r="AB105" s="38"/>
      <c r="AC105" s="38"/>
      <c r="AI105" s="17"/>
      <c r="AJ105" s="17"/>
      <c r="AK105" s="17"/>
      <c r="AL105" s="17"/>
      <c r="AM105" s="17"/>
      <c r="AN105" s="17"/>
      <c r="AO105" s="17"/>
      <c r="AP105" s="17"/>
      <c r="AW105" s="222">
        <v>100</v>
      </c>
      <c r="AX105" s="222" t="e">
        <f t="shared" si="29"/>
        <v>#N/A</v>
      </c>
      <c r="AY105" s="23">
        <v>98</v>
      </c>
      <c r="AZ105" s="222">
        <f t="shared" si="30"/>
        <v>33</v>
      </c>
      <c r="BA105" s="222">
        <f t="shared" ca="1" si="31"/>
        <v>37897</v>
      </c>
      <c r="BB105" s="222">
        <f t="shared" ca="1" si="32"/>
        <v>37897</v>
      </c>
      <c r="BC105" s="222">
        <f t="shared" ca="1" si="33"/>
        <v>1429.6708841029067</v>
      </c>
      <c r="BD105" s="17"/>
    </row>
    <row r="106" spans="5:56" x14ac:dyDescent="0.45">
      <c r="E106" s="214"/>
      <c r="F106" s="17"/>
      <c r="G106" s="17"/>
      <c r="H106" s="214"/>
      <c r="S106" s="38"/>
      <c r="T106" s="39"/>
      <c r="U106" s="39"/>
      <c r="V106" s="39"/>
      <c r="W106" s="39"/>
      <c r="X106" s="39"/>
      <c r="Y106" s="39"/>
      <c r="Z106" s="38"/>
      <c r="AA106" s="38"/>
      <c r="AB106" s="38"/>
      <c r="AC106" s="38"/>
      <c r="AI106" s="17"/>
      <c r="AJ106" s="17"/>
      <c r="AK106" s="17"/>
      <c r="AL106" s="17"/>
      <c r="AM106" s="17"/>
      <c r="AN106" s="17"/>
      <c r="AO106" s="17"/>
      <c r="AP106" s="17"/>
      <c r="AW106" s="222">
        <v>101</v>
      </c>
      <c r="AX106" s="222" t="e">
        <f t="shared" si="29"/>
        <v>#N/A</v>
      </c>
      <c r="AY106" s="23">
        <v>99</v>
      </c>
      <c r="AZ106" s="222">
        <f t="shared" si="30"/>
        <v>34</v>
      </c>
      <c r="BA106" s="222">
        <f t="shared" ca="1" si="31"/>
        <v>39041</v>
      </c>
      <c r="BB106" s="222">
        <f t="shared" ca="1" si="32"/>
        <v>37902</v>
      </c>
      <c r="BC106" s="222">
        <f t="shared" ca="1" si="33"/>
        <v>1574.6708841029067</v>
      </c>
      <c r="BD106" s="17"/>
    </row>
    <row r="107" spans="5:56" x14ac:dyDescent="0.45">
      <c r="E107" s="214"/>
      <c r="F107" s="17"/>
      <c r="G107" s="17"/>
      <c r="H107" s="214"/>
      <c r="S107" s="38"/>
      <c r="T107" s="39"/>
      <c r="U107" s="39"/>
      <c r="V107" s="39"/>
      <c r="W107" s="39"/>
      <c r="X107" s="39"/>
      <c r="Y107" s="39"/>
      <c r="Z107" s="38"/>
      <c r="AA107" s="38"/>
      <c r="AB107" s="38"/>
      <c r="AC107" s="38"/>
      <c r="AI107" s="17"/>
      <c r="AJ107" s="17"/>
      <c r="AK107" s="17"/>
      <c r="AL107" s="17"/>
      <c r="AM107" s="17"/>
      <c r="AN107" s="17"/>
      <c r="AO107" s="17"/>
      <c r="AP107" s="17"/>
      <c r="AW107" s="222">
        <v>102</v>
      </c>
      <c r="AX107" s="222" t="e">
        <f t="shared" si="29"/>
        <v>#N/A</v>
      </c>
      <c r="AY107" s="23">
        <v>100</v>
      </c>
      <c r="AZ107" s="222">
        <f t="shared" si="30"/>
        <v>34</v>
      </c>
      <c r="BA107" s="222">
        <f t="shared" ca="1" si="31"/>
        <v>39041</v>
      </c>
      <c r="BB107" s="222">
        <f t="shared" ca="1" si="32"/>
        <v>39036</v>
      </c>
      <c r="BC107" s="222">
        <f t="shared" ca="1" si="33"/>
        <v>1574.6708841029067</v>
      </c>
      <c r="BD107" s="17"/>
    </row>
    <row r="108" spans="5:56" x14ac:dyDescent="0.45">
      <c r="E108" s="214"/>
      <c r="F108" s="17"/>
      <c r="G108" s="17"/>
      <c r="H108" s="214"/>
      <c r="S108" s="38"/>
      <c r="T108" s="39"/>
      <c r="U108" s="39"/>
      <c r="V108" s="39"/>
      <c r="W108" s="39"/>
      <c r="X108" s="39"/>
      <c r="Y108" s="39"/>
      <c r="Z108" s="38"/>
      <c r="AA108" s="38"/>
      <c r="AB108" s="38"/>
      <c r="AC108" s="38"/>
      <c r="AI108" s="17"/>
      <c r="AJ108" s="17"/>
      <c r="AK108" s="17"/>
      <c r="AL108" s="17"/>
      <c r="AM108" s="17"/>
      <c r="AN108" s="17"/>
      <c r="AO108" s="17"/>
      <c r="AP108" s="17"/>
      <c r="AW108" s="222">
        <v>103</v>
      </c>
      <c r="AX108" s="222" t="e">
        <f t="shared" si="29"/>
        <v>#N/A</v>
      </c>
      <c r="AY108" s="23">
        <v>101</v>
      </c>
      <c r="AZ108" s="222">
        <f t="shared" si="30"/>
        <v>34</v>
      </c>
      <c r="BA108" s="222">
        <f t="shared" ca="1" si="31"/>
        <v>39041</v>
      </c>
      <c r="BB108" s="222">
        <f t="shared" ca="1" si="32"/>
        <v>39041</v>
      </c>
      <c r="BC108" s="222">
        <f t="shared" ca="1" si="33"/>
        <v>1429.6708841029067</v>
      </c>
      <c r="BD108" s="17"/>
    </row>
    <row r="109" spans="5:56" x14ac:dyDescent="0.45">
      <c r="E109" s="214"/>
      <c r="F109" s="17"/>
      <c r="G109" s="17"/>
      <c r="H109" s="214"/>
      <c r="S109" s="38"/>
      <c r="T109" s="39"/>
      <c r="U109" s="39"/>
      <c r="V109" s="39"/>
      <c r="W109" s="39"/>
      <c r="X109" s="39"/>
      <c r="Y109" s="39"/>
      <c r="Z109" s="38"/>
      <c r="AA109" s="38"/>
      <c r="AB109" s="38"/>
      <c r="AC109" s="38"/>
      <c r="AI109" s="17"/>
      <c r="AJ109" s="17"/>
      <c r="AK109" s="17"/>
      <c r="AL109" s="17"/>
      <c r="AM109" s="17"/>
      <c r="AN109" s="17"/>
      <c r="AO109" s="17"/>
      <c r="AP109" s="17"/>
      <c r="AW109" s="222">
        <v>104</v>
      </c>
      <c r="AX109" s="222" t="e">
        <f t="shared" si="29"/>
        <v>#N/A</v>
      </c>
      <c r="AY109" s="23">
        <v>102</v>
      </c>
      <c r="AZ109" s="222">
        <f t="shared" si="30"/>
        <v>35</v>
      </c>
      <c r="BA109" s="222">
        <f t="shared" ca="1" si="31"/>
        <v>40185</v>
      </c>
      <c r="BB109" s="222">
        <f t="shared" ca="1" si="32"/>
        <v>39046</v>
      </c>
      <c r="BC109" s="222">
        <f t="shared" ca="1" si="33"/>
        <v>1574.6708841029067</v>
      </c>
      <c r="BD109" s="17"/>
    </row>
    <row r="110" spans="5:56" x14ac:dyDescent="0.45">
      <c r="E110" s="214"/>
      <c r="F110" s="17"/>
      <c r="G110" s="17"/>
      <c r="H110" s="214"/>
      <c r="S110" s="38"/>
      <c r="T110" s="39"/>
      <c r="U110" s="39"/>
      <c r="V110" s="39"/>
      <c r="W110" s="39"/>
      <c r="X110" s="39"/>
      <c r="Y110" s="39"/>
      <c r="Z110" s="38"/>
      <c r="AA110" s="38"/>
      <c r="AB110" s="38"/>
      <c r="AC110" s="38"/>
      <c r="AI110" s="17"/>
      <c r="AJ110" s="17"/>
      <c r="AK110" s="17"/>
      <c r="AL110" s="17"/>
      <c r="AM110" s="17"/>
      <c r="AN110" s="17"/>
      <c r="AO110" s="17"/>
      <c r="AP110" s="17"/>
      <c r="AW110" s="222">
        <v>105</v>
      </c>
      <c r="AX110" s="222" t="e">
        <f t="shared" si="29"/>
        <v>#N/A</v>
      </c>
      <c r="AY110" s="23">
        <v>103</v>
      </c>
      <c r="AZ110" s="222">
        <f t="shared" si="30"/>
        <v>35</v>
      </c>
      <c r="BA110" s="222">
        <f t="shared" ca="1" si="31"/>
        <v>40185</v>
      </c>
      <c r="BB110" s="222">
        <f t="shared" ca="1" si="32"/>
        <v>40180</v>
      </c>
      <c r="BC110" s="222">
        <f t="shared" ca="1" si="33"/>
        <v>1574.6708841029067</v>
      </c>
      <c r="BD110" s="17"/>
    </row>
    <row r="111" spans="5:56" x14ac:dyDescent="0.45">
      <c r="E111" s="214"/>
      <c r="F111" s="17"/>
      <c r="G111" s="17"/>
      <c r="H111" s="214"/>
      <c r="S111" s="38"/>
      <c r="T111" s="39"/>
      <c r="U111" s="39"/>
      <c r="V111" s="39"/>
      <c r="W111" s="39"/>
      <c r="X111" s="39"/>
      <c r="Y111" s="39"/>
      <c r="Z111" s="38"/>
      <c r="AA111" s="38"/>
      <c r="AB111" s="38"/>
      <c r="AC111" s="38"/>
      <c r="AI111" s="17"/>
      <c r="AJ111" s="17"/>
      <c r="AK111" s="17"/>
      <c r="AL111" s="17"/>
      <c r="AM111" s="17"/>
      <c r="AN111" s="17"/>
      <c r="AO111" s="17"/>
      <c r="AP111" s="17"/>
      <c r="AW111" s="222">
        <v>106</v>
      </c>
      <c r="AX111" s="222" t="e">
        <f t="shared" si="29"/>
        <v>#N/A</v>
      </c>
      <c r="AY111" s="23">
        <v>104</v>
      </c>
      <c r="AZ111" s="222">
        <f t="shared" si="30"/>
        <v>35</v>
      </c>
      <c r="BA111" s="222">
        <f t="shared" ca="1" si="31"/>
        <v>40185</v>
      </c>
      <c r="BB111" s="222">
        <f t="shared" ca="1" si="32"/>
        <v>40185</v>
      </c>
      <c r="BC111" s="222">
        <f t="shared" ca="1" si="33"/>
        <v>1429.6708841029067</v>
      </c>
      <c r="BD111" s="17"/>
    </row>
    <row r="112" spans="5:56" x14ac:dyDescent="0.45">
      <c r="E112" s="214"/>
      <c r="F112" s="17"/>
      <c r="G112" s="17"/>
      <c r="H112" s="214"/>
      <c r="S112" s="38"/>
      <c r="T112" s="39"/>
      <c r="U112" s="39"/>
      <c r="V112" s="39"/>
      <c r="W112" s="39"/>
      <c r="X112" s="39"/>
      <c r="Y112" s="39"/>
      <c r="Z112" s="38"/>
      <c r="AA112" s="38"/>
      <c r="AB112" s="38"/>
      <c r="AC112" s="38"/>
      <c r="AI112" s="17"/>
      <c r="AJ112" s="17"/>
      <c r="AK112" s="17"/>
      <c r="AL112" s="17"/>
      <c r="AM112" s="17"/>
      <c r="AN112" s="17"/>
      <c r="AO112" s="17"/>
      <c r="AP112" s="17"/>
      <c r="AW112" s="222">
        <v>107</v>
      </c>
      <c r="AX112" s="222" t="e">
        <f t="shared" si="29"/>
        <v>#N/A</v>
      </c>
      <c r="AY112" s="23">
        <v>105</v>
      </c>
      <c r="AZ112" s="222">
        <f t="shared" si="30"/>
        <v>36</v>
      </c>
      <c r="BA112" s="222">
        <f t="shared" ca="1" si="31"/>
        <v>41329</v>
      </c>
      <c r="BB112" s="222">
        <f t="shared" ca="1" si="32"/>
        <v>40190</v>
      </c>
      <c r="BC112" s="222">
        <f t="shared" ca="1" si="33"/>
        <v>1574.6708841029067</v>
      </c>
      <c r="BD112" s="17"/>
    </row>
    <row r="113" spans="5:56" x14ac:dyDescent="0.45">
      <c r="E113" s="214"/>
      <c r="F113" s="17"/>
      <c r="G113" s="17"/>
      <c r="H113" s="214"/>
      <c r="S113" s="38"/>
      <c r="T113" s="39"/>
      <c r="U113" s="39"/>
      <c r="V113" s="39"/>
      <c r="W113" s="39"/>
      <c r="X113" s="39"/>
      <c r="Y113" s="39"/>
      <c r="Z113" s="38"/>
      <c r="AA113" s="38"/>
      <c r="AB113" s="38"/>
      <c r="AC113" s="38"/>
      <c r="AI113" s="17"/>
      <c r="AJ113" s="17"/>
      <c r="AK113" s="17"/>
      <c r="AL113" s="17"/>
      <c r="AM113" s="17"/>
      <c r="AN113" s="17"/>
      <c r="AO113" s="17"/>
      <c r="AP113" s="17"/>
      <c r="AW113" s="222">
        <v>108</v>
      </c>
      <c r="AX113" s="222" t="e">
        <f t="shared" si="29"/>
        <v>#N/A</v>
      </c>
      <c r="AY113" s="23">
        <v>106</v>
      </c>
      <c r="AZ113" s="222">
        <f t="shared" si="30"/>
        <v>36</v>
      </c>
      <c r="BA113" s="222">
        <f t="shared" ca="1" si="31"/>
        <v>41329</v>
      </c>
      <c r="BB113" s="222">
        <f t="shared" ca="1" si="32"/>
        <v>41324</v>
      </c>
      <c r="BC113" s="222">
        <f t="shared" ca="1" si="33"/>
        <v>1574.6708841029067</v>
      </c>
      <c r="BD113" s="17"/>
    </row>
    <row r="114" spans="5:56" x14ac:dyDescent="0.45">
      <c r="E114" s="214"/>
      <c r="F114" s="17"/>
      <c r="G114" s="17"/>
      <c r="H114" s="214"/>
      <c r="S114" s="38"/>
      <c r="T114" s="39"/>
      <c r="U114" s="39"/>
      <c r="V114" s="39"/>
      <c r="W114" s="39"/>
      <c r="X114" s="39"/>
      <c r="Y114" s="39"/>
      <c r="Z114" s="38"/>
      <c r="AA114" s="38"/>
      <c r="AB114" s="38"/>
      <c r="AC114" s="38"/>
      <c r="AI114" s="17"/>
      <c r="AJ114" s="17"/>
      <c r="AK114" s="17"/>
      <c r="AL114" s="17"/>
      <c r="AM114" s="17"/>
      <c r="AN114" s="17"/>
      <c r="AO114" s="17"/>
      <c r="AP114" s="17"/>
      <c r="AW114" s="222">
        <v>109</v>
      </c>
      <c r="AX114" s="222" t="e">
        <f t="shared" si="29"/>
        <v>#N/A</v>
      </c>
      <c r="AY114" s="23">
        <v>107</v>
      </c>
      <c r="AZ114" s="222">
        <f t="shared" si="30"/>
        <v>36</v>
      </c>
      <c r="BA114" s="222">
        <f t="shared" ca="1" si="31"/>
        <v>41329</v>
      </c>
      <c r="BB114" s="222">
        <f t="shared" ca="1" si="32"/>
        <v>41329</v>
      </c>
      <c r="BC114" s="222">
        <f t="shared" ca="1" si="33"/>
        <v>1429.6708841029067</v>
      </c>
      <c r="BD114" s="17"/>
    </row>
    <row r="115" spans="5:56" x14ac:dyDescent="0.45">
      <c r="E115" s="214"/>
      <c r="F115" s="17"/>
      <c r="G115" s="17"/>
      <c r="H115" s="214"/>
      <c r="S115" s="38"/>
      <c r="T115" s="39"/>
      <c r="U115" s="39"/>
      <c r="V115" s="39"/>
      <c r="W115" s="39"/>
      <c r="X115" s="39"/>
      <c r="Y115" s="39"/>
      <c r="Z115" s="38"/>
      <c r="AA115" s="38"/>
      <c r="AB115" s="38"/>
      <c r="AC115" s="38"/>
      <c r="AI115" s="17"/>
      <c r="AJ115" s="17"/>
      <c r="AK115" s="17"/>
      <c r="AL115" s="17"/>
      <c r="AM115" s="17"/>
      <c r="AN115" s="17"/>
      <c r="AO115" s="17"/>
      <c r="AP115" s="17"/>
      <c r="AW115" s="222">
        <v>110</v>
      </c>
      <c r="AX115" s="222" t="e">
        <f t="shared" si="29"/>
        <v>#N/A</v>
      </c>
      <c r="AY115" s="23">
        <v>108</v>
      </c>
      <c r="AZ115" s="222">
        <f t="shared" si="30"/>
        <v>37</v>
      </c>
      <c r="BA115" s="222">
        <f t="shared" ca="1" si="31"/>
        <v>42473</v>
      </c>
      <c r="BB115" s="222">
        <f t="shared" ca="1" si="32"/>
        <v>41334</v>
      </c>
      <c r="BC115" s="222">
        <f t="shared" ca="1" si="33"/>
        <v>1574.6708841029067</v>
      </c>
      <c r="BD115" s="17"/>
    </row>
    <row r="116" spans="5:56" x14ac:dyDescent="0.45">
      <c r="E116" s="214"/>
      <c r="F116" s="17"/>
      <c r="G116" s="17"/>
      <c r="H116" s="214"/>
      <c r="S116" s="38"/>
      <c r="T116" s="39"/>
      <c r="U116" s="39"/>
      <c r="V116" s="39"/>
      <c r="W116" s="39"/>
      <c r="X116" s="39"/>
      <c r="Y116" s="39"/>
      <c r="Z116" s="38"/>
      <c r="AA116" s="38"/>
      <c r="AB116" s="38"/>
      <c r="AC116" s="38"/>
      <c r="AI116" s="17"/>
      <c r="AJ116" s="17"/>
      <c r="AK116" s="17"/>
      <c r="AL116" s="17"/>
      <c r="AM116" s="17"/>
      <c r="AN116" s="17"/>
      <c r="AO116" s="17"/>
      <c r="AP116" s="17"/>
      <c r="AW116" s="222">
        <v>111</v>
      </c>
      <c r="AX116" s="222" t="e">
        <f t="shared" si="29"/>
        <v>#N/A</v>
      </c>
      <c r="AY116" s="23">
        <v>109</v>
      </c>
      <c r="AZ116" s="222">
        <f t="shared" si="30"/>
        <v>37</v>
      </c>
      <c r="BA116" s="222">
        <f t="shared" ca="1" si="31"/>
        <v>42473</v>
      </c>
      <c r="BB116" s="222">
        <f t="shared" ca="1" si="32"/>
        <v>42468</v>
      </c>
      <c r="BC116" s="222">
        <f t="shared" ca="1" si="33"/>
        <v>1574.6708841029067</v>
      </c>
      <c r="BD116" s="17"/>
    </row>
    <row r="117" spans="5:56" x14ac:dyDescent="0.45">
      <c r="E117" s="214"/>
      <c r="F117" s="17"/>
      <c r="G117" s="17"/>
      <c r="H117" s="214"/>
      <c r="S117" s="38"/>
      <c r="T117" s="39"/>
      <c r="U117" s="39"/>
      <c r="V117" s="39"/>
      <c r="W117" s="39"/>
      <c r="X117" s="39"/>
      <c r="Y117" s="39"/>
      <c r="Z117" s="38"/>
      <c r="AA117" s="38"/>
      <c r="AB117" s="38"/>
      <c r="AC117" s="38"/>
      <c r="AI117" s="17"/>
      <c r="AJ117" s="17"/>
      <c r="AK117" s="17"/>
      <c r="AL117" s="17"/>
      <c r="AM117" s="17"/>
      <c r="AN117" s="17"/>
      <c r="AO117" s="17"/>
      <c r="AP117" s="17"/>
      <c r="AW117" s="222">
        <v>112</v>
      </c>
      <c r="AX117" s="222" t="e">
        <f t="shared" si="29"/>
        <v>#N/A</v>
      </c>
      <c r="AY117" s="23">
        <v>110</v>
      </c>
      <c r="AZ117" s="222">
        <f t="shared" si="30"/>
        <v>37</v>
      </c>
      <c r="BA117" s="222">
        <f t="shared" ca="1" si="31"/>
        <v>42473</v>
      </c>
      <c r="BB117" s="222">
        <f t="shared" ca="1" si="32"/>
        <v>42473</v>
      </c>
      <c r="BC117" s="222">
        <f t="shared" ca="1" si="33"/>
        <v>1429.6708841029067</v>
      </c>
      <c r="BD117" s="17"/>
    </row>
    <row r="118" spans="5:56" x14ac:dyDescent="0.45">
      <c r="E118" s="214"/>
      <c r="F118" s="17"/>
      <c r="G118" s="17"/>
      <c r="H118" s="214"/>
      <c r="S118" s="38"/>
      <c r="T118" s="39"/>
      <c r="U118" s="39"/>
      <c r="V118" s="39"/>
      <c r="W118" s="39"/>
      <c r="X118" s="39"/>
      <c r="Y118" s="39"/>
      <c r="Z118" s="38"/>
      <c r="AA118" s="38"/>
      <c r="AB118" s="38"/>
      <c r="AC118" s="38"/>
      <c r="AI118" s="17"/>
      <c r="AJ118" s="17"/>
      <c r="AK118" s="17"/>
      <c r="AL118" s="17"/>
      <c r="AM118" s="17"/>
      <c r="AN118" s="17"/>
      <c r="AO118" s="17"/>
      <c r="AP118" s="17"/>
      <c r="AW118" s="222">
        <v>113</v>
      </c>
      <c r="AX118" s="222" t="e">
        <f t="shared" si="29"/>
        <v>#N/A</v>
      </c>
      <c r="AY118" s="23">
        <v>111</v>
      </c>
      <c r="AZ118" s="222">
        <f t="shared" si="30"/>
        <v>38</v>
      </c>
      <c r="BA118" s="222">
        <f t="shared" ca="1" si="31"/>
        <v>43617</v>
      </c>
      <c r="BB118" s="222">
        <f t="shared" ca="1" si="32"/>
        <v>42478</v>
      </c>
      <c r="BC118" s="222">
        <f t="shared" ca="1" si="33"/>
        <v>1574.6708841029067</v>
      </c>
      <c r="BD118" s="17"/>
    </row>
    <row r="119" spans="5:56" x14ac:dyDescent="0.45">
      <c r="E119" s="214"/>
      <c r="F119" s="17"/>
      <c r="G119" s="17"/>
      <c r="H119" s="214"/>
      <c r="S119" s="38"/>
      <c r="T119" s="39"/>
      <c r="U119" s="39"/>
      <c r="V119" s="39"/>
      <c r="W119" s="39"/>
      <c r="X119" s="39"/>
      <c r="Y119" s="39"/>
      <c r="Z119" s="38"/>
      <c r="AA119" s="38"/>
      <c r="AB119" s="38"/>
      <c r="AC119" s="38"/>
      <c r="AI119" s="17"/>
      <c r="AJ119" s="17"/>
      <c r="AK119" s="17"/>
      <c r="AL119" s="17"/>
      <c r="AM119" s="17"/>
      <c r="AN119" s="17"/>
      <c r="AO119" s="17"/>
      <c r="AP119" s="17"/>
      <c r="AW119" s="222">
        <v>114</v>
      </c>
      <c r="AX119" s="222" t="e">
        <f t="shared" si="29"/>
        <v>#N/A</v>
      </c>
      <c r="AY119" s="23">
        <v>112</v>
      </c>
      <c r="AZ119" s="222">
        <f t="shared" si="30"/>
        <v>38</v>
      </c>
      <c r="BA119" s="222">
        <f t="shared" ca="1" si="31"/>
        <v>43617</v>
      </c>
      <c r="BB119" s="222">
        <f t="shared" ca="1" si="32"/>
        <v>43612</v>
      </c>
      <c r="BC119" s="222">
        <f t="shared" ca="1" si="33"/>
        <v>1574.6708841029067</v>
      </c>
      <c r="BD119" s="17"/>
    </row>
    <row r="120" spans="5:56" x14ac:dyDescent="0.45">
      <c r="E120" s="214"/>
      <c r="F120" s="17"/>
      <c r="G120" s="17"/>
      <c r="H120" s="214"/>
      <c r="S120" s="38"/>
      <c r="T120" s="39"/>
      <c r="U120" s="39"/>
      <c r="V120" s="39"/>
      <c r="W120" s="39"/>
      <c r="X120" s="39"/>
      <c r="Y120" s="39"/>
      <c r="Z120" s="38"/>
      <c r="AA120" s="38"/>
      <c r="AB120" s="38"/>
      <c r="AC120" s="38"/>
      <c r="AI120" s="17"/>
      <c r="AJ120" s="17"/>
      <c r="AK120" s="17"/>
      <c r="AL120" s="17"/>
      <c r="AM120" s="17"/>
      <c r="AN120" s="17"/>
      <c r="AO120" s="17"/>
      <c r="AP120" s="17"/>
      <c r="AW120" s="222">
        <v>115</v>
      </c>
      <c r="AX120" s="222" t="e">
        <f t="shared" si="29"/>
        <v>#N/A</v>
      </c>
      <c r="AY120" s="23">
        <v>113</v>
      </c>
      <c r="AZ120" s="222">
        <f t="shared" si="30"/>
        <v>38</v>
      </c>
      <c r="BA120" s="222">
        <f t="shared" ca="1" si="31"/>
        <v>43617</v>
      </c>
      <c r="BB120" s="222">
        <f t="shared" ca="1" si="32"/>
        <v>43617</v>
      </c>
      <c r="BC120" s="222">
        <f t="shared" ca="1" si="33"/>
        <v>1429.6708841029067</v>
      </c>
      <c r="BD120" s="17"/>
    </row>
    <row r="121" spans="5:56" x14ac:dyDescent="0.45">
      <c r="E121" s="214"/>
      <c r="F121" s="17"/>
      <c r="G121" s="17"/>
      <c r="H121" s="214"/>
      <c r="S121" s="38"/>
      <c r="T121" s="39"/>
      <c r="U121" s="39"/>
      <c r="V121" s="39"/>
      <c r="W121" s="39"/>
      <c r="X121" s="39"/>
      <c r="Y121" s="39"/>
      <c r="Z121" s="38"/>
      <c r="AA121" s="38"/>
      <c r="AB121" s="38"/>
      <c r="AC121" s="38"/>
      <c r="AI121" s="17"/>
      <c r="AJ121" s="17"/>
      <c r="AK121" s="17"/>
      <c r="AL121" s="17"/>
      <c r="AM121" s="17"/>
      <c r="AN121" s="17"/>
      <c r="AO121" s="17"/>
      <c r="AP121" s="17"/>
      <c r="AW121" s="222">
        <v>116</v>
      </c>
      <c r="AX121" s="222" t="e">
        <f t="shared" si="29"/>
        <v>#N/A</v>
      </c>
      <c r="AY121" s="23">
        <v>114</v>
      </c>
      <c r="AZ121" s="222">
        <f t="shared" si="30"/>
        <v>39</v>
      </c>
      <c r="BA121" s="222">
        <f t="shared" ca="1" si="31"/>
        <v>44761</v>
      </c>
      <c r="BB121" s="222">
        <f t="shared" ca="1" si="32"/>
        <v>43622</v>
      </c>
      <c r="BC121" s="222">
        <f t="shared" ca="1" si="33"/>
        <v>1574.6708841029067</v>
      </c>
      <c r="BD121" s="17"/>
    </row>
    <row r="122" spans="5:56" x14ac:dyDescent="0.45">
      <c r="E122" s="214"/>
      <c r="F122" s="17"/>
      <c r="G122" s="17"/>
      <c r="H122" s="214"/>
      <c r="S122" s="38"/>
      <c r="T122" s="39"/>
      <c r="U122" s="39"/>
      <c r="V122" s="39"/>
      <c r="W122" s="39"/>
      <c r="X122" s="39"/>
      <c r="Y122" s="39"/>
      <c r="Z122" s="38"/>
      <c r="AA122" s="38"/>
      <c r="AB122" s="38"/>
      <c r="AC122" s="38"/>
      <c r="AI122" s="17"/>
      <c r="AJ122" s="17"/>
      <c r="AK122" s="17"/>
      <c r="AL122" s="17"/>
      <c r="AM122" s="17"/>
      <c r="AN122" s="17"/>
      <c r="AO122" s="17"/>
      <c r="AP122" s="17"/>
      <c r="AW122" s="222">
        <v>117</v>
      </c>
      <c r="AX122" s="222" t="e">
        <f t="shared" si="29"/>
        <v>#N/A</v>
      </c>
      <c r="AY122" s="23">
        <v>115</v>
      </c>
      <c r="AZ122" s="222">
        <f t="shared" si="30"/>
        <v>39</v>
      </c>
      <c r="BA122" s="222">
        <f t="shared" ca="1" si="31"/>
        <v>44761</v>
      </c>
      <c r="BB122" s="222">
        <f t="shared" ca="1" si="32"/>
        <v>44756</v>
      </c>
      <c r="BC122" s="222">
        <f t="shared" ca="1" si="33"/>
        <v>1574.6708841029067</v>
      </c>
      <c r="BD122" s="17"/>
    </row>
    <row r="123" spans="5:56" x14ac:dyDescent="0.45">
      <c r="E123" s="214"/>
      <c r="F123" s="17"/>
      <c r="G123" s="17"/>
      <c r="H123" s="214"/>
      <c r="S123" s="38"/>
      <c r="T123" s="39"/>
      <c r="U123" s="39"/>
      <c r="V123" s="39"/>
      <c r="W123" s="39"/>
      <c r="X123" s="39"/>
      <c r="Y123" s="39"/>
      <c r="Z123" s="38"/>
      <c r="AA123" s="38"/>
      <c r="AB123" s="38"/>
      <c r="AC123" s="38"/>
      <c r="AI123" s="17"/>
      <c r="AJ123" s="17"/>
      <c r="AK123" s="17"/>
      <c r="AL123" s="17"/>
      <c r="AM123" s="17"/>
      <c r="AN123" s="17"/>
      <c r="AO123" s="17"/>
      <c r="AP123" s="17"/>
      <c r="AW123" s="222">
        <v>118</v>
      </c>
      <c r="AX123" s="222" t="e">
        <f t="shared" si="29"/>
        <v>#N/A</v>
      </c>
      <c r="AY123" s="23">
        <v>116</v>
      </c>
      <c r="AZ123" s="222">
        <f t="shared" si="30"/>
        <v>39</v>
      </c>
      <c r="BA123" s="222">
        <f t="shared" ca="1" si="31"/>
        <v>44761</v>
      </c>
      <c r="BB123" s="222">
        <f t="shared" ca="1" si="32"/>
        <v>44761</v>
      </c>
      <c r="BC123" s="222">
        <f t="shared" ca="1" si="33"/>
        <v>1429.6708841029067</v>
      </c>
      <c r="BD123" s="17"/>
    </row>
    <row r="124" spans="5:56" x14ac:dyDescent="0.45">
      <c r="E124" s="214"/>
      <c r="F124" s="17"/>
      <c r="G124" s="17"/>
      <c r="H124" s="214"/>
      <c r="S124" s="38"/>
      <c r="T124" s="39"/>
      <c r="U124" s="39"/>
      <c r="V124" s="39"/>
      <c r="W124" s="39"/>
      <c r="X124" s="39"/>
      <c r="Y124" s="39"/>
      <c r="Z124" s="38"/>
      <c r="AA124" s="38"/>
      <c r="AB124" s="38"/>
      <c r="AC124" s="38"/>
      <c r="AI124" s="17"/>
      <c r="AJ124" s="17"/>
      <c r="AK124" s="17"/>
      <c r="AL124" s="17"/>
      <c r="AM124" s="17"/>
      <c r="AN124" s="17"/>
      <c r="AO124" s="17"/>
      <c r="AP124" s="17"/>
      <c r="AW124" s="222">
        <v>119</v>
      </c>
      <c r="AX124" s="222" t="e">
        <f t="shared" si="29"/>
        <v>#N/A</v>
      </c>
      <c r="AY124" s="23">
        <v>117</v>
      </c>
      <c r="AZ124" s="222">
        <f t="shared" si="30"/>
        <v>40</v>
      </c>
      <c r="BA124" s="222">
        <f t="shared" ca="1" si="31"/>
        <v>45905</v>
      </c>
      <c r="BB124" s="222">
        <f t="shared" ca="1" si="32"/>
        <v>44766</v>
      </c>
      <c r="BC124" s="222">
        <f t="shared" ca="1" si="33"/>
        <v>1574.6708841029067</v>
      </c>
      <c r="BD124" s="17"/>
    </row>
    <row r="125" spans="5:56" x14ac:dyDescent="0.45">
      <c r="E125" s="214"/>
      <c r="F125" s="17"/>
      <c r="G125" s="17"/>
      <c r="H125" s="214"/>
      <c r="S125" s="38"/>
      <c r="T125" s="39"/>
      <c r="U125" s="39"/>
      <c r="V125" s="39"/>
      <c r="W125" s="39"/>
      <c r="X125" s="39"/>
      <c r="Y125" s="39"/>
      <c r="Z125" s="38"/>
      <c r="AA125" s="38"/>
      <c r="AB125" s="38"/>
      <c r="AC125" s="38"/>
      <c r="AI125" s="17"/>
      <c r="AJ125" s="17"/>
      <c r="AK125" s="17"/>
      <c r="AL125" s="17"/>
      <c r="AM125" s="17"/>
      <c r="AN125" s="17"/>
      <c r="AO125" s="17"/>
      <c r="AP125" s="17"/>
      <c r="AW125" s="222">
        <v>120</v>
      </c>
      <c r="AX125" s="222" t="e">
        <f t="shared" si="29"/>
        <v>#N/A</v>
      </c>
      <c r="AY125" s="23">
        <v>118</v>
      </c>
      <c r="AZ125" s="222">
        <f t="shared" si="30"/>
        <v>40</v>
      </c>
      <c r="BA125" s="222">
        <f t="shared" ca="1" si="31"/>
        <v>45905</v>
      </c>
      <c r="BB125" s="222">
        <f t="shared" ca="1" si="32"/>
        <v>45900</v>
      </c>
      <c r="BC125" s="222">
        <f t="shared" ca="1" si="33"/>
        <v>1574.6708841029067</v>
      </c>
      <c r="BD125" s="17"/>
    </row>
    <row r="126" spans="5:56" x14ac:dyDescent="0.45">
      <c r="E126" s="214"/>
      <c r="F126" s="17"/>
      <c r="G126" s="17"/>
      <c r="H126" s="214"/>
      <c r="S126" s="38"/>
      <c r="T126" s="39"/>
      <c r="U126" s="39"/>
      <c r="V126" s="39"/>
      <c r="W126" s="39"/>
      <c r="X126" s="39"/>
      <c r="Y126" s="39"/>
      <c r="Z126" s="38"/>
      <c r="AA126" s="38"/>
      <c r="AB126" s="38"/>
      <c r="AC126" s="38"/>
      <c r="AI126" s="17"/>
      <c r="AJ126" s="17"/>
      <c r="AK126" s="17"/>
      <c r="AL126" s="17"/>
      <c r="AM126" s="17"/>
      <c r="AN126" s="17"/>
      <c r="AO126" s="17"/>
      <c r="AP126" s="17"/>
      <c r="AW126" s="222">
        <v>121</v>
      </c>
      <c r="AX126" s="222" t="e">
        <f t="shared" si="29"/>
        <v>#N/A</v>
      </c>
      <c r="AY126" s="23">
        <v>119</v>
      </c>
      <c r="AZ126" s="222">
        <f t="shared" si="30"/>
        <v>40</v>
      </c>
      <c r="BA126" s="222">
        <f t="shared" ca="1" si="31"/>
        <v>45905</v>
      </c>
      <c r="BB126" s="222">
        <f t="shared" ca="1" si="32"/>
        <v>45905</v>
      </c>
      <c r="BC126" s="222">
        <f t="shared" ca="1" si="33"/>
        <v>1429.6708841029067</v>
      </c>
      <c r="BD126" s="17"/>
    </row>
    <row r="127" spans="5:56" x14ac:dyDescent="0.45">
      <c r="E127" s="214"/>
      <c r="F127" s="17"/>
      <c r="G127" s="17"/>
      <c r="H127" s="214"/>
      <c r="S127" s="38"/>
      <c r="T127" s="39"/>
      <c r="U127" s="39"/>
      <c r="V127" s="39"/>
      <c r="W127" s="39"/>
      <c r="X127" s="39"/>
      <c r="Y127" s="39"/>
      <c r="Z127" s="38"/>
      <c r="AA127" s="38"/>
      <c r="AB127" s="38"/>
      <c r="AC127" s="38"/>
      <c r="AI127" s="17"/>
      <c r="AJ127" s="17"/>
      <c r="AK127" s="17"/>
      <c r="AL127" s="17"/>
      <c r="AM127" s="17"/>
      <c r="AN127" s="17"/>
      <c r="AO127" s="17"/>
      <c r="AP127" s="17"/>
      <c r="AW127" s="222">
        <v>122</v>
      </c>
      <c r="AX127" s="222" t="e">
        <f t="shared" si="29"/>
        <v>#N/A</v>
      </c>
      <c r="AY127" s="23">
        <v>120</v>
      </c>
      <c r="AZ127" s="222">
        <f t="shared" si="30"/>
        <v>41</v>
      </c>
      <c r="BA127" s="222">
        <f t="shared" ca="1" si="31"/>
        <v>47049</v>
      </c>
      <c r="BB127" s="222">
        <f t="shared" ca="1" si="32"/>
        <v>45910</v>
      </c>
      <c r="BC127" s="222">
        <f t="shared" ca="1" si="33"/>
        <v>1574.6708841029067</v>
      </c>
      <c r="BD127" s="17"/>
    </row>
    <row r="128" spans="5:56" x14ac:dyDescent="0.45">
      <c r="E128" s="214"/>
      <c r="F128" s="17"/>
      <c r="G128" s="17"/>
      <c r="H128" s="214"/>
      <c r="S128" s="38"/>
      <c r="T128" s="39"/>
      <c r="U128" s="39"/>
      <c r="V128" s="39"/>
      <c r="W128" s="39"/>
      <c r="X128" s="39"/>
      <c r="Y128" s="39"/>
      <c r="Z128" s="38"/>
      <c r="AA128" s="38"/>
      <c r="AB128" s="38"/>
      <c r="AC128" s="38"/>
      <c r="AI128" s="17"/>
      <c r="AJ128" s="17"/>
      <c r="AK128" s="17"/>
      <c r="AL128" s="17"/>
      <c r="AM128" s="17"/>
      <c r="AN128" s="17"/>
      <c r="AO128" s="17"/>
      <c r="AP128" s="17"/>
      <c r="AW128" s="222">
        <v>123</v>
      </c>
      <c r="AX128" s="222" t="e">
        <f t="shared" si="29"/>
        <v>#N/A</v>
      </c>
      <c r="AY128" s="23">
        <v>121</v>
      </c>
      <c r="AZ128" s="222">
        <f t="shared" si="30"/>
        <v>41</v>
      </c>
      <c r="BA128" s="222">
        <f t="shared" ca="1" si="31"/>
        <v>47049</v>
      </c>
      <c r="BB128" s="222">
        <f t="shared" ca="1" si="32"/>
        <v>47044</v>
      </c>
      <c r="BC128" s="222">
        <f t="shared" ca="1" si="33"/>
        <v>1574.6708841029067</v>
      </c>
      <c r="BD128" s="17"/>
    </row>
    <row r="129" spans="5:56" x14ac:dyDescent="0.45">
      <c r="E129" s="214"/>
      <c r="F129" s="17"/>
      <c r="G129" s="17"/>
      <c r="H129" s="214"/>
      <c r="S129" s="38"/>
      <c r="T129" s="39"/>
      <c r="U129" s="39"/>
      <c r="V129" s="39"/>
      <c r="W129" s="39"/>
      <c r="X129" s="39"/>
      <c r="Y129" s="39"/>
      <c r="Z129" s="38"/>
      <c r="AA129" s="38"/>
      <c r="AB129" s="38"/>
      <c r="AC129" s="38"/>
      <c r="AI129" s="17"/>
      <c r="AJ129" s="17"/>
      <c r="AK129" s="17"/>
      <c r="AL129" s="17"/>
      <c r="AM129" s="17"/>
      <c r="AN129" s="17"/>
      <c r="AO129" s="17"/>
      <c r="AP129" s="17"/>
      <c r="AW129" s="222">
        <v>124</v>
      </c>
      <c r="AX129" s="222" t="e">
        <f t="shared" si="29"/>
        <v>#N/A</v>
      </c>
      <c r="AY129" s="23">
        <v>122</v>
      </c>
      <c r="AZ129" s="222">
        <f t="shared" si="30"/>
        <v>41</v>
      </c>
      <c r="BA129" s="222">
        <f t="shared" ca="1" si="31"/>
        <v>47049</v>
      </c>
      <c r="BB129" s="222">
        <f t="shared" ca="1" si="32"/>
        <v>47049</v>
      </c>
      <c r="BC129" s="222">
        <f t="shared" ca="1" si="33"/>
        <v>1429.6708841029067</v>
      </c>
      <c r="BD129" s="17"/>
    </row>
    <row r="130" spans="5:56" x14ac:dyDescent="0.45">
      <c r="E130" s="214"/>
      <c r="F130" s="17"/>
      <c r="G130" s="17"/>
      <c r="H130" s="214"/>
      <c r="S130" s="38"/>
      <c r="T130" s="39"/>
      <c r="U130" s="39"/>
      <c r="V130" s="39"/>
      <c r="W130" s="39"/>
      <c r="X130" s="39"/>
      <c r="Y130" s="39"/>
      <c r="Z130" s="38"/>
      <c r="AA130" s="38"/>
      <c r="AB130" s="38"/>
      <c r="AC130" s="38"/>
      <c r="AI130" s="17"/>
      <c r="AJ130" s="17"/>
      <c r="AK130" s="17"/>
      <c r="AL130" s="17"/>
      <c r="AM130" s="17"/>
      <c r="AN130" s="17"/>
      <c r="AO130" s="17"/>
      <c r="AP130" s="17"/>
      <c r="AW130" s="222">
        <v>125</v>
      </c>
      <c r="AX130" s="222" t="e">
        <f t="shared" si="29"/>
        <v>#N/A</v>
      </c>
      <c r="AY130" s="23">
        <v>123</v>
      </c>
      <c r="AZ130" s="222">
        <f t="shared" si="30"/>
        <v>42</v>
      </c>
      <c r="BA130" s="222">
        <f t="shared" ca="1" si="31"/>
        <v>48193</v>
      </c>
      <c r="BB130" s="222">
        <f t="shared" ca="1" si="32"/>
        <v>47054</v>
      </c>
      <c r="BC130" s="222">
        <f t="shared" ca="1" si="33"/>
        <v>1574.6708841029067</v>
      </c>
      <c r="BD130" s="17"/>
    </row>
    <row r="131" spans="5:56" x14ac:dyDescent="0.45">
      <c r="E131" s="214"/>
      <c r="F131" s="17"/>
      <c r="G131" s="17"/>
      <c r="H131" s="214"/>
      <c r="S131" s="38"/>
      <c r="T131" s="39"/>
      <c r="U131" s="39"/>
      <c r="V131" s="39"/>
      <c r="W131" s="39"/>
      <c r="X131" s="39"/>
      <c r="Y131" s="39"/>
      <c r="Z131" s="38"/>
      <c r="AA131" s="38"/>
      <c r="AB131" s="38"/>
      <c r="AC131" s="38"/>
      <c r="AI131" s="17"/>
      <c r="AJ131" s="17"/>
      <c r="AK131" s="17"/>
      <c r="AL131" s="17"/>
      <c r="AM131" s="17"/>
      <c r="AN131" s="17"/>
      <c r="AO131" s="17"/>
      <c r="AP131" s="17"/>
      <c r="AW131" s="222">
        <v>126</v>
      </c>
      <c r="AX131" s="222" t="e">
        <f t="shared" si="29"/>
        <v>#N/A</v>
      </c>
      <c r="AY131" s="23">
        <v>124</v>
      </c>
      <c r="AZ131" s="222">
        <f t="shared" si="30"/>
        <v>42</v>
      </c>
      <c r="BA131" s="222">
        <f t="shared" ca="1" si="31"/>
        <v>48193</v>
      </c>
      <c r="BB131" s="222">
        <f t="shared" ca="1" si="32"/>
        <v>48188</v>
      </c>
      <c r="BC131" s="222">
        <f t="shared" ca="1" si="33"/>
        <v>1574.6708841029067</v>
      </c>
      <c r="BD131" s="17"/>
    </row>
    <row r="132" spans="5:56" x14ac:dyDescent="0.45">
      <c r="E132" s="214"/>
      <c r="F132" s="17"/>
      <c r="G132" s="17"/>
      <c r="H132" s="214"/>
      <c r="S132" s="38"/>
      <c r="T132" s="39"/>
      <c r="U132" s="39"/>
      <c r="V132" s="39"/>
      <c r="W132" s="39"/>
      <c r="X132" s="39"/>
      <c r="Y132" s="39"/>
      <c r="Z132" s="38"/>
      <c r="AA132" s="38"/>
      <c r="AB132" s="38"/>
      <c r="AC132" s="38"/>
      <c r="AI132" s="17"/>
      <c r="AJ132" s="17"/>
      <c r="AK132" s="17"/>
      <c r="AL132" s="17"/>
      <c r="AM132" s="17"/>
      <c r="AN132" s="17"/>
      <c r="AO132" s="17"/>
      <c r="AP132" s="17"/>
      <c r="AW132" s="222">
        <v>127</v>
      </c>
      <c r="AX132" s="222" t="e">
        <f t="shared" si="29"/>
        <v>#N/A</v>
      </c>
      <c r="AY132" s="23">
        <v>125</v>
      </c>
      <c r="AZ132" s="222">
        <f t="shared" si="30"/>
        <v>42</v>
      </c>
      <c r="BA132" s="222">
        <f t="shared" ca="1" si="31"/>
        <v>48193</v>
      </c>
      <c r="BB132" s="222">
        <f t="shared" ca="1" si="32"/>
        <v>48193</v>
      </c>
      <c r="BC132" s="222">
        <f t="shared" ca="1" si="33"/>
        <v>1429.6708841029067</v>
      </c>
      <c r="BD132" s="17"/>
    </row>
    <row r="133" spans="5:56" x14ac:dyDescent="0.45">
      <c r="E133" s="214"/>
      <c r="F133" s="17"/>
      <c r="G133" s="17"/>
      <c r="H133" s="214"/>
      <c r="S133" s="38"/>
      <c r="T133" s="39"/>
      <c r="U133" s="39"/>
      <c r="V133" s="39"/>
      <c r="W133" s="39"/>
      <c r="X133" s="39"/>
      <c r="Y133" s="39"/>
      <c r="Z133" s="38"/>
      <c r="AA133" s="38"/>
      <c r="AB133" s="38"/>
      <c r="AC133" s="38"/>
      <c r="AI133" s="17"/>
      <c r="AJ133" s="17"/>
      <c r="AK133" s="17"/>
      <c r="AL133" s="17"/>
      <c r="AM133" s="17"/>
      <c r="AN133" s="17"/>
      <c r="AO133" s="17"/>
      <c r="AP133" s="17"/>
      <c r="AW133" s="222">
        <v>128</v>
      </c>
      <c r="AX133" s="222" t="e">
        <f t="shared" si="29"/>
        <v>#N/A</v>
      </c>
      <c r="AY133" s="23">
        <v>126</v>
      </c>
      <c r="AZ133" s="222">
        <f t="shared" si="30"/>
        <v>43</v>
      </c>
      <c r="BA133" s="222">
        <f t="shared" ca="1" si="31"/>
        <v>49337</v>
      </c>
      <c r="BB133" s="222">
        <f t="shared" ca="1" si="32"/>
        <v>48198</v>
      </c>
      <c r="BC133" s="222">
        <f t="shared" ca="1" si="33"/>
        <v>1574.6708841029067</v>
      </c>
      <c r="BD133" s="17"/>
    </row>
    <row r="134" spans="5:56" x14ac:dyDescent="0.45">
      <c r="E134" s="214"/>
      <c r="F134" s="17"/>
      <c r="G134" s="17"/>
      <c r="H134" s="214"/>
      <c r="S134" s="38"/>
      <c r="T134" s="39"/>
      <c r="U134" s="39"/>
      <c r="V134" s="39"/>
      <c r="W134" s="39"/>
      <c r="X134" s="39"/>
      <c r="Y134" s="39"/>
      <c r="Z134" s="38"/>
      <c r="AA134" s="38"/>
      <c r="AB134" s="38"/>
      <c r="AC134" s="38"/>
      <c r="AI134" s="17"/>
      <c r="AJ134" s="17"/>
      <c r="AK134" s="17"/>
      <c r="AL134" s="17"/>
      <c r="AM134" s="17"/>
      <c r="AN134" s="17"/>
      <c r="AO134" s="17"/>
      <c r="AP134" s="17"/>
      <c r="AW134" s="222">
        <v>129</v>
      </c>
      <c r="AX134" s="222" t="e">
        <f t="shared" si="29"/>
        <v>#N/A</v>
      </c>
      <c r="AY134" s="23">
        <v>127</v>
      </c>
      <c r="AZ134" s="222">
        <f t="shared" si="30"/>
        <v>43</v>
      </c>
      <c r="BA134" s="222">
        <f t="shared" ca="1" si="31"/>
        <v>49337</v>
      </c>
      <c r="BB134" s="222">
        <f t="shared" ca="1" si="32"/>
        <v>49332</v>
      </c>
      <c r="BC134" s="222">
        <f t="shared" ca="1" si="33"/>
        <v>1574.6708841029067</v>
      </c>
      <c r="BD134" s="17"/>
    </row>
    <row r="135" spans="5:56" x14ac:dyDescent="0.45">
      <c r="E135" s="214"/>
      <c r="F135" s="17"/>
      <c r="G135" s="17"/>
      <c r="H135" s="214"/>
      <c r="S135" s="38"/>
      <c r="T135" s="39"/>
      <c r="U135" s="39"/>
      <c r="V135" s="39"/>
      <c r="W135" s="39"/>
      <c r="X135" s="39"/>
      <c r="Y135" s="39"/>
      <c r="Z135" s="38"/>
      <c r="AA135" s="38"/>
      <c r="AB135" s="38"/>
      <c r="AC135" s="38"/>
      <c r="AI135" s="17"/>
      <c r="AJ135" s="17"/>
      <c r="AK135" s="17"/>
      <c r="AL135" s="17"/>
      <c r="AM135" s="17"/>
      <c r="AN135" s="17"/>
      <c r="AO135" s="17"/>
      <c r="AP135" s="17"/>
      <c r="AW135" s="222">
        <v>130</v>
      </c>
      <c r="AX135" s="222" t="e">
        <f t="shared" si="29"/>
        <v>#N/A</v>
      </c>
      <c r="AY135" s="23">
        <v>128</v>
      </c>
      <c r="AZ135" s="222">
        <f t="shared" si="30"/>
        <v>43</v>
      </c>
      <c r="BA135" s="222">
        <f t="shared" ca="1" si="31"/>
        <v>49337</v>
      </c>
      <c r="BB135" s="222">
        <f t="shared" ca="1" si="32"/>
        <v>49337</v>
      </c>
      <c r="BC135" s="222">
        <f t="shared" ca="1" si="33"/>
        <v>1429.6708841029067</v>
      </c>
      <c r="BD135" s="17"/>
    </row>
    <row r="136" spans="5:56" x14ac:dyDescent="0.45">
      <c r="E136" s="214"/>
      <c r="F136" s="17"/>
      <c r="G136" s="17"/>
      <c r="H136" s="214"/>
      <c r="S136" s="38"/>
      <c r="T136" s="39"/>
      <c r="U136" s="39"/>
      <c r="V136" s="39"/>
      <c r="W136" s="39"/>
      <c r="X136" s="39"/>
      <c r="Y136" s="39"/>
      <c r="Z136" s="38"/>
      <c r="AA136" s="38"/>
      <c r="AB136" s="38"/>
      <c r="AC136" s="38"/>
      <c r="AI136" s="17"/>
      <c r="AJ136" s="17"/>
      <c r="AK136" s="17"/>
      <c r="AL136" s="17"/>
      <c r="AM136" s="17"/>
      <c r="AN136" s="17"/>
      <c r="AO136" s="17"/>
      <c r="AP136" s="17"/>
      <c r="AW136" s="222">
        <v>131</v>
      </c>
      <c r="AX136" s="222" t="e">
        <f t="shared" ref="AX136:AX199" si="34" xml:space="preserve"> IF(AW136 &lt;= $AX$4, AX135 + $AI$6 + $AI$11, NA())</f>
        <v>#N/A</v>
      </c>
      <c r="AY136" s="23">
        <v>129</v>
      </c>
      <c r="AZ136" s="222">
        <f t="shared" ref="AZ136:AZ199" si="35" xml:space="preserve"> IF($AW$6 + ROUNDDOWN(AY136 / 3, 0) &lt; $AX$4, $AW$6 + ROUNDDOWN(AY136 / 3, 0), NA())</f>
        <v>44</v>
      </c>
      <c r="BA136" s="222">
        <f t="shared" ref="BA136:BA199" ca="1" si="36" xml:space="preserve"> OFFSET($AX$6, AZ136, , ,)</f>
        <v>50481</v>
      </c>
      <c r="BB136" s="222">
        <f t="shared" ref="BB136:BB199" ca="1" si="37" xml:space="preserve"> IF(BA136, IF(MOD(AY136, 3) = 0, BA136 - $AI$11 / 2 - $AI$6, IF(MOD(AY136, 3) = 1, BA136 - $AI$11 / 2, BA136)))</f>
        <v>49342</v>
      </c>
      <c r="BC136" s="222">
        <f t="shared" ref="BC136:BC199" ca="1" si="38" xml:space="preserve"> IF(BA136, IF(MOD(AY136, 3) = 2, $AI$22, $AI$22 + 60 + 50 + 35))</f>
        <v>1574.6708841029067</v>
      </c>
      <c r="BD136" s="17"/>
    </row>
    <row r="137" spans="5:56" x14ac:dyDescent="0.45">
      <c r="E137" s="214"/>
      <c r="F137" s="17"/>
      <c r="G137" s="17"/>
      <c r="H137" s="214"/>
      <c r="S137" s="38"/>
      <c r="T137" s="39"/>
      <c r="U137" s="39"/>
      <c r="V137" s="39"/>
      <c r="W137" s="39"/>
      <c r="X137" s="39"/>
      <c r="Y137" s="39"/>
      <c r="Z137" s="38"/>
      <c r="AA137" s="38"/>
      <c r="AB137" s="38"/>
      <c r="AC137" s="38"/>
      <c r="AI137" s="17"/>
      <c r="AJ137" s="17"/>
      <c r="AK137" s="17"/>
      <c r="AL137" s="17"/>
      <c r="AM137" s="17"/>
      <c r="AN137" s="17"/>
      <c r="AO137" s="17"/>
      <c r="AP137" s="17"/>
      <c r="AW137" s="222">
        <v>132</v>
      </c>
      <c r="AX137" s="222" t="e">
        <f t="shared" si="34"/>
        <v>#N/A</v>
      </c>
      <c r="AY137" s="23">
        <v>130</v>
      </c>
      <c r="AZ137" s="222">
        <f t="shared" si="35"/>
        <v>44</v>
      </c>
      <c r="BA137" s="222">
        <f t="shared" ca="1" si="36"/>
        <v>50481</v>
      </c>
      <c r="BB137" s="222">
        <f t="shared" ca="1" si="37"/>
        <v>50476</v>
      </c>
      <c r="BC137" s="222">
        <f t="shared" ca="1" si="38"/>
        <v>1574.6708841029067</v>
      </c>
      <c r="BD137" s="17"/>
    </row>
    <row r="138" spans="5:56" x14ac:dyDescent="0.45">
      <c r="E138" s="214"/>
      <c r="F138" s="17"/>
      <c r="G138" s="17"/>
      <c r="H138" s="214"/>
      <c r="S138" s="38"/>
      <c r="T138" s="39"/>
      <c r="U138" s="39"/>
      <c r="V138" s="39"/>
      <c r="W138" s="39"/>
      <c r="X138" s="39"/>
      <c r="Y138" s="39"/>
      <c r="Z138" s="38"/>
      <c r="AA138" s="38"/>
      <c r="AB138" s="38"/>
      <c r="AC138" s="38"/>
      <c r="AI138" s="17"/>
      <c r="AJ138" s="17"/>
      <c r="AK138" s="17"/>
      <c r="AL138" s="17"/>
      <c r="AM138" s="17"/>
      <c r="AN138" s="17"/>
      <c r="AO138" s="17"/>
      <c r="AP138" s="17"/>
      <c r="AW138" s="222">
        <v>133</v>
      </c>
      <c r="AX138" s="222" t="e">
        <f t="shared" si="34"/>
        <v>#N/A</v>
      </c>
      <c r="AY138" s="23">
        <v>131</v>
      </c>
      <c r="AZ138" s="222">
        <f t="shared" si="35"/>
        <v>44</v>
      </c>
      <c r="BA138" s="222">
        <f t="shared" ca="1" si="36"/>
        <v>50481</v>
      </c>
      <c r="BB138" s="222">
        <f t="shared" ca="1" si="37"/>
        <v>50481</v>
      </c>
      <c r="BC138" s="222">
        <f t="shared" ca="1" si="38"/>
        <v>1429.6708841029067</v>
      </c>
      <c r="BD138" s="17"/>
    </row>
    <row r="139" spans="5:56" x14ac:dyDescent="0.45">
      <c r="E139" s="214"/>
      <c r="F139" s="17"/>
      <c r="G139" s="17"/>
      <c r="H139" s="214"/>
      <c r="S139" s="38"/>
      <c r="T139" s="39"/>
      <c r="U139" s="39"/>
      <c r="V139" s="39"/>
      <c r="W139" s="39"/>
      <c r="X139" s="39"/>
      <c r="Y139" s="39"/>
      <c r="Z139" s="38"/>
      <c r="AA139" s="38"/>
      <c r="AB139" s="38"/>
      <c r="AC139" s="38"/>
      <c r="AI139" s="17"/>
      <c r="AJ139" s="17"/>
      <c r="AK139" s="17"/>
      <c r="AL139" s="17"/>
      <c r="AM139" s="17"/>
      <c r="AN139" s="17"/>
      <c r="AO139" s="17"/>
      <c r="AP139" s="17"/>
      <c r="AW139" s="222">
        <v>134</v>
      </c>
      <c r="AX139" s="222" t="e">
        <f t="shared" si="34"/>
        <v>#N/A</v>
      </c>
      <c r="AY139" s="23">
        <v>132</v>
      </c>
      <c r="AZ139" s="222">
        <f t="shared" si="35"/>
        <v>45</v>
      </c>
      <c r="BA139" s="222">
        <f t="shared" ca="1" si="36"/>
        <v>51625</v>
      </c>
      <c r="BB139" s="222">
        <f t="shared" ca="1" si="37"/>
        <v>50486</v>
      </c>
      <c r="BC139" s="222">
        <f t="shared" ca="1" si="38"/>
        <v>1574.6708841029067</v>
      </c>
      <c r="BD139" s="17"/>
    </row>
    <row r="140" spans="5:56" x14ac:dyDescent="0.45">
      <c r="E140" s="214"/>
      <c r="F140" s="17"/>
      <c r="G140" s="17"/>
      <c r="H140" s="214"/>
      <c r="S140" s="38"/>
      <c r="T140" s="39"/>
      <c r="U140" s="39"/>
      <c r="V140" s="39"/>
      <c r="W140" s="39"/>
      <c r="X140" s="39"/>
      <c r="Y140" s="39"/>
      <c r="Z140" s="38"/>
      <c r="AA140" s="38"/>
      <c r="AB140" s="38"/>
      <c r="AC140" s="38"/>
      <c r="AI140" s="17"/>
      <c r="AJ140" s="17"/>
      <c r="AK140" s="17"/>
      <c r="AL140" s="17"/>
      <c r="AM140" s="17"/>
      <c r="AN140" s="17"/>
      <c r="AO140" s="17"/>
      <c r="AP140" s="17"/>
      <c r="AW140" s="222">
        <v>135</v>
      </c>
      <c r="AX140" s="222" t="e">
        <f t="shared" si="34"/>
        <v>#N/A</v>
      </c>
      <c r="AY140" s="23">
        <v>133</v>
      </c>
      <c r="AZ140" s="222">
        <f t="shared" si="35"/>
        <v>45</v>
      </c>
      <c r="BA140" s="222">
        <f t="shared" ca="1" si="36"/>
        <v>51625</v>
      </c>
      <c r="BB140" s="222">
        <f t="shared" ca="1" si="37"/>
        <v>51620</v>
      </c>
      <c r="BC140" s="222">
        <f t="shared" ca="1" si="38"/>
        <v>1574.6708841029067</v>
      </c>
      <c r="BD140" s="17"/>
    </row>
    <row r="141" spans="5:56" x14ac:dyDescent="0.45">
      <c r="E141" s="214"/>
      <c r="F141" s="17"/>
      <c r="G141" s="17"/>
      <c r="H141" s="214"/>
      <c r="S141" s="38"/>
      <c r="T141" s="39"/>
      <c r="U141" s="39"/>
      <c r="V141" s="39"/>
      <c r="W141" s="39"/>
      <c r="X141" s="39"/>
      <c r="Y141" s="39"/>
      <c r="Z141" s="38"/>
      <c r="AA141" s="38"/>
      <c r="AB141" s="38"/>
      <c r="AC141" s="38"/>
      <c r="AI141" s="17"/>
      <c r="AJ141" s="17"/>
      <c r="AK141" s="17"/>
      <c r="AL141" s="17"/>
      <c r="AM141" s="17"/>
      <c r="AN141" s="17"/>
      <c r="AO141" s="17"/>
      <c r="AP141" s="17"/>
      <c r="AW141" s="222">
        <v>136</v>
      </c>
      <c r="AX141" s="222" t="e">
        <f t="shared" si="34"/>
        <v>#N/A</v>
      </c>
      <c r="AY141" s="23">
        <v>134</v>
      </c>
      <c r="AZ141" s="222">
        <f t="shared" si="35"/>
        <v>45</v>
      </c>
      <c r="BA141" s="222">
        <f t="shared" ca="1" si="36"/>
        <v>51625</v>
      </c>
      <c r="BB141" s="222">
        <f t="shared" ca="1" si="37"/>
        <v>51625</v>
      </c>
      <c r="BC141" s="222">
        <f t="shared" ca="1" si="38"/>
        <v>1429.6708841029067</v>
      </c>
      <c r="BD141" s="17"/>
    </row>
    <row r="142" spans="5:56" x14ac:dyDescent="0.45">
      <c r="E142" s="214"/>
      <c r="F142" s="17"/>
      <c r="G142" s="17"/>
      <c r="H142" s="214"/>
      <c r="S142" s="38"/>
      <c r="T142" s="39"/>
      <c r="U142" s="39"/>
      <c r="V142" s="39"/>
      <c r="W142" s="39"/>
      <c r="X142" s="39"/>
      <c r="Y142" s="39"/>
      <c r="Z142" s="38"/>
      <c r="AA142" s="38"/>
      <c r="AB142" s="38"/>
      <c r="AC142" s="38"/>
      <c r="AI142" s="17"/>
      <c r="AJ142" s="17"/>
      <c r="AK142" s="17"/>
      <c r="AL142" s="17"/>
      <c r="AM142" s="17"/>
      <c r="AN142" s="17"/>
      <c r="AO142" s="17"/>
      <c r="AP142" s="17"/>
      <c r="AW142" s="222">
        <v>137</v>
      </c>
      <c r="AX142" s="222" t="e">
        <f t="shared" si="34"/>
        <v>#N/A</v>
      </c>
      <c r="AY142" s="23">
        <v>135</v>
      </c>
      <c r="AZ142" s="222">
        <f t="shared" si="35"/>
        <v>46</v>
      </c>
      <c r="BA142" s="222">
        <f t="shared" ca="1" si="36"/>
        <v>52769</v>
      </c>
      <c r="BB142" s="222">
        <f t="shared" ca="1" si="37"/>
        <v>51630</v>
      </c>
      <c r="BC142" s="222">
        <f t="shared" ca="1" si="38"/>
        <v>1574.6708841029067</v>
      </c>
      <c r="BD142" s="17"/>
    </row>
    <row r="143" spans="5:56" x14ac:dyDescent="0.45">
      <c r="E143" s="214"/>
      <c r="F143" s="17"/>
      <c r="G143" s="17"/>
      <c r="H143" s="214"/>
      <c r="S143" s="38"/>
      <c r="T143" s="39"/>
      <c r="U143" s="39"/>
      <c r="V143" s="39"/>
      <c r="W143" s="39"/>
      <c r="X143" s="39"/>
      <c r="Y143" s="39"/>
      <c r="Z143" s="38"/>
      <c r="AA143" s="38"/>
      <c r="AB143" s="38"/>
      <c r="AC143" s="38"/>
      <c r="AI143" s="17"/>
      <c r="AJ143" s="17"/>
      <c r="AK143" s="17"/>
      <c r="AL143" s="17"/>
      <c r="AM143" s="17"/>
      <c r="AN143" s="17"/>
      <c r="AO143" s="17"/>
      <c r="AP143" s="17"/>
      <c r="AW143" s="222">
        <v>138</v>
      </c>
      <c r="AX143" s="222" t="e">
        <f t="shared" si="34"/>
        <v>#N/A</v>
      </c>
      <c r="AY143" s="23">
        <v>136</v>
      </c>
      <c r="AZ143" s="222">
        <f t="shared" si="35"/>
        <v>46</v>
      </c>
      <c r="BA143" s="222">
        <f t="shared" ca="1" si="36"/>
        <v>52769</v>
      </c>
      <c r="BB143" s="222">
        <f t="shared" ca="1" si="37"/>
        <v>52764</v>
      </c>
      <c r="BC143" s="222">
        <f t="shared" ca="1" si="38"/>
        <v>1574.6708841029067</v>
      </c>
      <c r="BD143" s="17"/>
    </row>
    <row r="144" spans="5:56" x14ac:dyDescent="0.45">
      <c r="E144" s="214"/>
      <c r="F144" s="17"/>
      <c r="G144" s="17"/>
      <c r="H144" s="214"/>
      <c r="S144" s="38"/>
      <c r="T144" s="39"/>
      <c r="U144" s="39"/>
      <c r="V144" s="39"/>
      <c r="W144" s="39"/>
      <c r="X144" s="39"/>
      <c r="Y144" s="39"/>
      <c r="Z144" s="38"/>
      <c r="AA144" s="38"/>
      <c r="AB144" s="38"/>
      <c r="AC144" s="38"/>
      <c r="AI144" s="17"/>
      <c r="AJ144" s="17"/>
      <c r="AK144" s="17"/>
      <c r="AL144" s="17"/>
      <c r="AM144" s="17"/>
      <c r="AN144" s="17"/>
      <c r="AO144" s="17"/>
      <c r="AP144" s="17"/>
      <c r="AW144" s="222">
        <v>139</v>
      </c>
      <c r="AX144" s="222" t="e">
        <f t="shared" si="34"/>
        <v>#N/A</v>
      </c>
      <c r="AY144" s="23">
        <v>137</v>
      </c>
      <c r="AZ144" s="222">
        <f t="shared" si="35"/>
        <v>46</v>
      </c>
      <c r="BA144" s="222">
        <f t="shared" ca="1" si="36"/>
        <v>52769</v>
      </c>
      <c r="BB144" s="222">
        <f t="shared" ca="1" si="37"/>
        <v>52769</v>
      </c>
      <c r="BC144" s="222">
        <f t="shared" ca="1" si="38"/>
        <v>1429.6708841029067</v>
      </c>
      <c r="BD144" s="17"/>
    </row>
    <row r="145" spans="5:56" x14ac:dyDescent="0.45">
      <c r="E145" s="214"/>
      <c r="F145" s="17"/>
      <c r="G145" s="17"/>
      <c r="H145" s="214"/>
      <c r="S145" s="38"/>
      <c r="T145" s="39"/>
      <c r="U145" s="39"/>
      <c r="V145" s="39"/>
      <c r="W145" s="39"/>
      <c r="X145" s="39"/>
      <c r="Y145" s="39"/>
      <c r="Z145" s="38"/>
      <c r="AA145" s="38"/>
      <c r="AB145" s="38"/>
      <c r="AC145" s="38"/>
      <c r="AI145" s="17"/>
      <c r="AJ145" s="17"/>
      <c r="AK145" s="17"/>
      <c r="AL145" s="17"/>
      <c r="AM145" s="17"/>
      <c r="AN145" s="17"/>
      <c r="AO145" s="17"/>
      <c r="AP145" s="17"/>
      <c r="AW145" s="222">
        <v>140</v>
      </c>
      <c r="AX145" s="222" t="e">
        <f t="shared" si="34"/>
        <v>#N/A</v>
      </c>
      <c r="AY145" s="23">
        <v>138</v>
      </c>
      <c r="AZ145" s="222">
        <f t="shared" si="35"/>
        <v>47</v>
      </c>
      <c r="BA145" s="222">
        <f t="shared" ca="1" si="36"/>
        <v>53913</v>
      </c>
      <c r="BB145" s="222">
        <f t="shared" ca="1" si="37"/>
        <v>52774</v>
      </c>
      <c r="BC145" s="222">
        <f t="shared" ca="1" si="38"/>
        <v>1574.6708841029067</v>
      </c>
      <c r="BD145" s="17"/>
    </row>
    <row r="146" spans="5:56" x14ac:dyDescent="0.45">
      <c r="E146" s="214"/>
      <c r="F146" s="17"/>
      <c r="G146" s="17"/>
      <c r="H146" s="214"/>
      <c r="S146" s="38"/>
      <c r="T146" s="39"/>
      <c r="U146" s="39"/>
      <c r="V146" s="39"/>
      <c r="W146" s="39"/>
      <c r="X146" s="39"/>
      <c r="Y146" s="39"/>
      <c r="Z146" s="38"/>
      <c r="AA146" s="38"/>
      <c r="AB146" s="38"/>
      <c r="AC146" s="38"/>
      <c r="AI146" s="17"/>
      <c r="AJ146" s="17"/>
      <c r="AK146" s="17"/>
      <c r="AL146" s="17"/>
      <c r="AM146" s="17"/>
      <c r="AN146" s="17"/>
      <c r="AO146" s="17"/>
      <c r="AP146" s="17"/>
      <c r="AW146" s="222">
        <v>141</v>
      </c>
      <c r="AX146" s="222" t="e">
        <f t="shared" si="34"/>
        <v>#N/A</v>
      </c>
      <c r="AY146" s="23">
        <v>139</v>
      </c>
      <c r="AZ146" s="222">
        <f t="shared" si="35"/>
        <v>47</v>
      </c>
      <c r="BA146" s="222">
        <f t="shared" ca="1" si="36"/>
        <v>53913</v>
      </c>
      <c r="BB146" s="222">
        <f t="shared" ca="1" si="37"/>
        <v>53908</v>
      </c>
      <c r="BC146" s="222">
        <f t="shared" ca="1" si="38"/>
        <v>1574.6708841029067</v>
      </c>
      <c r="BD146" s="17"/>
    </row>
    <row r="147" spans="5:56" x14ac:dyDescent="0.45">
      <c r="E147" s="214"/>
      <c r="F147" s="17"/>
      <c r="G147" s="17"/>
      <c r="H147" s="214"/>
      <c r="S147" s="38"/>
      <c r="T147" s="39"/>
      <c r="U147" s="39"/>
      <c r="V147" s="39"/>
      <c r="W147" s="39"/>
      <c r="X147" s="39"/>
      <c r="Y147" s="39"/>
      <c r="Z147" s="38"/>
      <c r="AA147" s="38"/>
      <c r="AB147" s="38"/>
      <c r="AC147" s="38"/>
      <c r="AI147" s="17"/>
      <c r="AJ147" s="17"/>
      <c r="AK147" s="17"/>
      <c r="AL147" s="17"/>
      <c r="AM147" s="17"/>
      <c r="AN147" s="17"/>
      <c r="AO147" s="17"/>
      <c r="AP147" s="17"/>
      <c r="AW147" s="222">
        <v>142</v>
      </c>
      <c r="AX147" s="222" t="e">
        <f t="shared" si="34"/>
        <v>#N/A</v>
      </c>
      <c r="AY147" s="23">
        <v>140</v>
      </c>
      <c r="AZ147" s="222">
        <f t="shared" si="35"/>
        <v>47</v>
      </c>
      <c r="BA147" s="222">
        <f t="shared" ca="1" si="36"/>
        <v>53913</v>
      </c>
      <c r="BB147" s="222">
        <f t="shared" ca="1" si="37"/>
        <v>53913</v>
      </c>
      <c r="BC147" s="222">
        <f t="shared" ca="1" si="38"/>
        <v>1429.6708841029067</v>
      </c>
      <c r="BD147" s="17"/>
    </row>
    <row r="148" spans="5:56" x14ac:dyDescent="0.45">
      <c r="E148" s="214"/>
      <c r="F148" s="17"/>
      <c r="G148" s="17"/>
      <c r="H148" s="214"/>
      <c r="S148" s="38"/>
      <c r="T148" s="39"/>
      <c r="U148" s="39"/>
      <c r="V148" s="39"/>
      <c r="W148" s="39"/>
      <c r="X148" s="39"/>
      <c r="Y148" s="39"/>
      <c r="Z148" s="38"/>
      <c r="AA148" s="38"/>
      <c r="AB148" s="38"/>
      <c r="AC148" s="38"/>
      <c r="AI148" s="17"/>
      <c r="AJ148" s="17"/>
      <c r="AK148" s="17"/>
      <c r="AL148" s="17"/>
      <c r="AM148" s="17"/>
      <c r="AN148" s="17"/>
      <c r="AO148" s="17"/>
      <c r="AP148" s="17"/>
      <c r="AW148" s="222">
        <v>143</v>
      </c>
      <c r="AX148" s="222" t="e">
        <f t="shared" si="34"/>
        <v>#N/A</v>
      </c>
      <c r="AY148" s="23">
        <v>141</v>
      </c>
      <c r="AZ148" s="222">
        <f t="shared" si="35"/>
        <v>48</v>
      </c>
      <c r="BA148" s="222">
        <f t="shared" ca="1" si="36"/>
        <v>55057</v>
      </c>
      <c r="BB148" s="222">
        <f t="shared" ca="1" si="37"/>
        <v>53918</v>
      </c>
      <c r="BC148" s="222">
        <f t="shared" ca="1" si="38"/>
        <v>1574.6708841029067</v>
      </c>
      <c r="BD148" s="17"/>
    </row>
    <row r="149" spans="5:56" x14ac:dyDescent="0.45">
      <c r="E149" s="214"/>
      <c r="F149" s="17"/>
      <c r="G149" s="17"/>
      <c r="H149" s="214"/>
      <c r="S149" s="38"/>
      <c r="T149" s="39"/>
      <c r="U149" s="39"/>
      <c r="V149" s="39"/>
      <c r="W149" s="39"/>
      <c r="X149" s="39"/>
      <c r="Y149" s="39"/>
      <c r="Z149" s="38"/>
      <c r="AA149" s="38"/>
      <c r="AB149" s="38"/>
      <c r="AC149" s="38"/>
      <c r="AI149" s="17"/>
      <c r="AJ149" s="17"/>
      <c r="AK149" s="17"/>
      <c r="AL149" s="17"/>
      <c r="AM149" s="17"/>
      <c r="AN149" s="17"/>
      <c r="AO149" s="17"/>
      <c r="AP149" s="17"/>
      <c r="AW149" s="222">
        <v>144</v>
      </c>
      <c r="AX149" s="222" t="e">
        <f t="shared" si="34"/>
        <v>#N/A</v>
      </c>
      <c r="AY149" s="23">
        <v>142</v>
      </c>
      <c r="AZ149" s="222">
        <f t="shared" si="35"/>
        <v>48</v>
      </c>
      <c r="BA149" s="222">
        <f t="shared" ca="1" si="36"/>
        <v>55057</v>
      </c>
      <c r="BB149" s="222">
        <f t="shared" ca="1" si="37"/>
        <v>55052</v>
      </c>
      <c r="BC149" s="222">
        <f t="shared" ca="1" si="38"/>
        <v>1574.6708841029067</v>
      </c>
      <c r="BD149" s="17"/>
    </row>
    <row r="150" spans="5:56" x14ac:dyDescent="0.45">
      <c r="E150" s="214"/>
      <c r="F150" s="17"/>
      <c r="G150" s="17"/>
      <c r="H150" s="214"/>
      <c r="S150" s="38"/>
      <c r="T150" s="39"/>
      <c r="U150" s="39"/>
      <c r="V150" s="39"/>
      <c r="W150" s="39"/>
      <c r="X150" s="39"/>
      <c r="Y150" s="39"/>
      <c r="Z150" s="38"/>
      <c r="AA150" s="38"/>
      <c r="AB150" s="38"/>
      <c r="AC150" s="38"/>
      <c r="AI150" s="17"/>
      <c r="AJ150" s="17"/>
      <c r="AK150" s="17"/>
      <c r="AL150" s="17"/>
      <c r="AM150" s="17"/>
      <c r="AN150" s="17"/>
      <c r="AO150" s="17"/>
      <c r="AP150" s="17"/>
      <c r="AW150" s="222">
        <v>145</v>
      </c>
      <c r="AX150" s="222" t="e">
        <f t="shared" si="34"/>
        <v>#N/A</v>
      </c>
      <c r="AY150" s="23">
        <v>143</v>
      </c>
      <c r="AZ150" s="222">
        <f t="shared" si="35"/>
        <v>48</v>
      </c>
      <c r="BA150" s="222">
        <f t="shared" ca="1" si="36"/>
        <v>55057</v>
      </c>
      <c r="BB150" s="222">
        <f t="shared" ca="1" si="37"/>
        <v>55057</v>
      </c>
      <c r="BC150" s="222">
        <f t="shared" ca="1" si="38"/>
        <v>1429.6708841029067</v>
      </c>
      <c r="BD150" s="17"/>
    </row>
    <row r="151" spans="5:56" x14ac:dyDescent="0.45">
      <c r="E151" s="214"/>
      <c r="F151" s="17"/>
      <c r="G151" s="17"/>
      <c r="H151" s="214"/>
      <c r="S151" s="38"/>
      <c r="T151" s="39"/>
      <c r="U151" s="39"/>
      <c r="V151" s="39"/>
      <c r="W151" s="39"/>
      <c r="X151" s="39"/>
      <c r="Y151" s="39"/>
      <c r="Z151" s="38"/>
      <c r="AA151" s="38"/>
      <c r="AB151" s="38"/>
      <c r="AC151" s="38"/>
      <c r="AI151" s="17"/>
      <c r="AJ151" s="17"/>
      <c r="AK151" s="17"/>
      <c r="AL151" s="17"/>
      <c r="AM151" s="17"/>
      <c r="AN151" s="17"/>
      <c r="AO151" s="17"/>
      <c r="AP151" s="17"/>
      <c r="AW151" s="222">
        <v>146</v>
      </c>
      <c r="AX151" s="222" t="e">
        <f t="shared" si="34"/>
        <v>#N/A</v>
      </c>
      <c r="AY151" s="23">
        <v>144</v>
      </c>
      <c r="AZ151" s="222">
        <f t="shared" si="35"/>
        <v>49</v>
      </c>
      <c r="BA151" s="222">
        <f t="shared" ca="1" si="36"/>
        <v>56201</v>
      </c>
      <c r="BB151" s="222">
        <f t="shared" ca="1" si="37"/>
        <v>55062</v>
      </c>
      <c r="BC151" s="222">
        <f t="shared" ca="1" si="38"/>
        <v>1574.6708841029067</v>
      </c>
      <c r="BD151" s="17"/>
    </row>
    <row r="152" spans="5:56" x14ac:dyDescent="0.45">
      <c r="E152" s="214"/>
      <c r="F152" s="17"/>
      <c r="G152" s="17"/>
      <c r="H152" s="214"/>
      <c r="S152" s="38"/>
      <c r="T152" s="39"/>
      <c r="U152" s="39"/>
      <c r="V152" s="39"/>
      <c r="W152" s="39"/>
      <c r="X152" s="39"/>
      <c r="Y152" s="39"/>
      <c r="Z152" s="38"/>
      <c r="AA152" s="38"/>
      <c r="AB152" s="38"/>
      <c r="AC152" s="38"/>
      <c r="AI152" s="17"/>
      <c r="AJ152" s="17"/>
      <c r="AK152" s="17"/>
      <c r="AL152" s="17"/>
      <c r="AM152" s="17"/>
      <c r="AN152" s="17"/>
      <c r="AO152" s="17"/>
      <c r="AP152" s="17"/>
      <c r="AW152" s="222">
        <v>147</v>
      </c>
      <c r="AX152" s="222" t="e">
        <f t="shared" si="34"/>
        <v>#N/A</v>
      </c>
      <c r="AY152" s="23">
        <v>145</v>
      </c>
      <c r="AZ152" s="222">
        <f t="shared" si="35"/>
        <v>49</v>
      </c>
      <c r="BA152" s="222">
        <f t="shared" ca="1" si="36"/>
        <v>56201</v>
      </c>
      <c r="BB152" s="222">
        <f t="shared" ca="1" si="37"/>
        <v>56196</v>
      </c>
      <c r="BC152" s="222">
        <f t="shared" ca="1" si="38"/>
        <v>1574.6708841029067</v>
      </c>
      <c r="BD152" s="17"/>
    </row>
    <row r="153" spans="5:56" x14ac:dyDescent="0.45">
      <c r="E153" s="214"/>
      <c r="F153" s="17"/>
      <c r="G153" s="17"/>
      <c r="H153" s="214"/>
      <c r="S153" s="38"/>
      <c r="T153" s="39"/>
      <c r="U153" s="39"/>
      <c r="V153" s="39"/>
      <c r="W153" s="39"/>
      <c r="X153" s="39"/>
      <c r="Y153" s="39"/>
      <c r="Z153" s="38"/>
      <c r="AA153" s="38"/>
      <c r="AB153" s="38"/>
      <c r="AC153" s="38"/>
      <c r="AI153" s="17"/>
      <c r="AJ153" s="17"/>
      <c r="AK153" s="17"/>
      <c r="AL153" s="17"/>
      <c r="AM153" s="17"/>
      <c r="AN153" s="17"/>
      <c r="AO153" s="17"/>
      <c r="AP153" s="17"/>
      <c r="AW153" s="222">
        <v>148</v>
      </c>
      <c r="AX153" s="222" t="e">
        <f t="shared" si="34"/>
        <v>#N/A</v>
      </c>
      <c r="AY153" s="23">
        <v>146</v>
      </c>
      <c r="AZ153" s="222">
        <f t="shared" si="35"/>
        <v>49</v>
      </c>
      <c r="BA153" s="222">
        <f t="shared" ca="1" si="36"/>
        <v>56201</v>
      </c>
      <c r="BB153" s="222">
        <f t="shared" ca="1" si="37"/>
        <v>56201</v>
      </c>
      <c r="BC153" s="222">
        <f t="shared" ca="1" si="38"/>
        <v>1429.6708841029067</v>
      </c>
      <c r="BD153" s="17"/>
    </row>
    <row r="154" spans="5:56" x14ac:dyDescent="0.45">
      <c r="E154" s="214"/>
      <c r="F154" s="17"/>
      <c r="G154" s="17"/>
      <c r="H154" s="214"/>
      <c r="S154" s="38"/>
      <c r="T154" s="39"/>
      <c r="U154" s="39"/>
      <c r="V154" s="39"/>
      <c r="W154" s="39"/>
      <c r="X154" s="39"/>
      <c r="Y154" s="39"/>
      <c r="Z154" s="38"/>
      <c r="AA154" s="38"/>
      <c r="AB154" s="38"/>
      <c r="AC154" s="38"/>
      <c r="AI154" s="17"/>
      <c r="AJ154" s="17"/>
      <c r="AK154" s="17"/>
      <c r="AL154" s="17"/>
      <c r="AM154" s="17"/>
      <c r="AN154" s="17"/>
      <c r="AO154" s="17"/>
      <c r="AP154" s="17"/>
      <c r="AW154" s="222">
        <v>149</v>
      </c>
      <c r="AX154" s="222" t="e">
        <f t="shared" si="34"/>
        <v>#N/A</v>
      </c>
      <c r="AY154" s="23">
        <v>147</v>
      </c>
      <c r="AZ154" s="222">
        <f t="shared" si="35"/>
        <v>50</v>
      </c>
      <c r="BA154" s="222">
        <f t="shared" ca="1" si="36"/>
        <v>57345</v>
      </c>
      <c r="BB154" s="222">
        <f t="shared" ca="1" si="37"/>
        <v>56206</v>
      </c>
      <c r="BC154" s="222">
        <f t="shared" ca="1" si="38"/>
        <v>1574.6708841029067</v>
      </c>
      <c r="BD154" s="17"/>
    </row>
    <row r="155" spans="5:56" x14ac:dyDescent="0.45">
      <c r="E155" s="214"/>
      <c r="F155" s="17"/>
      <c r="G155" s="17"/>
      <c r="H155" s="214"/>
      <c r="S155" s="38"/>
      <c r="T155" s="39"/>
      <c r="U155" s="39"/>
      <c r="V155" s="39"/>
      <c r="W155" s="39"/>
      <c r="X155" s="39"/>
      <c r="Y155" s="39"/>
      <c r="Z155" s="38"/>
      <c r="AA155" s="38"/>
      <c r="AB155" s="38"/>
      <c r="AC155" s="38"/>
      <c r="AI155" s="17"/>
      <c r="AJ155" s="17"/>
      <c r="AK155" s="17"/>
      <c r="AL155" s="17"/>
      <c r="AM155" s="17"/>
      <c r="AN155" s="17"/>
      <c r="AO155" s="17"/>
      <c r="AP155" s="17"/>
      <c r="AW155" s="222">
        <v>150</v>
      </c>
      <c r="AX155" s="222" t="e">
        <f t="shared" si="34"/>
        <v>#N/A</v>
      </c>
      <c r="AY155" s="23">
        <v>148</v>
      </c>
      <c r="AZ155" s="222">
        <f t="shared" si="35"/>
        <v>50</v>
      </c>
      <c r="BA155" s="222">
        <f t="shared" ca="1" si="36"/>
        <v>57345</v>
      </c>
      <c r="BB155" s="222">
        <f t="shared" ca="1" si="37"/>
        <v>57340</v>
      </c>
      <c r="BC155" s="222">
        <f t="shared" ca="1" si="38"/>
        <v>1574.6708841029067</v>
      </c>
      <c r="BD155" s="17"/>
    </row>
    <row r="156" spans="5:56" x14ac:dyDescent="0.45">
      <c r="E156" s="214"/>
      <c r="F156" s="17"/>
      <c r="G156" s="17"/>
      <c r="H156" s="214"/>
      <c r="S156" s="38"/>
      <c r="T156" s="39"/>
      <c r="U156" s="39"/>
      <c r="V156" s="39"/>
      <c r="W156" s="39"/>
      <c r="X156" s="39"/>
      <c r="Y156" s="39"/>
      <c r="Z156" s="38"/>
      <c r="AA156" s="38"/>
      <c r="AB156" s="38"/>
      <c r="AC156" s="38"/>
      <c r="AI156" s="17"/>
      <c r="AJ156" s="17"/>
      <c r="AK156" s="17"/>
      <c r="AL156" s="17"/>
      <c r="AM156" s="17"/>
      <c r="AN156" s="17"/>
      <c r="AO156" s="17"/>
      <c r="AP156" s="17"/>
      <c r="AW156" s="222">
        <v>151</v>
      </c>
      <c r="AX156" s="222" t="e">
        <f t="shared" si="34"/>
        <v>#N/A</v>
      </c>
      <c r="AY156" s="23">
        <v>149</v>
      </c>
      <c r="AZ156" s="222">
        <f t="shared" si="35"/>
        <v>50</v>
      </c>
      <c r="BA156" s="222">
        <f t="shared" ca="1" si="36"/>
        <v>57345</v>
      </c>
      <c r="BB156" s="222">
        <f t="shared" ca="1" si="37"/>
        <v>57345</v>
      </c>
      <c r="BC156" s="222">
        <f t="shared" ca="1" si="38"/>
        <v>1429.6708841029067</v>
      </c>
      <c r="BD156" s="17"/>
    </row>
    <row r="157" spans="5:56" x14ac:dyDescent="0.45">
      <c r="E157" s="214"/>
      <c r="F157" s="17"/>
      <c r="G157" s="17"/>
      <c r="H157" s="214"/>
      <c r="S157" s="38"/>
      <c r="T157" s="39"/>
      <c r="U157" s="39"/>
      <c r="V157" s="39"/>
      <c r="W157" s="39"/>
      <c r="X157" s="39"/>
      <c r="Y157" s="39"/>
      <c r="Z157" s="38"/>
      <c r="AA157" s="38"/>
      <c r="AB157" s="38"/>
      <c r="AC157" s="38"/>
      <c r="AI157" s="17"/>
      <c r="AJ157" s="17"/>
      <c r="AK157" s="17"/>
      <c r="AL157" s="17"/>
      <c r="AM157" s="17"/>
      <c r="AN157" s="17"/>
      <c r="AO157" s="17"/>
      <c r="AP157" s="17"/>
      <c r="AW157" s="222">
        <v>152</v>
      </c>
      <c r="AX157" s="222" t="e">
        <f t="shared" si="34"/>
        <v>#N/A</v>
      </c>
      <c r="AY157" s="23">
        <v>150</v>
      </c>
      <c r="AZ157" s="222">
        <f t="shared" si="35"/>
        <v>51</v>
      </c>
      <c r="BA157" s="222">
        <f t="shared" ca="1" si="36"/>
        <v>58489</v>
      </c>
      <c r="BB157" s="222">
        <f t="shared" ca="1" si="37"/>
        <v>57350</v>
      </c>
      <c r="BC157" s="222">
        <f t="shared" ca="1" si="38"/>
        <v>1574.6708841029067</v>
      </c>
      <c r="BD157" s="17"/>
    </row>
    <row r="158" spans="5:56" x14ac:dyDescent="0.45">
      <c r="E158" s="214"/>
      <c r="F158" s="17"/>
      <c r="G158" s="17"/>
      <c r="H158" s="214"/>
      <c r="S158" s="38"/>
      <c r="T158" s="39"/>
      <c r="U158" s="39"/>
      <c r="V158" s="39"/>
      <c r="W158" s="39"/>
      <c r="X158" s="39"/>
      <c r="Y158" s="39"/>
      <c r="Z158" s="38"/>
      <c r="AA158" s="38"/>
      <c r="AB158" s="38"/>
      <c r="AC158" s="38"/>
      <c r="AI158" s="17"/>
      <c r="AJ158" s="17"/>
      <c r="AK158" s="17"/>
      <c r="AL158" s="17"/>
      <c r="AM158" s="17"/>
      <c r="AN158" s="17"/>
      <c r="AO158" s="17"/>
      <c r="AP158" s="17"/>
      <c r="AW158" s="222">
        <v>153</v>
      </c>
      <c r="AX158" s="222" t="e">
        <f t="shared" si="34"/>
        <v>#N/A</v>
      </c>
      <c r="AY158" s="23">
        <v>151</v>
      </c>
      <c r="AZ158" s="222">
        <f t="shared" si="35"/>
        <v>51</v>
      </c>
      <c r="BA158" s="222">
        <f t="shared" ca="1" si="36"/>
        <v>58489</v>
      </c>
      <c r="BB158" s="222">
        <f t="shared" ca="1" si="37"/>
        <v>58484</v>
      </c>
      <c r="BC158" s="222">
        <f t="shared" ca="1" si="38"/>
        <v>1574.6708841029067</v>
      </c>
      <c r="BD158" s="17"/>
    </row>
    <row r="159" spans="5:56" x14ac:dyDescent="0.45">
      <c r="E159" s="214"/>
      <c r="F159" s="17"/>
      <c r="G159" s="17"/>
      <c r="H159" s="214"/>
      <c r="S159" s="38"/>
      <c r="T159" s="39"/>
      <c r="U159" s="39"/>
      <c r="V159" s="39"/>
      <c r="W159" s="39"/>
      <c r="X159" s="39"/>
      <c r="Y159" s="39"/>
      <c r="Z159" s="38"/>
      <c r="AA159" s="38"/>
      <c r="AB159" s="38"/>
      <c r="AC159" s="38"/>
      <c r="AI159" s="17"/>
      <c r="AJ159" s="17"/>
      <c r="AK159" s="17"/>
      <c r="AL159" s="17"/>
      <c r="AM159" s="17"/>
      <c r="AN159" s="17"/>
      <c r="AO159" s="17"/>
      <c r="AP159" s="17"/>
      <c r="AW159" s="222">
        <v>154</v>
      </c>
      <c r="AX159" s="222" t="e">
        <f t="shared" si="34"/>
        <v>#N/A</v>
      </c>
      <c r="AY159" s="23">
        <v>152</v>
      </c>
      <c r="AZ159" s="222">
        <f t="shared" si="35"/>
        <v>51</v>
      </c>
      <c r="BA159" s="222">
        <f t="shared" ca="1" si="36"/>
        <v>58489</v>
      </c>
      <c r="BB159" s="222">
        <f t="shared" ca="1" si="37"/>
        <v>58489</v>
      </c>
      <c r="BC159" s="222">
        <f t="shared" ca="1" si="38"/>
        <v>1429.6708841029067</v>
      </c>
      <c r="BD159" s="17"/>
    </row>
    <row r="160" spans="5:56" x14ac:dyDescent="0.45">
      <c r="E160" s="214"/>
      <c r="F160" s="17"/>
      <c r="G160" s="17"/>
      <c r="H160" s="214"/>
      <c r="S160" s="38"/>
      <c r="T160" s="39"/>
      <c r="U160" s="39"/>
      <c r="V160" s="39"/>
      <c r="W160" s="39"/>
      <c r="X160" s="39"/>
      <c r="Y160" s="39"/>
      <c r="Z160" s="38"/>
      <c r="AA160" s="38"/>
      <c r="AB160" s="38"/>
      <c r="AC160" s="38"/>
      <c r="AI160" s="17"/>
      <c r="AJ160" s="17"/>
      <c r="AK160" s="17"/>
      <c r="AL160" s="17"/>
      <c r="AM160" s="17"/>
      <c r="AN160" s="17"/>
      <c r="AO160" s="17"/>
      <c r="AP160" s="17"/>
      <c r="AW160" s="222">
        <v>155</v>
      </c>
      <c r="AX160" s="222" t="e">
        <f t="shared" si="34"/>
        <v>#N/A</v>
      </c>
      <c r="AY160" s="23">
        <v>153</v>
      </c>
      <c r="AZ160" s="222">
        <f t="shared" si="35"/>
        <v>52</v>
      </c>
      <c r="BA160" s="222">
        <f t="shared" ca="1" si="36"/>
        <v>59633</v>
      </c>
      <c r="BB160" s="222">
        <f t="shared" ca="1" si="37"/>
        <v>58494</v>
      </c>
      <c r="BC160" s="222">
        <f t="shared" ca="1" si="38"/>
        <v>1574.6708841029067</v>
      </c>
      <c r="BD160" s="17"/>
    </row>
    <row r="161" spans="5:56" x14ac:dyDescent="0.45">
      <c r="E161" s="214"/>
      <c r="F161" s="17"/>
      <c r="G161" s="17"/>
      <c r="H161" s="214"/>
      <c r="S161" s="38"/>
      <c r="T161" s="39"/>
      <c r="U161" s="39"/>
      <c r="V161" s="39"/>
      <c r="W161" s="39"/>
      <c r="X161" s="39"/>
      <c r="Y161" s="39"/>
      <c r="Z161" s="38"/>
      <c r="AA161" s="38"/>
      <c r="AB161" s="38"/>
      <c r="AC161" s="38"/>
      <c r="AI161" s="17"/>
      <c r="AJ161" s="17"/>
      <c r="AK161" s="17"/>
      <c r="AL161" s="17"/>
      <c r="AM161" s="17"/>
      <c r="AN161" s="17"/>
      <c r="AO161" s="17"/>
      <c r="AP161" s="17"/>
      <c r="AW161" s="222">
        <v>156</v>
      </c>
      <c r="AX161" s="222" t="e">
        <f t="shared" si="34"/>
        <v>#N/A</v>
      </c>
      <c r="AY161" s="23">
        <v>154</v>
      </c>
      <c r="AZ161" s="222">
        <f t="shared" si="35"/>
        <v>52</v>
      </c>
      <c r="BA161" s="222">
        <f t="shared" ca="1" si="36"/>
        <v>59633</v>
      </c>
      <c r="BB161" s="222">
        <f t="shared" ca="1" si="37"/>
        <v>59628</v>
      </c>
      <c r="BC161" s="222">
        <f t="shared" ca="1" si="38"/>
        <v>1574.6708841029067</v>
      </c>
      <c r="BD161" s="17"/>
    </row>
    <row r="162" spans="5:56" x14ac:dyDescent="0.45">
      <c r="E162" s="214"/>
      <c r="F162" s="17"/>
      <c r="G162" s="17"/>
      <c r="H162" s="214"/>
      <c r="S162" s="38"/>
      <c r="T162" s="39"/>
      <c r="U162" s="39"/>
      <c r="V162" s="39"/>
      <c r="W162" s="39"/>
      <c r="X162" s="39"/>
      <c r="Y162" s="39"/>
      <c r="Z162" s="38"/>
      <c r="AA162" s="38"/>
      <c r="AB162" s="38"/>
      <c r="AC162" s="38"/>
      <c r="AI162" s="17"/>
      <c r="AJ162" s="17"/>
      <c r="AK162" s="17"/>
      <c r="AL162" s="17"/>
      <c r="AM162" s="17"/>
      <c r="AN162" s="17"/>
      <c r="AO162" s="17"/>
      <c r="AP162" s="17"/>
      <c r="AW162" s="222">
        <v>157</v>
      </c>
      <c r="AX162" s="222" t="e">
        <f t="shared" si="34"/>
        <v>#N/A</v>
      </c>
      <c r="AY162" s="23">
        <v>155</v>
      </c>
      <c r="AZ162" s="222">
        <f t="shared" si="35"/>
        <v>52</v>
      </c>
      <c r="BA162" s="222">
        <f t="shared" ca="1" si="36"/>
        <v>59633</v>
      </c>
      <c r="BB162" s="222">
        <f t="shared" ca="1" si="37"/>
        <v>59633</v>
      </c>
      <c r="BC162" s="222">
        <f t="shared" ca="1" si="38"/>
        <v>1429.6708841029067</v>
      </c>
      <c r="BD162" s="17"/>
    </row>
    <row r="163" spans="5:56" x14ac:dyDescent="0.45">
      <c r="E163" s="214"/>
      <c r="F163" s="17"/>
      <c r="G163" s="17"/>
      <c r="H163" s="214"/>
      <c r="S163" s="38"/>
      <c r="T163" s="39"/>
      <c r="U163" s="39"/>
      <c r="V163" s="39"/>
      <c r="W163" s="39"/>
      <c r="X163" s="39"/>
      <c r="Y163" s="39"/>
      <c r="Z163" s="38"/>
      <c r="AA163" s="38"/>
      <c r="AB163" s="38"/>
      <c r="AC163" s="38"/>
      <c r="AI163" s="17"/>
      <c r="AJ163" s="17"/>
      <c r="AK163" s="17"/>
      <c r="AL163" s="17"/>
      <c r="AM163" s="17"/>
      <c r="AN163" s="17"/>
      <c r="AO163" s="17"/>
      <c r="AP163" s="17"/>
      <c r="AW163" s="222">
        <v>158</v>
      </c>
      <c r="AX163" s="222" t="e">
        <f t="shared" si="34"/>
        <v>#N/A</v>
      </c>
      <c r="AY163" s="23">
        <v>156</v>
      </c>
      <c r="AZ163" s="222">
        <f t="shared" si="35"/>
        <v>53</v>
      </c>
      <c r="BA163" s="222">
        <f t="shared" ca="1" si="36"/>
        <v>60777</v>
      </c>
      <c r="BB163" s="222">
        <f t="shared" ca="1" si="37"/>
        <v>59638</v>
      </c>
      <c r="BC163" s="222">
        <f t="shared" ca="1" si="38"/>
        <v>1574.6708841029067</v>
      </c>
      <c r="BD163" s="17"/>
    </row>
    <row r="164" spans="5:56" x14ac:dyDescent="0.45">
      <c r="E164" s="214"/>
      <c r="F164" s="17"/>
      <c r="G164" s="17"/>
      <c r="H164" s="214"/>
      <c r="S164" s="38"/>
      <c r="T164" s="39"/>
      <c r="U164" s="39"/>
      <c r="V164" s="39"/>
      <c r="W164" s="39"/>
      <c r="X164" s="39"/>
      <c r="Y164" s="39"/>
      <c r="Z164" s="38"/>
      <c r="AA164" s="38"/>
      <c r="AB164" s="38"/>
      <c r="AC164" s="38"/>
      <c r="AI164" s="17"/>
      <c r="AJ164" s="17"/>
      <c r="AK164" s="17"/>
      <c r="AL164" s="17"/>
      <c r="AM164" s="17"/>
      <c r="AN164" s="17"/>
      <c r="AO164" s="17"/>
      <c r="AP164" s="17"/>
      <c r="AW164" s="222">
        <v>159</v>
      </c>
      <c r="AX164" s="222" t="e">
        <f t="shared" si="34"/>
        <v>#N/A</v>
      </c>
      <c r="AY164" s="23">
        <v>157</v>
      </c>
      <c r="AZ164" s="222">
        <f t="shared" si="35"/>
        <v>53</v>
      </c>
      <c r="BA164" s="222">
        <f t="shared" ca="1" si="36"/>
        <v>60777</v>
      </c>
      <c r="BB164" s="222">
        <f t="shared" ca="1" si="37"/>
        <v>60772</v>
      </c>
      <c r="BC164" s="222">
        <f t="shared" ca="1" si="38"/>
        <v>1574.6708841029067</v>
      </c>
      <c r="BD164" s="17"/>
    </row>
    <row r="165" spans="5:56" x14ac:dyDescent="0.45">
      <c r="E165" s="214"/>
      <c r="F165" s="17"/>
      <c r="G165" s="17"/>
      <c r="H165" s="214"/>
      <c r="S165" s="38"/>
      <c r="T165" s="39"/>
      <c r="U165" s="39"/>
      <c r="V165" s="39"/>
      <c r="W165" s="39"/>
      <c r="X165" s="39"/>
      <c r="Y165" s="39"/>
      <c r="Z165" s="38"/>
      <c r="AA165" s="38"/>
      <c r="AB165" s="38"/>
      <c r="AC165" s="38"/>
      <c r="AI165" s="17"/>
      <c r="AJ165" s="17"/>
      <c r="AK165" s="17"/>
      <c r="AL165" s="17"/>
      <c r="AM165" s="17"/>
      <c r="AN165" s="17"/>
      <c r="AO165" s="17"/>
      <c r="AP165" s="17"/>
      <c r="AW165" s="222">
        <v>160</v>
      </c>
      <c r="AX165" s="222" t="e">
        <f t="shared" si="34"/>
        <v>#N/A</v>
      </c>
      <c r="AY165" s="23">
        <v>158</v>
      </c>
      <c r="AZ165" s="222">
        <f t="shared" si="35"/>
        <v>53</v>
      </c>
      <c r="BA165" s="222">
        <f t="shared" ca="1" si="36"/>
        <v>60777</v>
      </c>
      <c r="BB165" s="222">
        <f t="shared" ca="1" si="37"/>
        <v>60777</v>
      </c>
      <c r="BC165" s="222">
        <f t="shared" ca="1" si="38"/>
        <v>1429.6708841029067</v>
      </c>
      <c r="BD165" s="17"/>
    </row>
    <row r="166" spans="5:56" x14ac:dyDescent="0.45">
      <c r="E166" s="214"/>
      <c r="F166" s="17"/>
      <c r="G166" s="17"/>
      <c r="H166" s="214"/>
      <c r="S166" s="38"/>
      <c r="T166" s="39"/>
      <c r="U166" s="39"/>
      <c r="V166" s="39"/>
      <c r="W166" s="39"/>
      <c r="X166" s="39"/>
      <c r="Y166" s="39"/>
      <c r="Z166" s="38"/>
      <c r="AA166" s="38"/>
      <c r="AB166" s="38"/>
      <c r="AC166" s="38"/>
      <c r="AI166" s="17"/>
      <c r="AJ166" s="17"/>
      <c r="AK166" s="17"/>
      <c r="AL166" s="17"/>
      <c r="AM166" s="17"/>
      <c r="AN166" s="17"/>
      <c r="AO166" s="17"/>
      <c r="AP166" s="17"/>
      <c r="AW166" s="222">
        <v>161</v>
      </c>
      <c r="AX166" s="222" t="e">
        <f t="shared" si="34"/>
        <v>#N/A</v>
      </c>
      <c r="AY166" s="23">
        <v>159</v>
      </c>
      <c r="AZ166" s="222">
        <f t="shared" si="35"/>
        <v>54</v>
      </c>
      <c r="BA166" s="222">
        <f t="shared" ca="1" si="36"/>
        <v>61921</v>
      </c>
      <c r="BB166" s="222">
        <f t="shared" ca="1" si="37"/>
        <v>60782</v>
      </c>
      <c r="BC166" s="222">
        <f t="shared" ca="1" si="38"/>
        <v>1574.6708841029067</v>
      </c>
      <c r="BD166" s="17"/>
    </row>
    <row r="167" spans="5:56" x14ac:dyDescent="0.45">
      <c r="E167" s="214"/>
      <c r="F167" s="17"/>
      <c r="G167" s="17"/>
      <c r="H167" s="214"/>
      <c r="S167" s="38"/>
      <c r="T167" s="39"/>
      <c r="U167" s="39"/>
      <c r="V167" s="39"/>
      <c r="W167" s="39"/>
      <c r="X167" s="39"/>
      <c r="Y167" s="39"/>
      <c r="Z167" s="38"/>
      <c r="AA167" s="38"/>
      <c r="AB167" s="38"/>
      <c r="AC167" s="38"/>
      <c r="AI167" s="17"/>
      <c r="AJ167" s="17"/>
      <c r="AK167" s="17"/>
      <c r="AL167" s="17"/>
      <c r="AM167" s="17"/>
      <c r="AN167" s="17"/>
      <c r="AO167" s="17"/>
      <c r="AP167" s="17"/>
      <c r="AW167" s="222">
        <v>162</v>
      </c>
      <c r="AX167" s="222" t="e">
        <f t="shared" si="34"/>
        <v>#N/A</v>
      </c>
      <c r="AY167" s="23">
        <v>160</v>
      </c>
      <c r="AZ167" s="222">
        <f t="shared" si="35"/>
        <v>54</v>
      </c>
      <c r="BA167" s="222">
        <f t="shared" ca="1" si="36"/>
        <v>61921</v>
      </c>
      <c r="BB167" s="222">
        <f t="shared" ca="1" si="37"/>
        <v>61916</v>
      </c>
      <c r="BC167" s="222">
        <f t="shared" ca="1" si="38"/>
        <v>1574.6708841029067</v>
      </c>
      <c r="BD167" s="17"/>
    </row>
    <row r="168" spans="5:56" x14ac:dyDescent="0.45">
      <c r="E168" s="214"/>
      <c r="F168" s="17"/>
      <c r="G168" s="17"/>
      <c r="H168" s="214"/>
      <c r="S168" s="38"/>
      <c r="T168" s="39"/>
      <c r="U168" s="39"/>
      <c r="V168" s="39"/>
      <c r="W168" s="39"/>
      <c r="X168" s="39"/>
      <c r="Y168" s="39"/>
      <c r="Z168" s="38"/>
      <c r="AA168" s="38"/>
      <c r="AB168" s="38"/>
      <c r="AC168" s="38"/>
      <c r="AI168" s="17"/>
      <c r="AJ168" s="17"/>
      <c r="AK168" s="17"/>
      <c r="AL168" s="17"/>
      <c r="AM168" s="17"/>
      <c r="AN168" s="17"/>
      <c r="AO168" s="17"/>
      <c r="AP168" s="17"/>
      <c r="AW168" s="222">
        <v>163</v>
      </c>
      <c r="AX168" s="222" t="e">
        <f t="shared" si="34"/>
        <v>#N/A</v>
      </c>
      <c r="AY168" s="23">
        <v>161</v>
      </c>
      <c r="AZ168" s="222">
        <f t="shared" si="35"/>
        <v>54</v>
      </c>
      <c r="BA168" s="222">
        <f t="shared" ca="1" si="36"/>
        <v>61921</v>
      </c>
      <c r="BB168" s="222">
        <f t="shared" ca="1" si="37"/>
        <v>61921</v>
      </c>
      <c r="BC168" s="222">
        <f t="shared" ca="1" si="38"/>
        <v>1429.6708841029067</v>
      </c>
      <c r="BD168" s="17"/>
    </row>
    <row r="169" spans="5:56" x14ac:dyDescent="0.45">
      <c r="E169" s="214"/>
      <c r="F169" s="17"/>
      <c r="G169" s="17"/>
      <c r="H169" s="214"/>
      <c r="S169" s="38"/>
      <c r="T169" s="39"/>
      <c r="U169" s="39"/>
      <c r="V169" s="39"/>
      <c r="W169" s="39"/>
      <c r="X169" s="39"/>
      <c r="Y169" s="39"/>
      <c r="Z169" s="38"/>
      <c r="AA169" s="38"/>
      <c r="AB169" s="38"/>
      <c r="AC169" s="38"/>
      <c r="AI169" s="17"/>
      <c r="AJ169" s="17"/>
      <c r="AK169" s="17"/>
      <c r="AL169" s="17"/>
      <c r="AM169" s="17"/>
      <c r="AN169" s="17"/>
      <c r="AO169" s="17"/>
      <c r="AP169" s="17"/>
      <c r="AW169" s="222">
        <v>164</v>
      </c>
      <c r="AX169" s="222" t="e">
        <f t="shared" si="34"/>
        <v>#N/A</v>
      </c>
      <c r="AY169" s="23">
        <v>162</v>
      </c>
      <c r="AZ169" s="222">
        <f t="shared" si="35"/>
        <v>55</v>
      </c>
      <c r="BA169" s="222">
        <f t="shared" ca="1" si="36"/>
        <v>63065</v>
      </c>
      <c r="BB169" s="222">
        <f t="shared" ca="1" si="37"/>
        <v>61926</v>
      </c>
      <c r="BC169" s="222">
        <f t="shared" ca="1" si="38"/>
        <v>1574.6708841029067</v>
      </c>
      <c r="BD169" s="17"/>
    </row>
    <row r="170" spans="5:56" x14ac:dyDescent="0.45">
      <c r="E170" s="214"/>
      <c r="F170" s="17"/>
      <c r="G170" s="17"/>
      <c r="H170" s="214"/>
      <c r="S170" s="38"/>
      <c r="T170" s="39"/>
      <c r="U170" s="39"/>
      <c r="V170" s="39"/>
      <c r="W170" s="39"/>
      <c r="X170" s="39"/>
      <c r="Y170" s="39"/>
      <c r="Z170" s="38"/>
      <c r="AA170" s="38"/>
      <c r="AB170" s="38"/>
      <c r="AC170" s="38"/>
      <c r="AI170" s="17"/>
      <c r="AJ170" s="17"/>
      <c r="AK170" s="17"/>
      <c r="AL170" s="17"/>
      <c r="AM170" s="17"/>
      <c r="AN170" s="17"/>
      <c r="AO170" s="17"/>
      <c r="AP170" s="17"/>
      <c r="AW170" s="222">
        <v>165</v>
      </c>
      <c r="AX170" s="222" t="e">
        <f t="shared" si="34"/>
        <v>#N/A</v>
      </c>
      <c r="AY170" s="23">
        <v>163</v>
      </c>
      <c r="AZ170" s="222">
        <f t="shared" si="35"/>
        <v>55</v>
      </c>
      <c r="BA170" s="222">
        <f t="shared" ca="1" si="36"/>
        <v>63065</v>
      </c>
      <c r="BB170" s="222">
        <f t="shared" ca="1" si="37"/>
        <v>63060</v>
      </c>
      <c r="BC170" s="222">
        <f t="shared" ca="1" si="38"/>
        <v>1574.6708841029067</v>
      </c>
      <c r="BD170" s="17"/>
    </row>
    <row r="171" spans="5:56" x14ac:dyDescent="0.45">
      <c r="E171" s="214"/>
      <c r="F171" s="17"/>
      <c r="G171" s="17"/>
      <c r="H171" s="214"/>
      <c r="S171" s="38"/>
      <c r="T171" s="39"/>
      <c r="U171" s="39"/>
      <c r="V171" s="39"/>
      <c r="W171" s="39"/>
      <c r="X171" s="39"/>
      <c r="Y171" s="39"/>
      <c r="Z171" s="38"/>
      <c r="AA171" s="38"/>
      <c r="AB171" s="38"/>
      <c r="AC171" s="38"/>
      <c r="AI171" s="17"/>
      <c r="AJ171" s="17"/>
      <c r="AK171" s="17"/>
      <c r="AL171" s="17"/>
      <c r="AM171" s="17"/>
      <c r="AN171" s="17"/>
      <c r="AO171" s="17"/>
      <c r="AP171" s="17"/>
      <c r="AW171" s="222">
        <v>166</v>
      </c>
      <c r="AX171" s="222" t="e">
        <f t="shared" si="34"/>
        <v>#N/A</v>
      </c>
      <c r="AY171" s="23">
        <v>164</v>
      </c>
      <c r="AZ171" s="222">
        <f t="shared" si="35"/>
        <v>55</v>
      </c>
      <c r="BA171" s="222">
        <f t="shared" ca="1" si="36"/>
        <v>63065</v>
      </c>
      <c r="BB171" s="222">
        <f t="shared" ca="1" si="37"/>
        <v>63065</v>
      </c>
      <c r="BC171" s="222">
        <f t="shared" ca="1" si="38"/>
        <v>1429.6708841029067</v>
      </c>
      <c r="BD171" s="17"/>
    </row>
    <row r="172" spans="5:56" x14ac:dyDescent="0.45">
      <c r="E172" s="214"/>
      <c r="F172" s="17"/>
      <c r="G172" s="17"/>
      <c r="H172" s="214"/>
      <c r="S172" s="38"/>
      <c r="T172" s="39"/>
      <c r="U172" s="39"/>
      <c r="V172" s="39"/>
      <c r="W172" s="39"/>
      <c r="X172" s="39"/>
      <c r="Y172" s="39"/>
      <c r="Z172" s="38"/>
      <c r="AA172" s="38"/>
      <c r="AB172" s="38"/>
      <c r="AC172" s="38"/>
      <c r="AI172" s="17"/>
      <c r="AJ172" s="17"/>
      <c r="AK172" s="17"/>
      <c r="AL172" s="17"/>
      <c r="AM172" s="17"/>
      <c r="AN172" s="17"/>
      <c r="AO172" s="17"/>
      <c r="AP172" s="17"/>
      <c r="AW172" s="222">
        <v>167</v>
      </c>
      <c r="AX172" s="222" t="e">
        <f t="shared" si="34"/>
        <v>#N/A</v>
      </c>
      <c r="AY172" s="23">
        <v>165</v>
      </c>
      <c r="AZ172" s="222">
        <f t="shared" si="35"/>
        <v>56</v>
      </c>
      <c r="BA172" s="222">
        <f t="shared" ca="1" si="36"/>
        <v>64209</v>
      </c>
      <c r="BB172" s="222">
        <f t="shared" ca="1" si="37"/>
        <v>63070</v>
      </c>
      <c r="BC172" s="222">
        <f t="shared" ca="1" si="38"/>
        <v>1574.6708841029067</v>
      </c>
      <c r="BD172" s="17"/>
    </row>
    <row r="173" spans="5:56" x14ac:dyDescent="0.45">
      <c r="E173" s="214"/>
      <c r="F173" s="17"/>
      <c r="G173" s="17"/>
      <c r="H173" s="214"/>
      <c r="S173" s="38"/>
      <c r="T173" s="39"/>
      <c r="U173" s="39"/>
      <c r="V173" s="39"/>
      <c r="W173" s="39"/>
      <c r="X173" s="39"/>
      <c r="Y173" s="39"/>
      <c r="Z173" s="38"/>
      <c r="AA173" s="38"/>
      <c r="AB173" s="38"/>
      <c r="AC173" s="38"/>
      <c r="AI173" s="17"/>
      <c r="AJ173" s="17"/>
      <c r="AK173" s="17"/>
      <c r="AL173" s="17"/>
      <c r="AM173" s="17"/>
      <c r="AN173" s="17"/>
      <c r="AO173" s="17"/>
      <c r="AP173" s="17"/>
      <c r="AW173" s="222">
        <v>168</v>
      </c>
      <c r="AX173" s="222" t="e">
        <f t="shared" si="34"/>
        <v>#N/A</v>
      </c>
      <c r="AY173" s="23">
        <v>166</v>
      </c>
      <c r="AZ173" s="222">
        <f t="shared" si="35"/>
        <v>56</v>
      </c>
      <c r="BA173" s="222">
        <f t="shared" ca="1" si="36"/>
        <v>64209</v>
      </c>
      <c r="BB173" s="222">
        <f t="shared" ca="1" si="37"/>
        <v>64204</v>
      </c>
      <c r="BC173" s="222">
        <f t="shared" ca="1" si="38"/>
        <v>1574.6708841029067</v>
      </c>
      <c r="BD173" s="17"/>
    </row>
    <row r="174" spans="5:56" x14ac:dyDescent="0.45">
      <c r="E174" s="214"/>
      <c r="F174" s="17"/>
      <c r="G174" s="17"/>
      <c r="H174" s="214"/>
      <c r="S174" s="38"/>
      <c r="T174" s="39"/>
      <c r="U174" s="39"/>
      <c r="V174" s="39"/>
      <c r="W174" s="39"/>
      <c r="X174" s="39"/>
      <c r="Y174" s="39"/>
      <c r="Z174" s="38"/>
      <c r="AA174" s="38"/>
      <c r="AB174" s="38"/>
      <c r="AC174" s="38"/>
      <c r="AI174" s="17"/>
      <c r="AJ174" s="17"/>
      <c r="AK174" s="17"/>
      <c r="AL174" s="17"/>
      <c r="AM174" s="17"/>
      <c r="AN174" s="17"/>
      <c r="AO174" s="17"/>
      <c r="AP174" s="17"/>
      <c r="AW174" s="222">
        <v>169</v>
      </c>
      <c r="AX174" s="222" t="e">
        <f t="shared" si="34"/>
        <v>#N/A</v>
      </c>
      <c r="AY174" s="23">
        <v>167</v>
      </c>
      <c r="AZ174" s="222">
        <f t="shared" si="35"/>
        <v>56</v>
      </c>
      <c r="BA174" s="222">
        <f t="shared" ca="1" si="36"/>
        <v>64209</v>
      </c>
      <c r="BB174" s="222">
        <f t="shared" ca="1" si="37"/>
        <v>64209</v>
      </c>
      <c r="BC174" s="222">
        <f t="shared" ca="1" si="38"/>
        <v>1429.6708841029067</v>
      </c>
      <c r="BD174" s="17"/>
    </row>
    <row r="175" spans="5:56" x14ac:dyDescent="0.45">
      <c r="E175" s="214"/>
      <c r="F175" s="17"/>
      <c r="G175" s="17"/>
      <c r="H175" s="214"/>
      <c r="S175" s="38"/>
      <c r="T175" s="39"/>
      <c r="U175" s="39"/>
      <c r="V175" s="39"/>
      <c r="W175" s="39"/>
      <c r="X175" s="39"/>
      <c r="Y175" s="39"/>
      <c r="Z175" s="38"/>
      <c r="AA175" s="38"/>
      <c r="AB175" s="38"/>
      <c r="AC175" s="38"/>
      <c r="AI175" s="17"/>
      <c r="AJ175" s="17"/>
      <c r="AK175" s="17"/>
      <c r="AL175" s="17"/>
      <c r="AM175" s="17"/>
      <c r="AN175" s="17"/>
      <c r="AO175" s="17"/>
      <c r="AP175" s="17"/>
      <c r="AW175" s="222">
        <v>170</v>
      </c>
      <c r="AX175" s="222" t="e">
        <f t="shared" si="34"/>
        <v>#N/A</v>
      </c>
      <c r="AY175" s="23">
        <v>168</v>
      </c>
      <c r="AZ175" s="222">
        <f t="shared" si="35"/>
        <v>57</v>
      </c>
      <c r="BA175" s="222">
        <f t="shared" ca="1" si="36"/>
        <v>65353</v>
      </c>
      <c r="BB175" s="222">
        <f t="shared" ca="1" si="37"/>
        <v>64214</v>
      </c>
      <c r="BC175" s="222">
        <f t="shared" ca="1" si="38"/>
        <v>1574.6708841029067</v>
      </c>
      <c r="BD175" s="17"/>
    </row>
    <row r="176" spans="5:56" x14ac:dyDescent="0.45">
      <c r="E176" s="214"/>
      <c r="F176" s="17"/>
      <c r="G176" s="17"/>
      <c r="H176" s="214"/>
      <c r="S176" s="38"/>
      <c r="T176" s="39"/>
      <c r="U176" s="39"/>
      <c r="V176" s="39"/>
      <c r="W176" s="39"/>
      <c r="X176" s="39"/>
      <c r="Y176" s="39"/>
      <c r="Z176" s="38"/>
      <c r="AA176" s="38"/>
      <c r="AB176" s="38"/>
      <c r="AC176" s="38"/>
      <c r="AI176" s="17"/>
      <c r="AJ176" s="17"/>
      <c r="AK176" s="17"/>
      <c r="AL176" s="17"/>
      <c r="AM176" s="17"/>
      <c r="AN176" s="17"/>
      <c r="AO176" s="17"/>
      <c r="AP176" s="17"/>
      <c r="AW176" s="222">
        <v>171</v>
      </c>
      <c r="AX176" s="222" t="e">
        <f t="shared" si="34"/>
        <v>#N/A</v>
      </c>
      <c r="AY176" s="23">
        <v>169</v>
      </c>
      <c r="AZ176" s="222">
        <f t="shared" si="35"/>
        <v>57</v>
      </c>
      <c r="BA176" s="222">
        <f t="shared" ca="1" si="36"/>
        <v>65353</v>
      </c>
      <c r="BB176" s="222">
        <f t="shared" ca="1" si="37"/>
        <v>65348</v>
      </c>
      <c r="BC176" s="222">
        <f t="shared" ca="1" si="38"/>
        <v>1574.6708841029067</v>
      </c>
      <c r="BD176" s="17"/>
    </row>
    <row r="177" spans="5:56" x14ac:dyDescent="0.45">
      <c r="E177" s="214"/>
      <c r="F177" s="17"/>
      <c r="G177" s="17"/>
      <c r="H177" s="214"/>
      <c r="S177" s="38"/>
      <c r="T177" s="39"/>
      <c r="U177" s="39"/>
      <c r="V177" s="39"/>
      <c r="W177" s="39"/>
      <c r="X177" s="39"/>
      <c r="Y177" s="39"/>
      <c r="Z177" s="38"/>
      <c r="AA177" s="38"/>
      <c r="AB177" s="38"/>
      <c r="AC177" s="38"/>
      <c r="AI177" s="17"/>
      <c r="AJ177" s="17"/>
      <c r="AK177" s="17"/>
      <c r="AL177" s="17"/>
      <c r="AM177" s="17"/>
      <c r="AN177" s="17"/>
      <c r="AO177" s="17"/>
      <c r="AP177" s="17"/>
      <c r="AW177" s="222">
        <v>172</v>
      </c>
      <c r="AX177" s="222" t="e">
        <f t="shared" si="34"/>
        <v>#N/A</v>
      </c>
      <c r="AY177" s="23">
        <v>170</v>
      </c>
      <c r="AZ177" s="222">
        <f t="shared" si="35"/>
        <v>57</v>
      </c>
      <c r="BA177" s="222">
        <f t="shared" ca="1" si="36"/>
        <v>65353</v>
      </c>
      <c r="BB177" s="222">
        <f t="shared" ca="1" si="37"/>
        <v>65353</v>
      </c>
      <c r="BC177" s="222">
        <f t="shared" ca="1" si="38"/>
        <v>1429.6708841029067</v>
      </c>
      <c r="BD177" s="17"/>
    </row>
    <row r="178" spans="5:56" x14ac:dyDescent="0.45">
      <c r="E178" s="214"/>
      <c r="F178" s="17"/>
      <c r="G178" s="17"/>
      <c r="H178" s="214"/>
      <c r="S178" s="38"/>
      <c r="T178" s="39"/>
      <c r="U178" s="39"/>
      <c r="V178" s="39"/>
      <c r="W178" s="39"/>
      <c r="X178" s="39"/>
      <c r="Y178" s="39"/>
      <c r="Z178" s="38"/>
      <c r="AA178" s="38"/>
      <c r="AB178" s="38"/>
      <c r="AC178" s="38"/>
      <c r="AI178" s="17"/>
      <c r="AJ178" s="17"/>
      <c r="AK178" s="17"/>
      <c r="AL178" s="17"/>
      <c r="AM178" s="17"/>
      <c r="AN178" s="17"/>
      <c r="AO178" s="17"/>
      <c r="AP178" s="17"/>
      <c r="AW178" s="222">
        <v>173</v>
      </c>
      <c r="AX178" s="222" t="e">
        <f t="shared" si="34"/>
        <v>#N/A</v>
      </c>
      <c r="AY178" s="23">
        <v>171</v>
      </c>
      <c r="AZ178" s="222">
        <f t="shared" si="35"/>
        <v>58</v>
      </c>
      <c r="BA178" s="222">
        <f t="shared" ca="1" si="36"/>
        <v>66497</v>
      </c>
      <c r="BB178" s="222">
        <f t="shared" ca="1" si="37"/>
        <v>65358</v>
      </c>
      <c r="BC178" s="222">
        <f t="shared" ca="1" si="38"/>
        <v>1574.6708841029067</v>
      </c>
      <c r="BD178" s="17"/>
    </row>
    <row r="179" spans="5:56" x14ac:dyDescent="0.45">
      <c r="E179" s="214"/>
      <c r="F179" s="17"/>
      <c r="G179" s="17"/>
      <c r="H179" s="214"/>
      <c r="S179" s="38"/>
      <c r="T179" s="39"/>
      <c r="U179" s="39"/>
      <c r="V179" s="39"/>
      <c r="W179" s="39"/>
      <c r="X179" s="39"/>
      <c r="Y179" s="39"/>
      <c r="Z179" s="38"/>
      <c r="AA179" s="38"/>
      <c r="AB179" s="38"/>
      <c r="AC179" s="38"/>
      <c r="AI179" s="17"/>
      <c r="AJ179" s="17"/>
      <c r="AK179" s="17"/>
      <c r="AL179" s="17"/>
      <c r="AM179" s="17"/>
      <c r="AN179" s="17"/>
      <c r="AO179" s="17"/>
      <c r="AP179" s="17"/>
      <c r="AW179" s="222">
        <v>174</v>
      </c>
      <c r="AX179" s="222" t="e">
        <f t="shared" si="34"/>
        <v>#N/A</v>
      </c>
      <c r="AY179" s="23">
        <v>172</v>
      </c>
      <c r="AZ179" s="222">
        <f t="shared" si="35"/>
        <v>58</v>
      </c>
      <c r="BA179" s="222">
        <f t="shared" ca="1" si="36"/>
        <v>66497</v>
      </c>
      <c r="BB179" s="222">
        <f t="shared" ca="1" si="37"/>
        <v>66492</v>
      </c>
      <c r="BC179" s="222">
        <f t="shared" ca="1" si="38"/>
        <v>1574.6708841029067</v>
      </c>
      <c r="BD179" s="17"/>
    </row>
    <row r="180" spans="5:56" x14ac:dyDescent="0.45">
      <c r="E180" s="214"/>
      <c r="F180" s="17"/>
      <c r="G180" s="17"/>
      <c r="H180" s="214"/>
      <c r="S180" s="38"/>
      <c r="T180" s="39"/>
      <c r="U180" s="39"/>
      <c r="V180" s="39"/>
      <c r="W180" s="39"/>
      <c r="X180" s="39"/>
      <c r="Y180" s="39"/>
      <c r="Z180" s="38"/>
      <c r="AA180" s="38"/>
      <c r="AB180" s="38"/>
      <c r="AC180" s="38"/>
      <c r="AI180" s="17"/>
      <c r="AJ180" s="17"/>
      <c r="AK180" s="17"/>
      <c r="AL180" s="17"/>
      <c r="AM180" s="17"/>
      <c r="AN180" s="17"/>
      <c r="AO180" s="17"/>
      <c r="AP180" s="17"/>
      <c r="AW180" s="222">
        <v>175</v>
      </c>
      <c r="AX180" s="222" t="e">
        <f t="shared" si="34"/>
        <v>#N/A</v>
      </c>
      <c r="AY180" s="23">
        <v>173</v>
      </c>
      <c r="AZ180" s="222">
        <f t="shared" si="35"/>
        <v>58</v>
      </c>
      <c r="BA180" s="222">
        <f t="shared" ca="1" si="36"/>
        <v>66497</v>
      </c>
      <c r="BB180" s="222">
        <f t="shared" ca="1" si="37"/>
        <v>66497</v>
      </c>
      <c r="BC180" s="222">
        <f t="shared" ca="1" si="38"/>
        <v>1429.6708841029067</v>
      </c>
      <c r="BD180" s="17"/>
    </row>
    <row r="181" spans="5:56" x14ac:dyDescent="0.45">
      <c r="E181" s="214"/>
      <c r="F181" s="17"/>
      <c r="G181" s="17"/>
      <c r="H181" s="214"/>
      <c r="S181" s="38"/>
      <c r="T181" s="39"/>
      <c r="U181" s="39"/>
      <c r="V181" s="39"/>
      <c r="W181" s="39"/>
      <c r="X181" s="39"/>
      <c r="Y181" s="39"/>
      <c r="Z181" s="38"/>
      <c r="AA181" s="38"/>
      <c r="AB181" s="38"/>
      <c r="AC181" s="38"/>
      <c r="AI181" s="17"/>
      <c r="AJ181" s="17"/>
      <c r="AK181" s="17"/>
      <c r="AL181" s="17"/>
      <c r="AM181" s="17"/>
      <c r="AN181" s="17"/>
      <c r="AO181" s="17"/>
      <c r="AP181" s="17"/>
      <c r="AW181" s="222">
        <v>176</v>
      </c>
      <c r="AX181" s="222" t="e">
        <f t="shared" si="34"/>
        <v>#N/A</v>
      </c>
      <c r="AY181" s="23">
        <v>174</v>
      </c>
      <c r="AZ181" s="222">
        <f t="shared" si="35"/>
        <v>59</v>
      </c>
      <c r="BA181" s="222">
        <f t="shared" ca="1" si="36"/>
        <v>67641</v>
      </c>
      <c r="BB181" s="222">
        <f t="shared" ca="1" si="37"/>
        <v>66502</v>
      </c>
      <c r="BC181" s="222">
        <f t="shared" ca="1" si="38"/>
        <v>1574.6708841029067</v>
      </c>
      <c r="BD181" s="17"/>
    </row>
    <row r="182" spans="5:56" x14ac:dyDescent="0.45">
      <c r="E182" s="214"/>
      <c r="F182" s="17"/>
      <c r="G182" s="17"/>
      <c r="H182" s="214"/>
      <c r="S182" s="38"/>
      <c r="T182" s="39"/>
      <c r="U182" s="39"/>
      <c r="V182" s="39"/>
      <c r="W182" s="39"/>
      <c r="X182" s="39"/>
      <c r="Y182" s="39"/>
      <c r="Z182" s="38"/>
      <c r="AA182" s="38"/>
      <c r="AB182" s="38"/>
      <c r="AC182" s="38"/>
      <c r="AI182" s="17"/>
      <c r="AJ182" s="17"/>
      <c r="AK182" s="17"/>
      <c r="AL182" s="17"/>
      <c r="AM182" s="17"/>
      <c r="AN182" s="17"/>
      <c r="AO182" s="17"/>
      <c r="AP182" s="17"/>
      <c r="AW182" s="222">
        <v>177</v>
      </c>
      <c r="AX182" s="222" t="e">
        <f t="shared" si="34"/>
        <v>#N/A</v>
      </c>
      <c r="AY182" s="23">
        <v>175</v>
      </c>
      <c r="AZ182" s="222">
        <f t="shared" si="35"/>
        <v>59</v>
      </c>
      <c r="BA182" s="222">
        <f t="shared" ca="1" si="36"/>
        <v>67641</v>
      </c>
      <c r="BB182" s="222">
        <f t="shared" ca="1" si="37"/>
        <v>67636</v>
      </c>
      <c r="BC182" s="222">
        <f t="shared" ca="1" si="38"/>
        <v>1574.6708841029067</v>
      </c>
      <c r="BD182" s="17"/>
    </row>
    <row r="183" spans="5:56" x14ac:dyDescent="0.45">
      <c r="E183" s="214"/>
      <c r="F183" s="17"/>
      <c r="G183" s="17"/>
      <c r="H183" s="214"/>
      <c r="S183" s="38"/>
      <c r="T183" s="39"/>
      <c r="U183" s="39"/>
      <c r="V183" s="39"/>
      <c r="W183" s="39"/>
      <c r="X183" s="39"/>
      <c r="Y183" s="39"/>
      <c r="Z183" s="38"/>
      <c r="AA183" s="38"/>
      <c r="AB183" s="38"/>
      <c r="AC183" s="38"/>
      <c r="AI183" s="17"/>
      <c r="AJ183" s="17"/>
      <c r="AK183" s="17"/>
      <c r="AL183" s="17"/>
      <c r="AM183" s="17"/>
      <c r="AN183" s="17"/>
      <c r="AO183" s="17"/>
      <c r="AP183" s="17"/>
      <c r="AW183" s="222">
        <v>178</v>
      </c>
      <c r="AX183" s="222" t="e">
        <f t="shared" si="34"/>
        <v>#N/A</v>
      </c>
      <c r="AY183" s="23">
        <v>176</v>
      </c>
      <c r="AZ183" s="222">
        <f t="shared" si="35"/>
        <v>59</v>
      </c>
      <c r="BA183" s="222">
        <f t="shared" ca="1" si="36"/>
        <v>67641</v>
      </c>
      <c r="BB183" s="222">
        <f t="shared" ca="1" si="37"/>
        <v>67641</v>
      </c>
      <c r="BC183" s="222">
        <f t="shared" ca="1" si="38"/>
        <v>1429.6708841029067</v>
      </c>
      <c r="BD183" s="17"/>
    </row>
    <row r="184" spans="5:56" x14ac:dyDescent="0.45">
      <c r="E184" s="214"/>
      <c r="F184" s="17"/>
      <c r="G184" s="17"/>
      <c r="H184" s="214"/>
      <c r="S184" s="38"/>
      <c r="T184" s="39"/>
      <c r="U184" s="39"/>
      <c r="V184" s="39"/>
      <c r="W184" s="39"/>
      <c r="X184" s="39"/>
      <c r="Y184" s="39"/>
      <c r="Z184" s="38"/>
      <c r="AA184" s="38"/>
      <c r="AB184" s="38"/>
      <c r="AC184" s="38"/>
      <c r="AI184" s="17"/>
      <c r="AJ184" s="17"/>
      <c r="AK184" s="17"/>
      <c r="AL184" s="17"/>
      <c r="AM184" s="17"/>
      <c r="AN184" s="17"/>
      <c r="AO184" s="17"/>
      <c r="AP184" s="17"/>
      <c r="AW184" s="222">
        <v>179</v>
      </c>
      <c r="AX184" s="222" t="e">
        <f t="shared" si="34"/>
        <v>#N/A</v>
      </c>
      <c r="AY184" s="23">
        <v>177</v>
      </c>
      <c r="AZ184" s="222">
        <f t="shared" si="35"/>
        <v>60</v>
      </c>
      <c r="BA184" s="222">
        <f t="shared" ca="1" si="36"/>
        <v>68785</v>
      </c>
      <c r="BB184" s="222">
        <f t="shared" ca="1" si="37"/>
        <v>67646</v>
      </c>
      <c r="BC184" s="222">
        <f t="shared" ca="1" si="38"/>
        <v>1574.6708841029067</v>
      </c>
      <c r="BD184" s="17"/>
    </row>
    <row r="185" spans="5:56" x14ac:dyDescent="0.45">
      <c r="E185" s="214"/>
      <c r="F185" s="17"/>
      <c r="G185" s="17"/>
      <c r="H185" s="214"/>
      <c r="S185" s="38"/>
      <c r="T185" s="39"/>
      <c r="U185" s="39"/>
      <c r="V185" s="39"/>
      <c r="W185" s="39"/>
      <c r="X185" s="39"/>
      <c r="Y185" s="39"/>
      <c r="Z185" s="38"/>
      <c r="AA185" s="38"/>
      <c r="AB185" s="38"/>
      <c r="AC185" s="38"/>
      <c r="AI185" s="17"/>
      <c r="AJ185" s="17"/>
      <c r="AK185" s="17"/>
      <c r="AL185" s="17"/>
      <c r="AM185" s="17"/>
      <c r="AN185" s="17"/>
      <c r="AO185" s="17"/>
      <c r="AP185" s="17"/>
      <c r="AW185" s="222">
        <v>180</v>
      </c>
      <c r="AX185" s="222" t="e">
        <f t="shared" si="34"/>
        <v>#N/A</v>
      </c>
      <c r="AY185" s="23">
        <v>178</v>
      </c>
      <c r="AZ185" s="222">
        <f t="shared" si="35"/>
        <v>60</v>
      </c>
      <c r="BA185" s="222">
        <f t="shared" ca="1" si="36"/>
        <v>68785</v>
      </c>
      <c r="BB185" s="222">
        <f t="shared" ca="1" si="37"/>
        <v>68780</v>
      </c>
      <c r="BC185" s="222">
        <f t="shared" ca="1" si="38"/>
        <v>1574.6708841029067</v>
      </c>
      <c r="BD185" s="17"/>
    </row>
    <row r="186" spans="5:56" x14ac:dyDescent="0.45">
      <c r="E186" s="214"/>
      <c r="F186" s="17"/>
      <c r="G186" s="17"/>
      <c r="H186" s="214"/>
      <c r="S186" s="38"/>
      <c r="T186" s="39"/>
      <c r="U186" s="39"/>
      <c r="V186" s="39"/>
      <c r="W186" s="39"/>
      <c r="X186" s="39"/>
      <c r="Y186" s="39"/>
      <c r="Z186" s="38"/>
      <c r="AA186" s="38"/>
      <c r="AB186" s="38"/>
      <c r="AC186" s="38"/>
      <c r="AI186" s="17"/>
      <c r="AJ186" s="17"/>
      <c r="AK186" s="17"/>
      <c r="AL186" s="17"/>
      <c r="AM186" s="17"/>
      <c r="AN186" s="17"/>
      <c r="AO186" s="17"/>
      <c r="AP186" s="17"/>
      <c r="AW186" s="222">
        <v>181</v>
      </c>
      <c r="AX186" s="222" t="e">
        <f t="shared" si="34"/>
        <v>#N/A</v>
      </c>
      <c r="AY186" s="23">
        <v>179</v>
      </c>
      <c r="AZ186" s="222">
        <f t="shared" si="35"/>
        <v>60</v>
      </c>
      <c r="BA186" s="222">
        <f t="shared" ca="1" si="36"/>
        <v>68785</v>
      </c>
      <c r="BB186" s="222">
        <f t="shared" ca="1" si="37"/>
        <v>68785</v>
      </c>
      <c r="BC186" s="222">
        <f t="shared" ca="1" si="38"/>
        <v>1429.6708841029067</v>
      </c>
      <c r="BD186" s="17"/>
    </row>
    <row r="187" spans="5:56" x14ac:dyDescent="0.45">
      <c r="E187" s="214"/>
      <c r="F187" s="17"/>
      <c r="G187" s="17"/>
      <c r="H187" s="214"/>
      <c r="S187" s="38"/>
      <c r="T187" s="39"/>
      <c r="U187" s="39"/>
      <c r="V187" s="39"/>
      <c r="W187" s="39"/>
      <c r="X187" s="39"/>
      <c r="Y187" s="39"/>
      <c r="Z187" s="38"/>
      <c r="AA187" s="38"/>
      <c r="AB187" s="38"/>
      <c r="AC187" s="38"/>
      <c r="AI187" s="17"/>
      <c r="AJ187" s="17"/>
      <c r="AK187" s="17"/>
      <c r="AL187" s="17"/>
      <c r="AM187" s="17"/>
      <c r="AN187" s="17"/>
      <c r="AO187" s="17"/>
      <c r="AP187" s="17"/>
      <c r="AW187" s="222">
        <v>182</v>
      </c>
      <c r="AX187" s="222" t="e">
        <f t="shared" si="34"/>
        <v>#N/A</v>
      </c>
      <c r="AY187" s="23">
        <v>180</v>
      </c>
      <c r="AZ187" s="222">
        <f t="shared" si="35"/>
        <v>61</v>
      </c>
      <c r="BA187" s="222">
        <f t="shared" ca="1" si="36"/>
        <v>69929</v>
      </c>
      <c r="BB187" s="222">
        <f t="shared" ca="1" si="37"/>
        <v>68790</v>
      </c>
      <c r="BC187" s="222">
        <f t="shared" ca="1" si="38"/>
        <v>1574.6708841029067</v>
      </c>
      <c r="BD187" s="17"/>
    </row>
    <row r="188" spans="5:56" x14ac:dyDescent="0.45">
      <c r="E188" s="214"/>
      <c r="F188" s="17"/>
      <c r="G188" s="17"/>
      <c r="H188" s="214"/>
      <c r="S188" s="38"/>
      <c r="T188" s="39"/>
      <c r="U188" s="39"/>
      <c r="V188" s="39"/>
      <c r="W188" s="39"/>
      <c r="X188" s="39"/>
      <c r="Y188" s="39"/>
      <c r="Z188" s="38"/>
      <c r="AA188" s="38"/>
      <c r="AB188" s="38"/>
      <c r="AC188" s="38"/>
      <c r="AI188" s="17"/>
      <c r="AJ188" s="17"/>
      <c r="AK188" s="17"/>
      <c r="AL188" s="17"/>
      <c r="AM188" s="17"/>
      <c r="AN188" s="17"/>
      <c r="AO188" s="17"/>
      <c r="AP188" s="17"/>
      <c r="AW188" s="222">
        <v>183</v>
      </c>
      <c r="AX188" s="222" t="e">
        <f t="shared" si="34"/>
        <v>#N/A</v>
      </c>
      <c r="AY188" s="23">
        <v>181</v>
      </c>
      <c r="AZ188" s="222">
        <f t="shared" si="35"/>
        <v>61</v>
      </c>
      <c r="BA188" s="222">
        <f t="shared" ca="1" si="36"/>
        <v>69929</v>
      </c>
      <c r="BB188" s="222">
        <f t="shared" ca="1" si="37"/>
        <v>69924</v>
      </c>
      <c r="BC188" s="222">
        <f t="shared" ca="1" si="38"/>
        <v>1574.6708841029067</v>
      </c>
      <c r="BD188" s="17"/>
    </row>
    <row r="189" spans="5:56" x14ac:dyDescent="0.45">
      <c r="E189" s="214"/>
      <c r="F189" s="17"/>
      <c r="G189" s="17"/>
      <c r="H189" s="214"/>
      <c r="S189" s="38"/>
      <c r="T189" s="39"/>
      <c r="U189" s="39"/>
      <c r="V189" s="39"/>
      <c r="W189" s="39"/>
      <c r="X189" s="39"/>
      <c r="Y189" s="39"/>
      <c r="Z189" s="38"/>
      <c r="AA189" s="38"/>
      <c r="AB189" s="38"/>
      <c r="AC189" s="38"/>
      <c r="AI189" s="17"/>
      <c r="AJ189" s="17"/>
      <c r="AK189" s="17"/>
      <c r="AL189" s="17"/>
      <c r="AM189" s="17"/>
      <c r="AN189" s="17"/>
      <c r="AO189" s="17"/>
      <c r="AP189" s="17"/>
      <c r="AW189" s="222">
        <v>184</v>
      </c>
      <c r="AX189" s="222" t="e">
        <f t="shared" si="34"/>
        <v>#N/A</v>
      </c>
      <c r="AY189" s="23">
        <v>182</v>
      </c>
      <c r="AZ189" s="222">
        <f t="shared" si="35"/>
        <v>61</v>
      </c>
      <c r="BA189" s="222">
        <f t="shared" ca="1" si="36"/>
        <v>69929</v>
      </c>
      <c r="BB189" s="222">
        <f t="shared" ca="1" si="37"/>
        <v>69929</v>
      </c>
      <c r="BC189" s="222">
        <f t="shared" ca="1" si="38"/>
        <v>1429.6708841029067</v>
      </c>
      <c r="BD189" s="17"/>
    </row>
    <row r="190" spans="5:56" x14ac:dyDescent="0.45">
      <c r="E190" s="214"/>
      <c r="F190" s="17"/>
      <c r="G190" s="17"/>
      <c r="H190" s="214"/>
      <c r="S190" s="38"/>
      <c r="T190" s="39"/>
      <c r="U190" s="39"/>
      <c r="V190" s="39"/>
      <c r="W190" s="39"/>
      <c r="X190" s="39"/>
      <c r="Y190" s="39"/>
      <c r="Z190" s="38"/>
      <c r="AA190" s="38"/>
      <c r="AB190" s="38"/>
      <c r="AC190" s="38"/>
      <c r="AI190" s="17"/>
      <c r="AJ190" s="17"/>
      <c r="AK190" s="17"/>
      <c r="AL190" s="17"/>
      <c r="AM190" s="17"/>
      <c r="AN190" s="17"/>
      <c r="AO190" s="17"/>
      <c r="AP190" s="17"/>
      <c r="AW190" s="222">
        <v>185</v>
      </c>
      <c r="AX190" s="222" t="e">
        <f t="shared" si="34"/>
        <v>#N/A</v>
      </c>
      <c r="AY190" s="23">
        <v>183</v>
      </c>
      <c r="AZ190" s="222">
        <f t="shared" si="35"/>
        <v>62</v>
      </c>
      <c r="BA190" s="222">
        <f t="shared" ca="1" si="36"/>
        <v>71073</v>
      </c>
      <c r="BB190" s="222">
        <f t="shared" ca="1" si="37"/>
        <v>69934</v>
      </c>
      <c r="BC190" s="222">
        <f t="shared" ca="1" si="38"/>
        <v>1574.6708841029067</v>
      </c>
      <c r="BD190" s="17"/>
    </row>
    <row r="191" spans="5:56" x14ac:dyDescent="0.45">
      <c r="E191" s="214"/>
      <c r="F191" s="17"/>
      <c r="G191" s="17"/>
      <c r="H191" s="214"/>
      <c r="S191" s="38"/>
      <c r="T191" s="39"/>
      <c r="U191" s="39"/>
      <c r="V191" s="39"/>
      <c r="W191" s="39"/>
      <c r="X191" s="39"/>
      <c r="Y191" s="39"/>
      <c r="Z191" s="38"/>
      <c r="AA191" s="38"/>
      <c r="AB191" s="38"/>
      <c r="AC191" s="38"/>
      <c r="AI191" s="17"/>
      <c r="AJ191" s="17"/>
      <c r="AK191" s="17"/>
      <c r="AL191" s="17"/>
      <c r="AM191" s="17"/>
      <c r="AN191" s="17"/>
      <c r="AO191" s="17"/>
      <c r="AP191" s="17"/>
      <c r="AW191" s="222">
        <v>186</v>
      </c>
      <c r="AX191" s="222" t="e">
        <f t="shared" si="34"/>
        <v>#N/A</v>
      </c>
      <c r="AY191" s="23">
        <v>184</v>
      </c>
      <c r="AZ191" s="222">
        <f t="shared" si="35"/>
        <v>62</v>
      </c>
      <c r="BA191" s="222">
        <f t="shared" ca="1" si="36"/>
        <v>71073</v>
      </c>
      <c r="BB191" s="222">
        <f t="shared" ca="1" si="37"/>
        <v>71068</v>
      </c>
      <c r="BC191" s="222">
        <f t="shared" ca="1" si="38"/>
        <v>1574.6708841029067</v>
      </c>
      <c r="BD191" s="17"/>
    </row>
    <row r="192" spans="5:56" x14ac:dyDescent="0.45">
      <c r="E192" s="214"/>
      <c r="F192" s="17"/>
      <c r="G192" s="17"/>
      <c r="H192" s="214"/>
      <c r="S192" s="38"/>
      <c r="T192" s="39"/>
      <c r="U192" s="39"/>
      <c r="V192" s="39"/>
      <c r="W192" s="39"/>
      <c r="X192" s="39"/>
      <c r="Y192" s="39"/>
      <c r="Z192" s="38"/>
      <c r="AA192" s="38"/>
      <c r="AB192" s="38"/>
      <c r="AC192" s="38"/>
      <c r="AI192" s="17"/>
      <c r="AJ192" s="17"/>
      <c r="AK192" s="17"/>
      <c r="AL192" s="17"/>
      <c r="AM192" s="17"/>
      <c r="AN192" s="17"/>
      <c r="AO192" s="17"/>
      <c r="AP192" s="17"/>
      <c r="AW192" s="222">
        <v>187</v>
      </c>
      <c r="AX192" s="222" t="e">
        <f t="shared" si="34"/>
        <v>#N/A</v>
      </c>
      <c r="AY192" s="23">
        <v>185</v>
      </c>
      <c r="AZ192" s="222">
        <f t="shared" si="35"/>
        <v>62</v>
      </c>
      <c r="BA192" s="222">
        <f t="shared" ca="1" si="36"/>
        <v>71073</v>
      </c>
      <c r="BB192" s="222">
        <f t="shared" ca="1" si="37"/>
        <v>71073</v>
      </c>
      <c r="BC192" s="222">
        <f t="shared" ca="1" si="38"/>
        <v>1429.6708841029067</v>
      </c>
      <c r="BD192" s="17"/>
    </row>
    <row r="193" spans="5:56" x14ac:dyDescent="0.45">
      <c r="E193" s="214"/>
      <c r="F193" s="17"/>
      <c r="G193" s="17"/>
      <c r="H193" s="214"/>
      <c r="S193" s="38"/>
      <c r="T193" s="39"/>
      <c r="U193" s="39"/>
      <c r="V193" s="39"/>
      <c r="W193" s="39"/>
      <c r="X193" s="39"/>
      <c r="Y193" s="39"/>
      <c r="Z193" s="38"/>
      <c r="AA193" s="38"/>
      <c r="AB193" s="38"/>
      <c r="AC193" s="38"/>
      <c r="AI193" s="17"/>
      <c r="AJ193" s="17"/>
      <c r="AK193" s="17"/>
      <c r="AL193" s="17"/>
      <c r="AM193" s="17"/>
      <c r="AN193" s="17"/>
      <c r="AO193" s="17"/>
      <c r="AP193" s="17"/>
      <c r="AW193" s="222">
        <v>188</v>
      </c>
      <c r="AX193" s="222" t="e">
        <f t="shared" si="34"/>
        <v>#N/A</v>
      </c>
      <c r="AY193" s="23">
        <v>186</v>
      </c>
      <c r="AZ193" s="222">
        <f t="shared" si="35"/>
        <v>63</v>
      </c>
      <c r="BA193" s="222">
        <f t="shared" ca="1" si="36"/>
        <v>72217</v>
      </c>
      <c r="BB193" s="222">
        <f t="shared" ca="1" si="37"/>
        <v>71078</v>
      </c>
      <c r="BC193" s="222">
        <f t="shared" ca="1" si="38"/>
        <v>1574.6708841029067</v>
      </c>
      <c r="BD193" s="17"/>
    </row>
    <row r="194" spans="5:56" x14ac:dyDescent="0.45">
      <c r="E194" s="214"/>
      <c r="F194" s="17"/>
      <c r="G194" s="17"/>
      <c r="H194" s="214"/>
      <c r="S194" s="38"/>
      <c r="T194" s="39"/>
      <c r="U194" s="39"/>
      <c r="V194" s="39"/>
      <c r="W194" s="39"/>
      <c r="X194" s="39"/>
      <c r="Y194" s="39"/>
      <c r="Z194" s="38"/>
      <c r="AA194" s="38"/>
      <c r="AB194" s="38"/>
      <c r="AC194" s="38"/>
      <c r="AI194" s="17"/>
      <c r="AJ194" s="17"/>
      <c r="AK194" s="17"/>
      <c r="AL194" s="17"/>
      <c r="AM194" s="17"/>
      <c r="AN194" s="17"/>
      <c r="AO194" s="17"/>
      <c r="AP194" s="17"/>
      <c r="AW194" s="222">
        <v>189</v>
      </c>
      <c r="AX194" s="222" t="e">
        <f t="shared" si="34"/>
        <v>#N/A</v>
      </c>
      <c r="AY194" s="23">
        <v>187</v>
      </c>
      <c r="AZ194" s="222">
        <f t="shared" si="35"/>
        <v>63</v>
      </c>
      <c r="BA194" s="222">
        <f t="shared" ca="1" si="36"/>
        <v>72217</v>
      </c>
      <c r="BB194" s="222">
        <f t="shared" ca="1" si="37"/>
        <v>72212</v>
      </c>
      <c r="BC194" s="222">
        <f t="shared" ca="1" si="38"/>
        <v>1574.6708841029067</v>
      </c>
      <c r="BD194" s="17"/>
    </row>
    <row r="195" spans="5:56" x14ac:dyDescent="0.45">
      <c r="E195" s="214"/>
      <c r="F195" s="17"/>
      <c r="G195" s="17"/>
      <c r="H195" s="214"/>
      <c r="S195" s="38"/>
      <c r="T195" s="39"/>
      <c r="U195" s="39"/>
      <c r="V195" s="39"/>
      <c r="W195" s="39"/>
      <c r="X195" s="39"/>
      <c r="Y195" s="39"/>
      <c r="Z195" s="38"/>
      <c r="AA195" s="38"/>
      <c r="AB195" s="38"/>
      <c r="AC195" s="38"/>
      <c r="AI195" s="17"/>
      <c r="AJ195" s="17"/>
      <c r="AK195" s="17"/>
      <c r="AL195" s="17"/>
      <c r="AM195" s="17"/>
      <c r="AN195" s="17"/>
      <c r="AO195" s="17"/>
      <c r="AP195" s="17"/>
      <c r="AW195" s="222">
        <v>190</v>
      </c>
      <c r="AX195" s="222" t="e">
        <f t="shared" si="34"/>
        <v>#N/A</v>
      </c>
      <c r="AY195" s="23">
        <v>188</v>
      </c>
      <c r="AZ195" s="222">
        <f t="shared" si="35"/>
        <v>63</v>
      </c>
      <c r="BA195" s="222">
        <f t="shared" ca="1" si="36"/>
        <v>72217</v>
      </c>
      <c r="BB195" s="222">
        <f t="shared" ca="1" si="37"/>
        <v>72217</v>
      </c>
      <c r="BC195" s="222">
        <f t="shared" ca="1" si="38"/>
        <v>1429.6708841029067</v>
      </c>
      <c r="BD195" s="17"/>
    </row>
    <row r="196" spans="5:56" x14ac:dyDescent="0.45">
      <c r="E196" s="214"/>
      <c r="F196" s="17"/>
      <c r="G196" s="17"/>
      <c r="H196" s="214"/>
      <c r="S196" s="38"/>
      <c r="T196" s="39"/>
      <c r="U196" s="39"/>
      <c r="V196" s="39"/>
      <c r="W196" s="39"/>
      <c r="X196" s="39"/>
      <c r="Y196" s="39"/>
      <c r="Z196" s="38"/>
      <c r="AA196" s="38"/>
      <c r="AB196" s="38"/>
      <c r="AC196" s="38"/>
      <c r="AI196" s="17"/>
      <c r="AJ196" s="17"/>
      <c r="AK196" s="17"/>
      <c r="AL196" s="17"/>
      <c r="AM196" s="17"/>
      <c r="AN196" s="17"/>
      <c r="AO196" s="17"/>
      <c r="AP196" s="17"/>
      <c r="AW196" s="222">
        <v>191</v>
      </c>
      <c r="AX196" s="222" t="e">
        <f t="shared" si="34"/>
        <v>#N/A</v>
      </c>
      <c r="AY196" s="23">
        <v>189</v>
      </c>
      <c r="AZ196" s="222">
        <f t="shared" si="35"/>
        <v>64</v>
      </c>
      <c r="BA196" s="222">
        <f t="shared" ca="1" si="36"/>
        <v>73361</v>
      </c>
      <c r="BB196" s="222">
        <f t="shared" ca="1" si="37"/>
        <v>72222</v>
      </c>
      <c r="BC196" s="222">
        <f t="shared" ca="1" si="38"/>
        <v>1574.6708841029067</v>
      </c>
      <c r="BD196" s="17"/>
    </row>
    <row r="197" spans="5:56" x14ac:dyDescent="0.45">
      <c r="E197" s="214"/>
      <c r="F197" s="17"/>
      <c r="G197" s="17"/>
      <c r="H197" s="214"/>
      <c r="S197" s="38"/>
      <c r="T197" s="39"/>
      <c r="U197" s="39"/>
      <c r="V197" s="39"/>
      <c r="W197" s="39"/>
      <c r="X197" s="39"/>
      <c r="Y197" s="39"/>
      <c r="Z197" s="38"/>
      <c r="AA197" s="38"/>
      <c r="AB197" s="38"/>
      <c r="AC197" s="38"/>
      <c r="AI197" s="17"/>
      <c r="AJ197" s="17"/>
      <c r="AK197" s="17"/>
      <c r="AL197" s="17"/>
      <c r="AM197" s="17"/>
      <c r="AN197" s="17"/>
      <c r="AO197" s="17"/>
      <c r="AP197" s="17"/>
      <c r="AW197" s="222">
        <v>192</v>
      </c>
      <c r="AX197" s="222" t="e">
        <f t="shared" si="34"/>
        <v>#N/A</v>
      </c>
      <c r="AY197" s="23">
        <v>190</v>
      </c>
      <c r="AZ197" s="222">
        <f t="shared" si="35"/>
        <v>64</v>
      </c>
      <c r="BA197" s="222">
        <f t="shared" ca="1" si="36"/>
        <v>73361</v>
      </c>
      <c r="BB197" s="222">
        <f t="shared" ca="1" si="37"/>
        <v>73356</v>
      </c>
      <c r="BC197" s="222">
        <f t="shared" ca="1" si="38"/>
        <v>1574.6708841029067</v>
      </c>
      <c r="BD197" s="17"/>
    </row>
    <row r="198" spans="5:56" x14ac:dyDescent="0.45">
      <c r="E198" s="214"/>
      <c r="F198" s="17"/>
      <c r="G198" s="17"/>
      <c r="H198" s="214"/>
      <c r="S198" s="38"/>
      <c r="T198" s="39"/>
      <c r="U198" s="39"/>
      <c r="V198" s="39"/>
      <c r="W198" s="39"/>
      <c r="X198" s="39"/>
      <c r="Y198" s="39"/>
      <c r="Z198" s="38"/>
      <c r="AA198" s="38"/>
      <c r="AB198" s="38"/>
      <c r="AC198" s="38"/>
      <c r="AI198" s="17"/>
      <c r="AJ198" s="17"/>
      <c r="AK198" s="17"/>
      <c r="AL198" s="17"/>
      <c r="AM198" s="17"/>
      <c r="AN198" s="17"/>
      <c r="AO198" s="17"/>
      <c r="AP198" s="17"/>
      <c r="AW198" s="222">
        <v>193</v>
      </c>
      <c r="AX198" s="222" t="e">
        <f t="shared" si="34"/>
        <v>#N/A</v>
      </c>
      <c r="AY198" s="23">
        <v>191</v>
      </c>
      <c r="AZ198" s="222">
        <f t="shared" si="35"/>
        <v>64</v>
      </c>
      <c r="BA198" s="222">
        <f t="shared" ca="1" si="36"/>
        <v>73361</v>
      </c>
      <c r="BB198" s="222">
        <f t="shared" ca="1" si="37"/>
        <v>73361</v>
      </c>
      <c r="BC198" s="222">
        <f t="shared" ca="1" si="38"/>
        <v>1429.6708841029067</v>
      </c>
      <c r="BD198" s="17"/>
    </row>
    <row r="199" spans="5:56" x14ac:dyDescent="0.45">
      <c r="E199" s="214"/>
      <c r="F199" s="17"/>
      <c r="G199" s="17"/>
      <c r="H199" s="214"/>
      <c r="S199" s="38"/>
      <c r="T199" s="39"/>
      <c r="U199" s="39"/>
      <c r="V199" s="39"/>
      <c r="W199" s="39"/>
      <c r="X199" s="39"/>
      <c r="Y199" s="39"/>
      <c r="Z199" s="38"/>
      <c r="AA199" s="38"/>
      <c r="AB199" s="38"/>
      <c r="AC199" s="38"/>
      <c r="AI199" s="17"/>
      <c r="AJ199" s="17"/>
      <c r="AK199" s="17"/>
      <c r="AL199" s="17"/>
      <c r="AM199" s="17"/>
      <c r="AN199" s="17"/>
      <c r="AO199" s="17"/>
      <c r="AP199" s="17"/>
      <c r="AW199" s="222">
        <v>194</v>
      </c>
      <c r="AX199" s="222" t="e">
        <f t="shared" si="34"/>
        <v>#N/A</v>
      </c>
      <c r="AY199" s="23">
        <v>192</v>
      </c>
      <c r="AZ199" s="222">
        <f t="shared" si="35"/>
        <v>65</v>
      </c>
      <c r="BA199" s="222">
        <f t="shared" ca="1" si="36"/>
        <v>74505</v>
      </c>
      <c r="BB199" s="222">
        <f t="shared" ca="1" si="37"/>
        <v>73366</v>
      </c>
      <c r="BC199" s="222">
        <f t="shared" ca="1" si="38"/>
        <v>1574.6708841029067</v>
      </c>
      <c r="BD199" s="17"/>
    </row>
    <row r="200" spans="5:56" x14ac:dyDescent="0.45">
      <c r="E200" s="214"/>
      <c r="F200" s="17"/>
      <c r="G200" s="17"/>
      <c r="H200" s="214"/>
      <c r="S200" s="38"/>
      <c r="T200" s="39"/>
      <c r="U200" s="39"/>
      <c r="V200" s="39"/>
      <c r="W200" s="39"/>
      <c r="X200" s="39"/>
      <c r="Y200" s="39"/>
      <c r="Z200" s="38"/>
      <c r="AA200" s="38"/>
      <c r="AB200" s="38"/>
      <c r="AC200" s="38"/>
      <c r="AI200" s="17"/>
      <c r="AJ200" s="17"/>
      <c r="AK200" s="17"/>
      <c r="AL200" s="17"/>
      <c r="AM200" s="17"/>
      <c r="AN200" s="17"/>
      <c r="AO200" s="17"/>
      <c r="AP200" s="17"/>
      <c r="AW200" s="222">
        <v>195</v>
      </c>
      <c r="AX200" s="222" t="e">
        <f t="shared" ref="AX200:AX205" si="39" xml:space="preserve"> IF(AW200 &lt;= $AX$4, AX199 + $AI$6 + $AI$11, NA())</f>
        <v>#N/A</v>
      </c>
      <c r="AY200" s="23">
        <v>193</v>
      </c>
      <c r="AZ200" s="222">
        <f t="shared" ref="AZ200:AZ205" si="40" xml:space="preserve"> IF($AW$6 + ROUNDDOWN(AY200 / 3, 0) &lt; $AX$4, $AW$6 + ROUNDDOWN(AY200 / 3, 0), NA())</f>
        <v>65</v>
      </c>
      <c r="BA200" s="222">
        <f t="shared" ref="BA200:BA205" ca="1" si="41" xml:space="preserve"> OFFSET($AX$6, AZ200, , ,)</f>
        <v>74505</v>
      </c>
      <c r="BB200" s="222">
        <f t="shared" ref="BB200:BB205" ca="1" si="42" xml:space="preserve"> IF(BA200, IF(MOD(AY200, 3) = 0, BA200 - $AI$11 / 2 - $AI$6, IF(MOD(AY200, 3) = 1, BA200 - $AI$11 / 2, BA200)))</f>
        <v>74500</v>
      </c>
      <c r="BC200" s="222">
        <f t="shared" ref="BC200:BC205" ca="1" si="43" xml:space="preserve"> IF(BA200, IF(MOD(AY200, 3) = 2, $AI$22, $AI$22 + 60 + 50 + 35))</f>
        <v>1574.6708841029067</v>
      </c>
      <c r="BD200" s="17"/>
    </row>
    <row r="201" spans="5:56" x14ac:dyDescent="0.45">
      <c r="E201" s="214"/>
      <c r="F201" s="17"/>
      <c r="G201" s="17"/>
      <c r="H201" s="214"/>
      <c r="S201" s="38"/>
      <c r="T201" s="39"/>
      <c r="U201" s="39"/>
      <c r="V201" s="39"/>
      <c r="W201" s="39"/>
      <c r="X201" s="39"/>
      <c r="Y201" s="39"/>
      <c r="Z201" s="38"/>
      <c r="AA201" s="38"/>
      <c r="AB201" s="38"/>
      <c r="AC201" s="38"/>
      <c r="AI201" s="17"/>
      <c r="AJ201" s="17"/>
      <c r="AK201" s="17"/>
      <c r="AL201" s="17"/>
      <c r="AM201" s="17"/>
      <c r="AN201" s="17"/>
      <c r="AO201" s="17"/>
      <c r="AP201" s="17"/>
      <c r="AW201" s="222">
        <v>196</v>
      </c>
      <c r="AX201" s="222" t="e">
        <f t="shared" si="39"/>
        <v>#N/A</v>
      </c>
      <c r="AY201" s="23">
        <v>194</v>
      </c>
      <c r="AZ201" s="222">
        <f t="shared" si="40"/>
        <v>65</v>
      </c>
      <c r="BA201" s="222">
        <f t="shared" ca="1" si="41"/>
        <v>74505</v>
      </c>
      <c r="BB201" s="222">
        <f t="shared" ca="1" si="42"/>
        <v>74505</v>
      </c>
      <c r="BC201" s="222">
        <f t="shared" ca="1" si="43"/>
        <v>1429.6708841029067</v>
      </c>
      <c r="BD201" s="17"/>
    </row>
    <row r="202" spans="5:56" x14ac:dyDescent="0.45">
      <c r="E202" s="214"/>
      <c r="F202" s="17"/>
      <c r="G202" s="17"/>
      <c r="H202" s="214"/>
      <c r="S202" s="38"/>
      <c r="T202" s="39"/>
      <c r="U202" s="39"/>
      <c r="V202" s="39"/>
      <c r="W202" s="39"/>
      <c r="X202" s="39"/>
      <c r="Y202" s="39"/>
      <c r="Z202" s="38"/>
      <c r="AA202" s="38"/>
      <c r="AB202" s="38"/>
      <c r="AC202" s="38"/>
      <c r="AI202" s="17"/>
      <c r="AJ202" s="17"/>
      <c r="AK202" s="17"/>
      <c r="AL202" s="17"/>
      <c r="AM202" s="17"/>
      <c r="AN202" s="17"/>
      <c r="AO202" s="17"/>
      <c r="AP202" s="17"/>
      <c r="AW202" s="222">
        <v>197</v>
      </c>
      <c r="AX202" s="222" t="e">
        <f t="shared" si="39"/>
        <v>#N/A</v>
      </c>
      <c r="AY202" s="23">
        <v>195</v>
      </c>
      <c r="AZ202" s="222">
        <f t="shared" si="40"/>
        <v>66</v>
      </c>
      <c r="BA202" s="222">
        <f t="shared" ca="1" si="41"/>
        <v>75649</v>
      </c>
      <c r="BB202" s="222">
        <f t="shared" ca="1" si="42"/>
        <v>74510</v>
      </c>
      <c r="BC202" s="222">
        <f t="shared" ca="1" si="43"/>
        <v>1574.6708841029067</v>
      </c>
      <c r="BD202" s="17"/>
    </row>
    <row r="203" spans="5:56" x14ac:dyDescent="0.45">
      <c r="E203" s="214"/>
      <c r="F203" s="17"/>
      <c r="G203" s="17"/>
      <c r="H203" s="214"/>
      <c r="S203" s="38"/>
      <c r="T203" s="39"/>
      <c r="U203" s="39"/>
      <c r="V203" s="39"/>
      <c r="W203" s="39"/>
      <c r="X203" s="39"/>
      <c r="Y203" s="39"/>
      <c r="Z203" s="38"/>
      <c r="AA203" s="38"/>
      <c r="AB203" s="38"/>
      <c r="AC203" s="38"/>
      <c r="AI203" s="17"/>
      <c r="AJ203" s="17"/>
      <c r="AK203" s="17"/>
      <c r="AL203" s="17"/>
      <c r="AM203" s="17"/>
      <c r="AN203" s="17"/>
      <c r="AO203" s="17"/>
      <c r="AP203" s="17"/>
      <c r="AW203" s="222">
        <v>198</v>
      </c>
      <c r="AX203" s="222" t="e">
        <f t="shared" si="39"/>
        <v>#N/A</v>
      </c>
      <c r="AY203" s="23">
        <v>196</v>
      </c>
      <c r="AZ203" s="222">
        <f t="shared" si="40"/>
        <v>66</v>
      </c>
      <c r="BA203" s="222">
        <f t="shared" ca="1" si="41"/>
        <v>75649</v>
      </c>
      <c r="BB203" s="222">
        <f t="shared" ca="1" si="42"/>
        <v>75644</v>
      </c>
      <c r="BC203" s="222">
        <f t="shared" ca="1" si="43"/>
        <v>1574.6708841029067</v>
      </c>
      <c r="BD203" s="17"/>
    </row>
    <row r="204" spans="5:56" x14ac:dyDescent="0.45">
      <c r="E204" s="214"/>
      <c r="F204" s="17"/>
      <c r="G204" s="17"/>
      <c r="H204" s="214"/>
      <c r="S204" s="38"/>
      <c r="T204" s="39"/>
      <c r="U204" s="39"/>
      <c r="V204" s="39"/>
      <c r="W204" s="39"/>
      <c r="X204" s="39"/>
      <c r="Y204" s="39"/>
      <c r="Z204" s="38"/>
      <c r="AA204" s="38"/>
      <c r="AB204" s="38"/>
      <c r="AC204" s="38"/>
      <c r="AI204" s="17"/>
      <c r="AJ204" s="17"/>
      <c r="AK204" s="17"/>
      <c r="AL204" s="17"/>
      <c r="AM204" s="17"/>
      <c r="AN204" s="17"/>
      <c r="AO204" s="17"/>
      <c r="AP204" s="17"/>
      <c r="AW204" s="222">
        <v>199</v>
      </c>
      <c r="AX204" s="222" t="e">
        <f t="shared" si="39"/>
        <v>#N/A</v>
      </c>
      <c r="AY204" s="23">
        <v>197</v>
      </c>
      <c r="AZ204" s="222">
        <f t="shared" si="40"/>
        <v>66</v>
      </c>
      <c r="BA204" s="222">
        <f t="shared" ca="1" si="41"/>
        <v>75649</v>
      </c>
      <c r="BB204" s="222">
        <f t="shared" ca="1" si="42"/>
        <v>75649</v>
      </c>
      <c r="BC204" s="222">
        <f t="shared" ca="1" si="43"/>
        <v>1429.6708841029067</v>
      </c>
      <c r="BD204" s="17"/>
    </row>
    <row r="205" spans="5:56" x14ac:dyDescent="0.45">
      <c r="E205" s="214"/>
      <c r="F205" s="17"/>
      <c r="G205" s="17"/>
      <c r="H205" s="214"/>
      <c r="S205" s="38"/>
      <c r="T205" s="39"/>
      <c r="U205" s="39"/>
      <c r="V205" s="39"/>
      <c r="W205" s="39"/>
      <c r="X205" s="39"/>
      <c r="Y205" s="39"/>
      <c r="Z205" s="38"/>
      <c r="AA205" s="38"/>
      <c r="AB205" s="38"/>
      <c r="AC205" s="38"/>
      <c r="AI205" s="17"/>
      <c r="AJ205" s="17"/>
      <c r="AK205" s="17"/>
      <c r="AL205" s="17"/>
      <c r="AM205" s="17"/>
      <c r="AN205" s="17"/>
      <c r="AO205" s="17"/>
      <c r="AP205" s="17"/>
      <c r="AW205" s="222">
        <v>200</v>
      </c>
      <c r="AX205" s="222" t="e">
        <f t="shared" si="39"/>
        <v>#N/A</v>
      </c>
      <c r="AY205" s="23">
        <v>198</v>
      </c>
      <c r="AZ205" s="222">
        <f t="shared" si="40"/>
        <v>67</v>
      </c>
      <c r="BA205" s="222">
        <f t="shared" ca="1" si="41"/>
        <v>76793</v>
      </c>
      <c r="BB205" s="222">
        <f t="shared" ca="1" si="42"/>
        <v>75654</v>
      </c>
      <c r="BC205" s="222">
        <f t="shared" ca="1" si="43"/>
        <v>1574.6708841029067</v>
      </c>
      <c r="BD205" s="17"/>
    </row>
    <row r="206" spans="5:56" x14ac:dyDescent="0.45">
      <c r="E206" s="214"/>
      <c r="F206" s="17"/>
      <c r="G206" s="17"/>
      <c r="H206" s="214"/>
      <c r="S206" s="38"/>
      <c r="T206" s="39"/>
      <c r="U206" s="39"/>
      <c r="V206" s="39"/>
      <c r="W206" s="39"/>
      <c r="X206" s="39"/>
      <c r="Y206" s="39"/>
      <c r="Z206" s="38"/>
      <c r="AA206" s="38"/>
      <c r="AB206" s="38"/>
      <c r="AC206" s="38"/>
      <c r="AY206" s="23">
        <v>199</v>
      </c>
      <c r="AZ206" s="259">
        <f t="shared" ref="AZ206:AZ269" si="44" xml:space="preserve"> IF($AW$6 + ROUNDDOWN(AY206 / 3, 0) &lt; $AX$4, $AW$6 + ROUNDDOWN(AY206 / 3, 0), NA())</f>
        <v>67</v>
      </c>
      <c r="BA206" s="259">
        <f t="shared" ref="BA206:BA269" ca="1" si="45" xml:space="preserve"> OFFSET($AX$6, AZ206, , ,)</f>
        <v>76793</v>
      </c>
      <c r="BB206" s="259">
        <f t="shared" ref="BB206:BB269" ca="1" si="46" xml:space="preserve"> IF(BA206, IF(MOD(AY206, 3) = 0, BA206 - $AI$11 / 2 - $AI$6, IF(MOD(AY206, 3) = 1, BA206 - $AI$11 / 2, BA206)))</f>
        <v>76788</v>
      </c>
      <c r="BC206" s="259">
        <f t="shared" ref="BC206:BC269" ca="1" si="47" xml:space="preserve"> IF(BA206, IF(MOD(AY206, 3) = 2, $AI$22, $AI$22 + 60 + 50 + 35))</f>
        <v>1574.6708841029067</v>
      </c>
      <c r="BD206" s="17"/>
    </row>
    <row r="207" spans="5:56" x14ac:dyDescent="0.45">
      <c r="E207" s="214"/>
      <c r="F207" s="17"/>
      <c r="G207" s="17"/>
      <c r="H207" s="214"/>
      <c r="S207" s="38"/>
      <c r="T207" s="39"/>
      <c r="U207" s="39"/>
      <c r="V207" s="39"/>
      <c r="W207" s="39"/>
      <c r="X207" s="39"/>
      <c r="Y207" s="39"/>
      <c r="Z207" s="38"/>
      <c r="AA207" s="38"/>
      <c r="AB207" s="38"/>
      <c r="AC207" s="38"/>
      <c r="AY207" s="23">
        <v>200</v>
      </c>
      <c r="AZ207" s="259">
        <f t="shared" si="44"/>
        <v>67</v>
      </c>
      <c r="BA207" s="259">
        <f t="shared" ca="1" si="45"/>
        <v>76793</v>
      </c>
      <c r="BB207" s="259">
        <f t="shared" ca="1" si="46"/>
        <v>76793</v>
      </c>
      <c r="BC207" s="259">
        <f t="shared" ca="1" si="47"/>
        <v>1429.6708841029067</v>
      </c>
      <c r="BD207" s="17"/>
    </row>
    <row r="208" spans="5:56" x14ac:dyDescent="0.45">
      <c r="E208" s="214"/>
      <c r="F208" s="17"/>
      <c r="G208" s="17"/>
      <c r="H208" s="214"/>
      <c r="S208" s="38"/>
      <c r="T208" s="39"/>
      <c r="U208" s="39"/>
      <c r="V208" s="39"/>
      <c r="W208" s="39"/>
      <c r="X208" s="39"/>
      <c r="Y208" s="39"/>
      <c r="Z208" s="38"/>
      <c r="AA208" s="38"/>
      <c r="AB208" s="38"/>
      <c r="AC208" s="38"/>
      <c r="AY208" s="23">
        <v>201</v>
      </c>
      <c r="AZ208" s="259">
        <f t="shared" si="44"/>
        <v>68</v>
      </c>
      <c r="BA208" s="259">
        <f t="shared" ca="1" si="45"/>
        <v>77937</v>
      </c>
      <c r="BB208" s="259">
        <f t="shared" ca="1" si="46"/>
        <v>76798</v>
      </c>
      <c r="BC208" s="259">
        <f t="shared" ca="1" si="47"/>
        <v>1574.6708841029067</v>
      </c>
      <c r="BD208" s="17"/>
    </row>
    <row r="209" spans="5:56" x14ac:dyDescent="0.45">
      <c r="E209" s="214"/>
      <c r="F209" s="17"/>
      <c r="G209" s="17"/>
      <c r="H209" s="214"/>
      <c r="S209" s="38"/>
      <c r="T209" s="39"/>
      <c r="U209" s="39"/>
      <c r="V209" s="39"/>
      <c r="W209" s="39"/>
      <c r="X209" s="39"/>
      <c r="Y209" s="39"/>
      <c r="Z209" s="38"/>
      <c r="AA209" s="38"/>
      <c r="AB209" s="38"/>
      <c r="AC209" s="38"/>
      <c r="AY209" s="23">
        <v>202</v>
      </c>
      <c r="AZ209" s="259">
        <f t="shared" si="44"/>
        <v>68</v>
      </c>
      <c r="BA209" s="259">
        <f t="shared" ca="1" si="45"/>
        <v>77937</v>
      </c>
      <c r="BB209" s="259">
        <f t="shared" ca="1" si="46"/>
        <v>77932</v>
      </c>
      <c r="BC209" s="259">
        <f t="shared" ca="1" si="47"/>
        <v>1574.6708841029067</v>
      </c>
      <c r="BD209" s="17"/>
    </row>
    <row r="210" spans="5:56" x14ac:dyDescent="0.45">
      <c r="E210" s="214"/>
      <c r="F210" s="17"/>
      <c r="G210" s="17"/>
      <c r="H210" s="214"/>
      <c r="S210" s="38"/>
      <c r="T210" s="39"/>
      <c r="U210" s="39"/>
      <c r="V210" s="39"/>
      <c r="W210" s="39"/>
      <c r="X210" s="39"/>
      <c r="Y210" s="39"/>
      <c r="Z210" s="38"/>
      <c r="AA210" s="38"/>
      <c r="AB210" s="38"/>
      <c r="AC210" s="38"/>
      <c r="AY210" s="23">
        <v>203</v>
      </c>
      <c r="AZ210" s="259">
        <f t="shared" si="44"/>
        <v>68</v>
      </c>
      <c r="BA210" s="259">
        <f t="shared" ca="1" si="45"/>
        <v>77937</v>
      </c>
      <c r="BB210" s="259">
        <f t="shared" ca="1" si="46"/>
        <v>77937</v>
      </c>
      <c r="BC210" s="259">
        <f t="shared" ca="1" si="47"/>
        <v>1429.6708841029067</v>
      </c>
      <c r="BD210" s="17"/>
    </row>
    <row r="211" spans="5:56" x14ac:dyDescent="0.45">
      <c r="E211" s="214"/>
      <c r="F211" s="17"/>
      <c r="G211" s="17"/>
      <c r="H211" s="214"/>
      <c r="S211" s="38"/>
      <c r="T211" s="39"/>
      <c r="U211" s="39"/>
      <c r="V211" s="39"/>
      <c r="W211" s="39"/>
      <c r="X211" s="39"/>
      <c r="Y211" s="39"/>
      <c r="Z211" s="38"/>
      <c r="AA211" s="38"/>
      <c r="AB211" s="38"/>
      <c r="AC211" s="38"/>
      <c r="AY211" s="23">
        <v>204</v>
      </c>
      <c r="AZ211" s="259">
        <f t="shared" si="44"/>
        <v>69</v>
      </c>
      <c r="BA211" s="259">
        <f t="shared" ca="1" si="45"/>
        <v>79081</v>
      </c>
      <c r="BB211" s="259">
        <f t="shared" ca="1" si="46"/>
        <v>77942</v>
      </c>
      <c r="BC211" s="259">
        <f t="shared" ca="1" si="47"/>
        <v>1574.6708841029067</v>
      </c>
      <c r="BD211" s="17"/>
    </row>
    <row r="212" spans="5:56" x14ac:dyDescent="0.45">
      <c r="E212" s="214"/>
      <c r="F212" s="17"/>
      <c r="G212" s="17"/>
      <c r="H212" s="214"/>
      <c r="S212" s="38"/>
      <c r="T212" s="39"/>
      <c r="U212" s="39"/>
      <c r="V212" s="39"/>
      <c r="W212" s="39"/>
      <c r="X212" s="39"/>
      <c r="Y212" s="39"/>
      <c r="Z212" s="38"/>
      <c r="AA212" s="38"/>
      <c r="AB212" s="38"/>
      <c r="AC212" s="38"/>
      <c r="AY212" s="23">
        <v>205</v>
      </c>
      <c r="AZ212" s="259">
        <f t="shared" si="44"/>
        <v>69</v>
      </c>
      <c r="BA212" s="259">
        <f t="shared" ca="1" si="45"/>
        <v>79081</v>
      </c>
      <c r="BB212" s="259">
        <f t="shared" ca="1" si="46"/>
        <v>79076</v>
      </c>
      <c r="BC212" s="259">
        <f t="shared" ca="1" si="47"/>
        <v>1574.6708841029067</v>
      </c>
      <c r="BD212" s="17"/>
    </row>
    <row r="213" spans="5:56" x14ac:dyDescent="0.45">
      <c r="E213" s="214"/>
      <c r="F213" s="17"/>
      <c r="G213" s="17"/>
      <c r="H213" s="214"/>
      <c r="S213" s="38"/>
      <c r="T213" s="39"/>
      <c r="U213" s="39"/>
      <c r="V213" s="39"/>
      <c r="W213" s="39"/>
      <c r="X213" s="39"/>
      <c r="Y213" s="39"/>
      <c r="Z213" s="38"/>
      <c r="AA213" s="38"/>
      <c r="AB213" s="38"/>
      <c r="AC213" s="38"/>
      <c r="AY213" s="23">
        <v>206</v>
      </c>
      <c r="AZ213" s="259">
        <f t="shared" si="44"/>
        <v>69</v>
      </c>
      <c r="BA213" s="259">
        <f t="shared" ca="1" si="45"/>
        <v>79081</v>
      </c>
      <c r="BB213" s="259">
        <f t="shared" ca="1" si="46"/>
        <v>79081</v>
      </c>
      <c r="BC213" s="259">
        <f t="shared" ca="1" si="47"/>
        <v>1429.6708841029067</v>
      </c>
      <c r="BD213" s="17"/>
    </row>
    <row r="214" spans="5:56" x14ac:dyDescent="0.45">
      <c r="E214" s="214"/>
      <c r="F214" s="17"/>
      <c r="G214" s="17"/>
      <c r="H214" s="214"/>
      <c r="S214" s="38"/>
      <c r="T214" s="39"/>
      <c r="U214" s="39"/>
      <c r="V214" s="39"/>
      <c r="W214" s="39"/>
      <c r="X214" s="39"/>
      <c r="Y214" s="39"/>
      <c r="Z214" s="38"/>
      <c r="AA214" s="38"/>
      <c r="AB214" s="38"/>
      <c r="AC214" s="38"/>
      <c r="AY214" s="23">
        <v>207</v>
      </c>
      <c r="AZ214" s="259">
        <f t="shared" si="44"/>
        <v>70</v>
      </c>
      <c r="BA214" s="259">
        <f t="shared" ca="1" si="45"/>
        <v>80225</v>
      </c>
      <c r="BB214" s="259">
        <f t="shared" ca="1" si="46"/>
        <v>79086</v>
      </c>
      <c r="BC214" s="259">
        <f t="shared" ca="1" si="47"/>
        <v>1574.6708841029067</v>
      </c>
      <c r="BD214" s="17"/>
    </row>
    <row r="215" spans="5:56" x14ac:dyDescent="0.45">
      <c r="E215" s="214"/>
      <c r="F215" s="17"/>
      <c r="G215" s="17"/>
      <c r="H215" s="214"/>
      <c r="S215" s="38"/>
      <c r="T215" s="39"/>
      <c r="U215" s="39"/>
      <c r="V215" s="39"/>
      <c r="W215" s="39"/>
      <c r="X215" s="39"/>
      <c r="Y215" s="39"/>
      <c r="Z215" s="38"/>
      <c r="AA215" s="38"/>
      <c r="AB215" s="38"/>
      <c r="AC215" s="38"/>
      <c r="AY215" s="23">
        <v>208</v>
      </c>
      <c r="AZ215" s="259">
        <f t="shared" si="44"/>
        <v>70</v>
      </c>
      <c r="BA215" s="259">
        <f t="shared" ca="1" si="45"/>
        <v>80225</v>
      </c>
      <c r="BB215" s="259">
        <f t="shared" ca="1" si="46"/>
        <v>80220</v>
      </c>
      <c r="BC215" s="259">
        <f t="shared" ca="1" si="47"/>
        <v>1574.6708841029067</v>
      </c>
      <c r="BD215" s="17"/>
    </row>
    <row r="216" spans="5:56" x14ac:dyDescent="0.45">
      <c r="E216" s="214"/>
      <c r="F216" s="17"/>
      <c r="G216" s="17"/>
      <c r="H216" s="214"/>
      <c r="S216" s="38"/>
      <c r="T216" s="39"/>
      <c r="U216" s="39"/>
      <c r="V216" s="39"/>
      <c r="W216" s="39"/>
      <c r="X216" s="39"/>
      <c r="Y216" s="39"/>
      <c r="Z216" s="38"/>
      <c r="AA216" s="38"/>
      <c r="AB216" s="38"/>
      <c r="AC216" s="38"/>
      <c r="AY216" s="23">
        <v>209</v>
      </c>
      <c r="AZ216" s="259">
        <f t="shared" si="44"/>
        <v>70</v>
      </c>
      <c r="BA216" s="259">
        <f t="shared" ca="1" si="45"/>
        <v>80225</v>
      </c>
      <c r="BB216" s="259">
        <f t="shared" ca="1" si="46"/>
        <v>80225</v>
      </c>
      <c r="BC216" s="259">
        <f t="shared" ca="1" si="47"/>
        <v>1429.6708841029067</v>
      </c>
      <c r="BD216" s="17"/>
    </row>
    <row r="217" spans="5:56" x14ac:dyDescent="0.45">
      <c r="E217" s="214"/>
      <c r="F217" s="17"/>
      <c r="G217" s="17"/>
      <c r="H217" s="214"/>
      <c r="S217" s="38"/>
      <c r="T217" s="39"/>
      <c r="U217" s="39"/>
      <c r="V217" s="39"/>
      <c r="W217" s="39"/>
      <c r="X217" s="39"/>
      <c r="Y217" s="39"/>
      <c r="Z217" s="38"/>
      <c r="AA217" s="38"/>
      <c r="AB217" s="38"/>
      <c r="AC217" s="38"/>
      <c r="AY217" s="23">
        <v>210</v>
      </c>
      <c r="AZ217" s="259">
        <f t="shared" si="44"/>
        <v>71</v>
      </c>
      <c r="BA217" s="259">
        <f t="shared" ca="1" si="45"/>
        <v>81369</v>
      </c>
      <c r="BB217" s="259">
        <f t="shared" ca="1" si="46"/>
        <v>80230</v>
      </c>
      <c r="BC217" s="259">
        <f t="shared" ca="1" si="47"/>
        <v>1574.6708841029067</v>
      </c>
      <c r="BD217" s="17"/>
    </row>
    <row r="218" spans="5:56" x14ac:dyDescent="0.45">
      <c r="E218" s="214"/>
      <c r="F218" s="17"/>
      <c r="G218" s="17"/>
      <c r="H218" s="214"/>
      <c r="S218" s="38"/>
      <c r="T218" s="39"/>
      <c r="U218" s="39"/>
      <c r="V218" s="39"/>
      <c r="W218" s="39"/>
      <c r="X218" s="39"/>
      <c r="Y218" s="39"/>
      <c r="Z218" s="38"/>
      <c r="AA218" s="38"/>
      <c r="AB218" s="38"/>
      <c r="AC218" s="38"/>
      <c r="AY218" s="23">
        <v>211</v>
      </c>
      <c r="AZ218" s="259">
        <f t="shared" si="44"/>
        <v>71</v>
      </c>
      <c r="BA218" s="259">
        <f t="shared" ca="1" si="45"/>
        <v>81369</v>
      </c>
      <c r="BB218" s="259">
        <f t="shared" ca="1" si="46"/>
        <v>81364</v>
      </c>
      <c r="BC218" s="259">
        <f t="shared" ca="1" si="47"/>
        <v>1574.6708841029067</v>
      </c>
      <c r="BD218" s="17"/>
    </row>
    <row r="219" spans="5:56" x14ac:dyDescent="0.45">
      <c r="E219" s="214"/>
      <c r="F219" s="17"/>
      <c r="G219" s="17"/>
      <c r="H219" s="214"/>
      <c r="S219" s="38"/>
      <c r="T219" s="39"/>
      <c r="U219" s="39"/>
      <c r="V219" s="39"/>
      <c r="W219" s="39"/>
      <c r="X219" s="39"/>
      <c r="Y219" s="39"/>
      <c r="Z219" s="38"/>
      <c r="AA219" s="38"/>
      <c r="AB219" s="38"/>
      <c r="AC219" s="38"/>
      <c r="AY219" s="23">
        <v>212</v>
      </c>
      <c r="AZ219" s="259">
        <f t="shared" si="44"/>
        <v>71</v>
      </c>
      <c r="BA219" s="259">
        <f t="shared" ca="1" si="45"/>
        <v>81369</v>
      </c>
      <c r="BB219" s="259">
        <f t="shared" ca="1" si="46"/>
        <v>81369</v>
      </c>
      <c r="BC219" s="259">
        <f t="shared" ca="1" si="47"/>
        <v>1429.6708841029067</v>
      </c>
      <c r="BD219" s="17"/>
    </row>
    <row r="220" spans="5:56" x14ac:dyDescent="0.45">
      <c r="E220" s="214"/>
      <c r="F220" s="17"/>
      <c r="G220" s="17"/>
      <c r="H220" s="214"/>
      <c r="S220" s="38"/>
      <c r="T220" s="39"/>
      <c r="U220" s="39"/>
      <c r="V220" s="39"/>
      <c r="W220" s="39"/>
      <c r="X220" s="39"/>
      <c r="Y220" s="39"/>
      <c r="Z220" s="38"/>
      <c r="AA220" s="38"/>
      <c r="AB220" s="38"/>
      <c r="AC220" s="38"/>
      <c r="AY220" s="23">
        <v>213</v>
      </c>
      <c r="AZ220" s="259">
        <f t="shared" si="44"/>
        <v>72</v>
      </c>
      <c r="BA220" s="259">
        <f t="shared" ca="1" si="45"/>
        <v>82513</v>
      </c>
      <c r="BB220" s="259">
        <f t="shared" ca="1" si="46"/>
        <v>81374</v>
      </c>
      <c r="BC220" s="259">
        <f t="shared" ca="1" si="47"/>
        <v>1574.6708841029067</v>
      </c>
      <c r="BD220" s="17"/>
    </row>
    <row r="221" spans="5:56" x14ac:dyDescent="0.45">
      <c r="E221" s="214"/>
      <c r="F221" s="17"/>
      <c r="G221" s="17"/>
      <c r="H221" s="214"/>
      <c r="S221" s="38"/>
      <c r="T221" s="39"/>
      <c r="U221" s="39"/>
      <c r="V221" s="39"/>
      <c r="W221" s="39"/>
      <c r="X221" s="39"/>
      <c r="Y221" s="39"/>
      <c r="Z221" s="38"/>
      <c r="AA221" s="38"/>
      <c r="AB221" s="38"/>
      <c r="AC221" s="38"/>
      <c r="AY221" s="23">
        <v>214</v>
      </c>
      <c r="AZ221" s="259">
        <f t="shared" si="44"/>
        <v>72</v>
      </c>
      <c r="BA221" s="259">
        <f t="shared" ca="1" si="45"/>
        <v>82513</v>
      </c>
      <c r="BB221" s="259">
        <f t="shared" ca="1" si="46"/>
        <v>82508</v>
      </c>
      <c r="BC221" s="259">
        <f t="shared" ca="1" si="47"/>
        <v>1574.6708841029067</v>
      </c>
      <c r="BD221" s="17"/>
    </row>
    <row r="222" spans="5:56" x14ac:dyDescent="0.45">
      <c r="E222" s="214"/>
      <c r="F222" s="17"/>
      <c r="G222" s="17"/>
      <c r="H222" s="214"/>
      <c r="S222" s="38"/>
      <c r="T222" s="39"/>
      <c r="U222" s="39"/>
      <c r="V222" s="39"/>
      <c r="W222" s="39"/>
      <c r="X222" s="39"/>
      <c r="Y222" s="39"/>
      <c r="Z222" s="38"/>
      <c r="AA222" s="38"/>
      <c r="AB222" s="38"/>
      <c r="AC222" s="38"/>
      <c r="AY222" s="23">
        <v>215</v>
      </c>
      <c r="AZ222" s="259">
        <f t="shared" si="44"/>
        <v>72</v>
      </c>
      <c r="BA222" s="259">
        <f t="shared" ca="1" si="45"/>
        <v>82513</v>
      </c>
      <c r="BB222" s="259">
        <f t="shared" ca="1" si="46"/>
        <v>82513</v>
      </c>
      <c r="BC222" s="259">
        <f t="shared" ca="1" si="47"/>
        <v>1429.6708841029067</v>
      </c>
      <c r="BD222" s="17"/>
    </row>
    <row r="223" spans="5:56" x14ac:dyDescent="0.45">
      <c r="E223" s="214"/>
      <c r="F223" s="17"/>
      <c r="G223" s="17"/>
      <c r="H223" s="214"/>
      <c r="S223" s="38"/>
      <c r="T223" s="39"/>
      <c r="U223" s="39"/>
      <c r="V223" s="39"/>
      <c r="W223" s="39"/>
      <c r="X223" s="39"/>
      <c r="Y223" s="39"/>
      <c r="Z223" s="38"/>
      <c r="AA223" s="38"/>
      <c r="AB223" s="38"/>
      <c r="AC223" s="38"/>
      <c r="AY223" s="23">
        <v>216</v>
      </c>
      <c r="AZ223" s="259">
        <f t="shared" si="44"/>
        <v>73</v>
      </c>
      <c r="BA223" s="259">
        <f t="shared" ca="1" si="45"/>
        <v>83657</v>
      </c>
      <c r="BB223" s="259">
        <f t="shared" ca="1" si="46"/>
        <v>82518</v>
      </c>
      <c r="BC223" s="259">
        <f t="shared" ca="1" si="47"/>
        <v>1574.6708841029067</v>
      </c>
      <c r="BD223" s="17"/>
    </row>
    <row r="224" spans="5:56" x14ac:dyDescent="0.45">
      <c r="E224" s="214"/>
      <c r="F224" s="17"/>
      <c r="G224" s="17"/>
      <c r="H224" s="214"/>
      <c r="S224" s="38"/>
      <c r="T224" s="39"/>
      <c r="U224" s="39"/>
      <c r="V224" s="39"/>
      <c r="W224" s="39"/>
      <c r="X224" s="39"/>
      <c r="Y224" s="39"/>
      <c r="Z224" s="38"/>
      <c r="AA224" s="38"/>
      <c r="AB224" s="38"/>
      <c r="AC224" s="38"/>
      <c r="AY224" s="23">
        <v>217</v>
      </c>
      <c r="AZ224" s="259">
        <f t="shared" si="44"/>
        <v>73</v>
      </c>
      <c r="BA224" s="259">
        <f t="shared" ca="1" si="45"/>
        <v>83657</v>
      </c>
      <c r="BB224" s="259">
        <f t="shared" ca="1" si="46"/>
        <v>83652</v>
      </c>
      <c r="BC224" s="259">
        <f t="shared" ca="1" si="47"/>
        <v>1574.6708841029067</v>
      </c>
      <c r="BD224" s="17"/>
    </row>
    <row r="225" spans="5:56" x14ac:dyDescent="0.45">
      <c r="E225" s="214"/>
      <c r="F225" s="17"/>
      <c r="G225" s="17"/>
      <c r="H225" s="214"/>
      <c r="S225" s="38"/>
      <c r="T225" s="39"/>
      <c r="U225" s="39"/>
      <c r="V225" s="39"/>
      <c r="W225" s="39"/>
      <c r="X225" s="39"/>
      <c r="Y225" s="39"/>
      <c r="Z225" s="38"/>
      <c r="AA225" s="38"/>
      <c r="AB225" s="38"/>
      <c r="AC225" s="38"/>
      <c r="AY225" s="23">
        <v>218</v>
      </c>
      <c r="AZ225" s="259">
        <f t="shared" si="44"/>
        <v>73</v>
      </c>
      <c r="BA225" s="259">
        <f t="shared" ca="1" si="45"/>
        <v>83657</v>
      </c>
      <c r="BB225" s="259">
        <f t="shared" ca="1" si="46"/>
        <v>83657</v>
      </c>
      <c r="BC225" s="259">
        <f t="shared" ca="1" si="47"/>
        <v>1429.6708841029067</v>
      </c>
      <c r="BD225" s="17"/>
    </row>
    <row r="226" spans="5:56" x14ac:dyDescent="0.45">
      <c r="E226" s="214"/>
      <c r="F226" s="17"/>
      <c r="G226" s="17"/>
      <c r="H226" s="214"/>
      <c r="S226" s="38"/>
      <c r="T226" s="39"/>
      <c r="U226" s="39"/>
      <c r="V226" s="39"/>
      <c r="W226" s="39"/>
      <c r="X226" s="39"/>
      <c r="Y226" s="39"/>
      <c r="Z226" s="38"/>
      <c r="AA226" s="38"/>
      <c r="AB226" s="38"/>
      <c r="AC226" s="38"/>
      <c r="AY226" s="23">
        <v>219</v>
      </c>
      <c r="AZ226" s="259">
        <f t="shared" si="44"/>
        <v>74</v>
      </c>
      <c r="BA226" s="259">
        <f t="shared" ca="1" si="45"/>
        <v>84801</v>
      </c>
      <c r="BB226" s="259">
        <f t="shared" ca="1" si="46"/>
        <v>83662</v>
      </c>
      <c r="BC226" s="259">
        <f t="shared" ca="1" si="47"/>
        <v>1574.6708841029067</v>
      </c>
      <c r="BD226" s="17"/>
    </row>
    <row r="227" spans="5:56" x14ac:dyDescent="0.45">
      <c r="E227" s="214"/>
      <c r="F227" s="17"/>
      <c r="G227" s="17"/>
      <c r="H227" s="214"/>
      <c r="S227" s="38"/>
      <c r="T227" s="39"/>
      <c r="U227" s="39"/>
      <c r="V227" s="39"/>
      <c r="W227" s="39"/>
      <c r="X227" s="39"/>
      <c r="Y227" s="39"/>
      <c r="Z227" s="38"/>
      <c r="AA227" s="38"/>
      <c r="AB227" s="38"/>
      <c r="AC227" s="38"/>
      <c r="AY227" s="23">
        <v>220</v>
      </c>
      <c r="AZ227" s="259">
        <f t="shared" si="44"/>
        <v>74</v>
      </c>
      <c r="BA227" s="259">
        <f t="shared" ca="1" si="45"/>
        <v>84801</v>
      </c>
      <c r="BB227" s="259">
        <f t="shared" ca="1" si="46"/>
        <v>84796</v>
      </c>
      <c r="BC227" s="259">
        <f t="shared" ca="1" si="47"/>
        <v>1574.6708841029067</v>
      </c>
      <c r="BD227" s="17"/>
    </row>
    <row r="228" spans="5:56" x14ac:dyDescent="0.45">
      <c r="E228" s="214"/>
      <c r="F228" s="17"/>
      <c r="G228" s="17"/>
      <c r="H228" s="214"/>
      <c r="S228" s="38"/>
      <c r="T228" s="39"/>
      <c r="U228" s="39"/>
      <c r="V228" s="39"/>
      <c r="W228" s="39"/>
      <c r="X228" s="39"/>
      <c r="Y228" s="39"/>
      <c r="Z228" s="38"/>
      <c r="AA228" s="38"/>
      <c r="AB228" s="38"/>
      <c r="AC228" s="38"/>
      <c r="AY228" s="23">
        <v>221</v>
      </c>
      <c r="AZ228" s="259">
        <f t="shared" si="44"/>
        <v>74</v>
      </c>
      <c r="BA228" s="259">
        <f t="shared" ca="1" si="45"/>
        <v>84801</v>
      </c>
      <c r="BB228" s="259">
        <f t="shared" ca="1" si="46"/>
        <v>84801</v>
      </c>
      <c r="BC228" s="259">
        <f t="shared" ca="1" si="47"/>
        <v>1429.6708841029067</v>
      </c>
      <c r="BD228" s="17"/>
    </row>
    <row r="229" spans="5:56" x14ac:dyDescent="0.45">
      <c r="E229" s="214"/>
      <c r="F229" s="17"/>
      <c r="G229" s="17"/>
      <c r="H229" s="214"/>
      <c r="S229" s="38"/>
      <c r="T229" s="39"/>
      <c r="U229" s="39"/>
      <c r="V229" s="39"/>
      <c r="W229" s="39"/>
      <c r="X229" s="39"/>
      <c r="Y229" s="39"/>
      <c r="Z229" s="38"/>
      <c r="AA229" s="38"/>
      <c r="AB229" s="38"/>
      <c r="AC229" s="38"/>
      <c r="AY229" s="23">
        <v>222</v>
      </c>
      <c r="AZ229" s="259">
        <f t="shared" si="44"/>
        <v>75</v>
      </c>
      <c r="BA229" s="259">
        <f t="shared" ca="1" si="45"/>
        <v>85945</v>
      </c>
      <c r="BB229" s="259">
        <f t="shared" ca="1" si="46"/>
        <v>84806</v>
      </c>
      <c r="BC229" s="259">
        <f t="shared" ca="1" si="47"/>
        <v>1574.6708841029067</v>
      </c>
      <c r="BD229" s="17"/>
    </row>
    <row r="230" spans="5:56" x14ac:dyDescent="0.45">
      <c r="T230" s="13"/>
      <c r="U230" s="13"/>
      <c r="X230" s="13"/>
      <c r="AY230" s="23">
        <v>223</v>
      </c>
      <c r="AZ230" s="259">
        <f t="shared" si="44"/>
        <v>75</v>
      </c>
      <c r="BA230" s="259">
        <f t="shared" ca="1" si="45"/>
        <v>85945</v>
      </c>
      <c r="BB230" s="259">
        <f t="shared" ca="1" si="46"/>
        <v>85940</v>
      </c>
      <c r="BC230" s="259">
        <f t="shared" ca="1" si="47"/>
        <v>1574.6708841029067</v>
      </c>
    </row>
    <row r="231" spans="5:56" x14ac:dyDescent="0.45">
      <c r="AY231" s="23">
        <v>224</v>
      </c>
      <c r="AZ231" s="259">
        <f t="shared" si="44"/>
        <v>75</v>
      </c>
      <c r="BA231" s="259">
        <f t="shared" ca="1" si="45"/>
        <v>85945</v>
      </c>
      <c r="BB231" s="259">
        <f t="shared" ca="1" si="46"/>
        <v>85945</v>
      </c>
      <c r="BC231" s="259">
        <f t="shared" ca="1" si="47"/>
        <v>1429.6708841029067</v>
      </c>
    </row>
    <row r="232" spans="5:56" x14ac:dyDescent="0.45">
      <c r="AY232" s="23">
        <v>225</v>
      </c>
      <c r="AZ232" s="259">
        <f t="shared" si="44"/>
        <v>76</v>
      </c>
      <c r="BA232" s="259">
        <f t="shared" ca="1" si="45"/>
        <v>87089</v>
      </c>
      <c r="BB232" s="259">
        <f t="shared" ca="1" si="46"/>
        <v>85950</v>
      </c>
      <c r="BC232" s="259">
        <f t="shared" ca="1" si="47"/>
        <v>1574.6708841029067</v>
      </c>
    </row>
    <row r="233" spans="5:56" x14ac:dyDescent="0.45">
      <c r="AY233" s="23">
        <v>226</v>
      </c>
      <c r="AZ233" s="259">
        <f t="shared" si="44"/>
        <v>76</v>
      </c>
      <c r="BA233" s="259">
        <f t="shared" ca="1" si="45"/>
        <v>87089</v>
      </c>
      <c r="BB233" s="259">
        <f t="shared" ca="1" si="46"/>
        <v>87084</v>
      </c>
      <c r="BC233" s="259">
        <f t="shared" ca="1" si="47"/>
        <v>1574.6708841029067</v>
      </c>
    </row>
    <row r="234" spans="5:56" x14ac:dyDescent="0.45">
      <c r="AY234" s="23">
        <v>227</v>
      </c>
      <c r="AZ234" s="259">
        <f t="shared" si="44"/>
        <v>76</v>
      </c>
      <c r="BA234" s="259">
        <f t="shared" ca="1" si="45"/>
        <v>87089</v>
      </c>
      <c r="BB234" s="259">
        <f t="shared" ca="1" si="46"/>
        <v>87089</v>
      </c>
      <c r="BC234" s="259">
        <f t="shared" ca="1" si="47"/>
        <v>1429.6708841029067</v>
      </c>
    </row>
    <row r="235" spans="5:56" x14ac:dyDescent="0.45">
      <c r="AY235" s="23">
        <v>228</v>
      </c>
      <c r="AZ235" s="259">
        <f t="shared" si="44"/>
        <v>77</v>
      </c>
      <c r="BA235" s="259">
        <f t="shared" ca="1" si="45"/>
        <v>88233</v>
      </c>
      <c r="BB235" s="259">
        <f t="shared" ca="1" si="46"/>
        <v>87094</v>
      </c>
      <c r="BC235" s="259">
        <f t="shared" ca="1" si="47"/>
        <v>1574.6708841029067</v>
      </c>
    </row>
    <row r="236" spans="5:56" x14ac:dyDescent="0.45">
      <c r="AY236" s="23">
        <v>229</v>
      </c>
      <c r="AZ236" s="259">
        <f t="shared" si="44"/>
        <v>77</v>
      </c>
      <c r="BA236" s="259">
        <f t="shared" ca="1" si="45"/>
        <v>88233</v>
      </c>
      <c r="BB236" s="259">
        <f t="shared" ca="1" si="46"/>
        <v>88228</v>
      </c>
      <c r="BC236" s="259">
        <f t="shared" ca="1" si="47"/>
        <v>1574.6708841029067</v>
      </c>
    </row>
    <row r="237" spans="5:56" x14ac:dyDescent="0.45">
      <c r="AY237" s="23">
        <v>230</v>
      </c>
      <c r="AZ237" s="259">
        <f t="shared" si="44"/>
        <v>77</v>
      </c>
      <c r="BA237" s="259">
        <f t="shared" ca="1" si="45"/>
        <v>88233</v>
      </c>
      <c r="BB237" s="259">
        <f t="shared" ca="1" si="46"/>
        <v>88233</v>
      </c>
      <c r="BC237" s="259">
        <f t="shared" ca="1" si="47"/>
        <v>1429.6708841029067</v>
      </c>
    </row>
    <row r="238" spans="5:56" x14ac:dyDescent="0.45">
      <c r="AY238" s="23">
        <v>231</v>
      </c>
      <c r="AZ238" s="259">
        <f t="shared" si="44"/>
        <v>78</v>
      </c>
      <c r="BA238" s="259">
        <f t="shared" ca="1" si="45"/>
        <v>89377</v>
      </c>
      <c r="BB238" s="259">
        <f t="shared" ca="1" si="46"/>
        <v>88238</v>
      </c>
      <c r="BC238" s="259">
        <f t="shared" ca="1" si="47"/>
        <v>1574.6708841029067</v>
      </c>
    </row>
    <row r="239" spans="5:56" x14ac:dyDescent="0.45">
      <c r="AY239" s="23">
        <v>232</v>
      </c>
      <c r="AZ239" s="259">
        <f t="shared" si="44"/>
        <v>78</v>
      </c>
      <c r="BA239" s="259">
        <f t="shared" ca="1" si="45"/>
        <v>89377</v>
      </c>
      <c r="BB239" s="259">
        <f t="shared" ca="1" si="46"/>
        <v>89372</v>
      </c>
      <c r="BC239" s="259">
        <f t="shared" ca="1" si="47"/>
        <v>1574.6708841029067</v>
      </c>
    </row>
    <row r="240" spans="5:56" x14ac:dyDescent="0.45">
      <c r="AY240" s="23">
        <v>233</v>
      </c>
      <c r="AZ240" s="259">
        <f t="shared" si="44"/>
        <v>78</v>
      </c>
      <c r="BA240" s="259">
        <f t="shared" ca="1" si="45"/>
        <v>89377</v>
      </c>
      <c r="BB240" s="259">
        <f t="shared" ca="1" si="46"/>
        <v>89377</v>
      </c>
      <c r="BC240" s="259">
        <f t="shared" ca="1" si="47"/>
        <v>1429.6708841029067</v>
      </c>
    </row>
    <row r="241" spans="51:55" x14ac:dyDescent="0.45">
      <c r="AY241" s="23">
        <v>234</v>
      </c>
      <c r="AZ241" s="259">
        <f t="shared" si="44"/>
        <v>79</v>
      </c>
      <c r="BA241" s="259">
        <f t="shared" ca="1" si="45"/>
        <v>90521</v>
      </c>
      <c r="BB241" s="259">
        <f t="shared" ca="1" si="46"/>
        <v>89382</v>
      </c>
      <c r="BC241" s="259">
        <f t="shared" ca="1" si="47"/>
        <v>1574.6708841029067</v>
      </c>
    </row>
    <row r="242" spans="51:55" x14ac:dyDescent="0.45">
      <c r="AY242" s="23">
        <v>235</v>
      </c>
      <c r="AZ242" s="259">
        <f t="shared" si="44"/>
        <v>79</v>
      </c>
      <c r="BA242" s="259">
        <f t="shared" ca="1" si="45"/>
        <v>90521</v>
      </c>
      <c r="BB242" s="259">
        <f t="shared" ca="1" si="46"/>
        <v>90516</v>
      </c>
      <c r="BC242" s="259">
        <f t="shared" ca="1" si="47"/>
        <v>1574.6708841029067</v>
      </c>
    </row>
    <row r="243" spans="51:55" x14ac:dyDescent="0.45">
      <c r="AY243" s="23">
        <v>236</v>
      </c>
      <c r="AZ243" s="259">
        <f t="shared" si="44"/>
        <v>79</v>
      </c>
      <c r="BA243" s="259">
        <f t="shared" ca="1" si="45"/>
        <v>90521</v>
      </c>
      <c r="BB243" s="259">
        <f t="shared" ca="1" si="46"/>
        <v>90521</v>
      </c>
      <c r="BC243" s="259">
        <f t="shared" ca="1" si="47"/>
        <v>1429.6708841029067</v>
      </c>
    </row>
    <row r="244" spans="51:55" x14ac:dyDescent="0.45">
      <c r="AY244" s="23">
        <v>237</v>
      </c>
      <c r="AZ244" s="259">
        <f t="shared" si="44"/>
        <v>80</v>
      </c>
      <c r="BA244" s="259">
        <f t="shared" ca="1" si="45"/>
        <v>91665</v>
      </c>
      <c r="BB244" s="259">
        <f t="shared" ca="1" si="46"/>
        <v>90526</v>
      </c>
      <c r="BC244" s="259">
        <f t="shared" ca="1" si="47"/>
        <v>1574.6708841029067</v>
      </c>
    </row>
    <row r="245" spans="51:55" x14ac:dyDescent="0.45">
      <c r="AY245" s="23">
        <v>238</v>
      </c>
      <c r="AZ245" s="259">
        <f t="shared" si="44"/>
        <v>80</v>
      </c>
      <c r="BA245" s="259">
        <f t="shared" ca="1" si="45"/>
        <v>91665</v>
      </c>
      <c r="BB245" s="259">
        <f t="shared" ca="1" si="46"/>
        <v>91660</v>
      </c>
      <c r="BC245" s="259">
        <f t="shared" ca="1" si="47"/>
        <v>1574.6708841029067</v>
      </c>
    </row>
    <row r="246" spans="51:55" x14ac:dyDescent="0.45">
      <c r="AY246" s="23">
        <v>239</v>
      </c>
      <c r="AZ246" s="259">
        <f t="shared" si="44"/>
        <v>80</v>
      </c>
      <c r="BA246" s="259">
        <f t="shared" ca="1" si="45"/>
        <v>91665</v>
      </c>
      <c r="BB246" s="259">
        <f t="shared" ca="1" si="46"/>
        <v>91665</v>
      </c>
      <c r="BC246" s="259">
        <f t="shared" ca="1" si="47"/>
        <v>1429.6708841029067</v>
      </c>
    </row>
    <row r="247" spans="51:55" x14ac:dyDescent="0.45">
      <c r="AY247" s="23">
        <v>240</v>
      </c>
      <c r="AZ247" s="259">
        <f t="shared" si="44"/>
        <v>81</v>
      </c>
      <c r="BA247" s="259">
        <f t="shared" ca="1" si="45"/>
        <v>92809</v>
      </c>
      <c r="BB247" s="259">
        <f t="shared" ca="1" si="46"/>
        <v>91670</v>
      </c>
      <c r="BC247" s="259">
        <f t="shared" ca="1" si="47"/>
        <v>1574.6708841029067</v>
      </c>
    </row>
    <row r="248" spans="51:55" x14ac:dyDescent="0.45">
      <c r="AY248" s="23">
        <v>241</v>
      </c>
      <c r="AZ248" s="259">
        <f t="shared" si="44"/>
        <v>81</v>
      </c>
      <c r="BA248" s="259">
        <f t="shared" ca="1" si="45"/>
        <v>92809</v>
      </c>
      <c r="BB248" s="259">
        <f t="shared" ca="1" si="46"/>
        <v>92804</v>
      </c>
      <c r="BC248" s="259">
        <f t="shared" ca="1" si="47"/>
        <v>1574.6708841029067</v>
      </c>
    </row>
    <row r="249" spans="51:55" x14ac:dyDescent="0.45">
      <c r="AY249" s="23">
        <v>242</v>
      </c>
      <c r="AZ249" s="259">
        <f t="shared" si="44"/>
        <v>81</v>
      </c>
      <c r="BA249" s="259">
        <f t="shared" ca="1" si="45"/>
        <v>92809</v>
      </c>
      <c r="BB249" s="259">
        <f t="shared" ca="1" si="46"/>
        <v>92809</v>
      </c>
      <c r="BC249" s="259">
        <f t="shared" ca="1" si="47"/>
        <v>1429.6708841029067</v>
      </c>
    </row>
    <row r="250" spans="51:55" x14ac:dyDescent="0.45">
      <c r="AY250" s="23">
        <v>243</v>
      </c>
      <c r="AZ250" s="259">
        <f t="shared" si="44"/>
        <v>82</v>
      </c>
      <c r="BA250" s="259">
        <f t="shared" ca="1" si="45"/>
        <v>93953</v>
      </c>
      <c r="BB250" s="259">
        <f t="shared" ca="1" si="46"/>
        <v>92814</v>
      </c>
      <c r="BC250" s="259">
        <f t="shared" ca="1" si="47"/>
        <v>1574.6708841029067</v>
      </c>
    </row>
    <row r="251" spans="51:55" x14ac:dyDescent="0.45">
      <c r="AY251" s="23">
        <v>244</v>
      </c>
      <c r="AZ251" s="259">
        <f t="shared" si="44"/>
        <v>82</v>
      </c>
      <c r="BA251" s="259">
        <f t="shared" ca="1" si="45"/>
        <v>93953</v>
      </c>
      <c r="BB251" s="259">
        <f t="shared" ca="1" si="46"/>
        <v>93948</v>
      </c>
      <c r="BC251" s="259">
        <f t="shared" ca="1" si="47"/>
        <v>1574.6708841029067</v>
      </c>
    </row>
    <row r="252" spans="51:55" x14ac:dyDescent="0.45">
      <c r="AY252" s="23">
        <v>245</v>
      </c>
      <c r="AZ252" s="259">
        <f t="shared" si="44"/>
        <v>82</v>
      </c>
      <c r="BA252" s="259">
        <f t="shared" ca="1" si="45"/>
        <v>93953</v>
      </c>
      <c r="BB252" s="259">
        <f t="shared" ca="1" si="46"/>
        <v>93953</v>
      </c>
      <c r="BC252" s="259">
        <f t="shared" ca="1" si="47"/>
        <v>1429.6708841029067</v>
      </c>
    </row>
    <row r="253" spans="51:55" x14ac:dyDescent="0.45">
      <c r="AY253" s="23">
        <v>246</v>
      </c>
      <c r="AZ253" s="259">
        <f t="shared" si="44"/>
        <v>83</v>
      </c>
      <c r="BA253" s="259">
        <f t="shared" ca="1" si="45"/>
        <v>95097</v>
      </c>
      <c r="BB253" s="259">
        <f t="shared" ca="1" si="46"/>
        <v>93958</v>
      </c>
      <c r="BC253" s="259">
        <f t="shared" ca="1" si="47"/>
        <v>1574.6708841029067</v>
      </c>
    </row>
    <row r="254" spans="51:55" x14ac:dyDescent="0.45">
      <c r="AY254" s="23">
        <v>247</v>
      </c>
      <c r="AZ254" s="259">
        <f t="shared" si="44"/>
        <v>83</v>
      </c>
      <c r="BA254" s="259">
        <f t="shared" ca="1" si="45"/>
        <v>95097</v>
      </c>
      <c r="BB254" s="259">
        <f t="shared" ca="1" si="46"/>
        <v>95092</v>
      </c>
      <c r="BC254" s="259">
        <f t="shared" ca="1" si="47"/>
        <v>1574.6708841029067</v>
      </c>
    </row>
    <row r="255" spans="51:55" x14ac:dyDescent="0.45">
      <c r="AY255" s="23">
        <v>248</v>
      </c>
      <c r="AZ255" s="259">
        <f t="shared" si="44"/>
        <v>83</v>
      </c>
      <c r="BA255" s="259">
        <f t="shared" ca="1" si="45"/>
        <v>95097</v>
      </c>
      <c r="BB255" s="259">
        <f t="shared" ca="1" si="46"/>
        <v>95097</v>
      </c>
      <c r="BC255" s="259">
        <f t="shared" ca="1" si="47"/>
        <v>1429.6708841029067</v>
      </c>
    </row>
    <row r="256" spans="51:55" x14ac:dyDescent="0.45">
      <c r="AY256" s="23">
        <v>249</v>
      </c>
      <c r="AZ256" s="259">
        <f t="shared" si="44"/>
        <v>84</v>
      </c>
      <c r="BA256" s="259">
        <f t="shared" ca="1" si="45"/>
        <v>96241</v>
      </c>
      <c r="BB256" s="259">
        <f t="shared" ca="1" si="46"/>
        <v>95102</v>
      </c>
      <c r="BC256" s="259">
        <f t="shared" ca="1" si="47"/>
        <v>1574.6708841029067</v>
      </c>
    </row>
    <row r="257" spans="51:55" x14ac:dyDescent="0.45">
      <c r="AY257" s="23">
        <v>250</v>
      </c>
      <c r="AZ257" s="259">
        <f t="shared" si="44"/>
        <v>84</v>
      </c>
      <c r="BA257" s="259">
        <f t="shared" ca="1" si="45"/>
        <v>96241</v>
      </c>
      <c r="BB257" s="259">
        <f t="shared" ca="1" si="46"/>
        <v>96236</v>
      </c>
      <c r="BC257" s="259">
        <f t="shared" ca="1" si="47"/>
        <v>1574.6708841029067</v>
      </c>
    </row>
    <row r="258" spans="51:55" x14ac:dyDescent="0.45">
      <c r="AY258" s="23">
        <v>251</v>
      </c>
      <c r="AZ258" s="259">
        <f t="shared" si="44"/>
        <v>84</v>
      </c>
      <c r="BA258" s="259">
        <f t="shared" ca="1" si="45"/>
        <v>96241</v>
      </c>
      <c r="BB258" s="259">
        <f t="shared" ca="1" si="46"/>
        <v>96241</v>
      </c>
      <c r="BC258" s="259">
        <f t="shared" ca="1" si="47"/>
        <v>1429.6708841029067</v>
      </c>
    </row>
    <row r="259" spans="51:55" x14ac:dyDescent="0.45">
      <c r="AY259" s="23">
        <v>252</v>
      </c>
      <c r="AZ259" s="259" t="e">
        <f t="shared" si="44"/>
        <v>#N/A</v>
      </c>
      <c r="BA259" s="259" t="e">
        <f t="shared" ca="1" si="45"/>
        <v>#N/A</v>
      </c>
      <c r="BB259" s="259" t="e">
        <f t="shared" ca="1" si="46"/>
        <v>#N/A</v>
      </c>
      <c r="BC259" s="259" t="e">
        <f t="shared" ca="1" si="47"/>
        <v>#N/A</v>
      </c>
    </row>
    <row r="260" spans="51:55" x14ac:dyDescent="0.45">
      <c r="AY260" s="23">
        <v>253</v>
      </c>
      <c r="AZ260" s="259" t="e">
        <f t="shared" si="44"/>
        <v>#N/A</v>
      </c>
      <c r="BA260" s="259" t="e">
        <f t="shared" ca="1" si="45"/>
        <v>#N/A</v>
      </c>
      <c r="BB260" s="259" t="e">
        <f t="shared" ca="1" si="46"/>
        <v>#N/A</v>
      </c>
      <c r="BC260" s="259" t="e">
        <f t="shared" ca="1" si="47"/>
        <v>#N/A</v>
      </c>
    </row>
    <row r="261" spans="51:55" x14ac:dyDescent="0.45">
      <c r="AY261" s="23">
        <v>254</v>
      </c>
      <c r="AZ261" s="259" t="e">
        <f t="shared" si="44"/>
        <v>#N/A</v>
      </c>
      <c r="BA261" s="259" t="e">
        <f t="shared" ca="1" si="45"/>
        <v>#N/A</v>
      </c>
      <c r="BB261" s="259" t="e">
        <f t="shared" ca="1" si="46"/>
        <v>#N/A</v>
      </c>
      <c r="BC261" s="259" t="e">
        <f t="shared" ca="1" si="47"/>
        <v>#N/A</v>
      </c>
    </row>
    <row r="262" spans="51:55" x14ac:dyDescent="0.45">
      <c r="AY262" s="23">
        <v>255</v>
      </c>
      <c r="AZ262" s="259" t="e">
        <f t="shared" si="44"/>
        <v>#N/A</v>
      </c>
      <c r="BA262" s="259" t="e">
        <f t="shared" ca="1" si="45"/>
        <v>#N/A</v>
      </c>
      <c r="BB262" s="259" t="e">
        <f t="shared" ca="1" si="46"/>
        <v>#N/A</v>
      </c>
      <c r="BC262" s="259" t="e">
        <f t="shared" ca="1" si="47"/>
        <v>#N/A</v>
      </c>
    </row>
    <row r="263" spans="51:55" x14ac:dyDescent="0.45">
      <c r="AY263" s="23">
        <v>256</v>
      </c>
      <c r="AZ263" s="259" t="e">
        <f t="shared" si="44"/>
        <v>#N/A</v>
      </c>
      <c r="BA263" s="259" t="e">
        <f t="shared" ca="1" si="45"/>
        <v>#N/A</v>
      </c>
      <c r="BB263" s="259" t="e">
        <f t="shared" ca="1" si="46"/>
        <v>#N/A</v>
      </c>
      <c r="BC263" s="259" t="e">
        <f t="shared" ca="1" si="47"/>
        <v>#N/A</v>
      </c>
    </row>
    <row r="264" spans="51:55" x14ac:dyDescent="0.45">
      <c r="AY264" s="23">
        <v>257</v>
      </c>
      <c r="AZ264" s="259" t="e">
        <f t="shared" si="44"/>
        <v>#N/A</v>
      </c>
      <c r="BA264" s="259" t="e">
        <f t="shared" ca="1" si="45"/>
        <v>#N/A</v>
      </c>
      <c r="BB264" s="259" t="e">
        <f t="shared" ca="1" si="46"/>
        <v>#N/A</v>
      </c>
      <c r="BC264" s="259" t="e">
        <f t="shared" ca="1" si="47"/>
        <v>#N/A</v>
      </c>
    </row>
    <row r="265" spans="51:55" x14ac:dyDescent="0.45">
      <c r="AY265" s="23">
        <v>258</v>
      </c>
      <c r="AZ265" s="259" t="e">
        <f t="shared" si="44"/>
        <v>#N/A</v>
      </c>
      <c r="BA265" s="259" t="e">
        <f t="shared" ca="1" si="45"/>
        <v>#N/A</v>
      </c>
      <c r="BB265" s="259" t="e">
        <f t="shared" ca="1" si="46"/>
        <v>#N/A</v>
      </c>
      <c r="BC265" s="259" t="e">
        <f t="shared" ca="1" si="47"/>
        <v>#N/A</v>
      </c>
    </row>
    <row r="266" spans="51:55" x14ac:dyDescent="0.45">
      <c r="AY266" s="23">
        <v>259</v>
      </c>
      <c r="AZ266" s="259" t="e">
        <f t="shared" si="44"/>
        <v>#N/A</v>
      </c>
      <c r="BA266" s="259" t="e">
        <f t="shared" ca="1" si="45"/>
        <v>#N/A</v>
      </c>
      <c r="BB266" s="259" t="e">
        <f t="shared" ca="1" si="46"/>
        <v>#N/A</v>
      </c>
      <c r="BC266" s="259" t="e">
        <f t="shared" ca="1" si="47"/>
        <v>#N/A</v>
      </c>
    </row>
    <row r="267" spans="51:55" x14ac:dyDescent="0.45">
      <c r="AY267" s="23">
        <v>260</v>
      </c>
      <c r="AZ267" s="259" t="e">
        <f t="shared" si="44"/>
        <v>#N/A</v>
      </c>
      <c r="BA267" s="259" t="e">
        <f t="shared" ca="1" si="45"/>
        <v>#N/A</v>
      </c>
      <c r="BB267" s="259" t="e">
        <f t="shared" ca="1" si="46"/>
        <v>#N/A</v>
      </c>
      <c r="BC267" s="259" t="e">
        <f t="shared" ca="1" si="47"/>
        <v>#N/A</v>
      </c>
    </row>
    <row r="268" spans="51:55" x14ac:dyDescent="0.45">
      <c r="AY268" s="23">
        <v>261</v>
      </c>
      <c r="AZ268" s="259" t="e">
        <f t="shared" si="44"/>
        <v>#N/A</v>
      </c>
      <c r="BA268" s="259" t="e">
        <f t="shared" ca="1" si="45"/>
        <v>#N/A</v>
      </c>
      <c r="BB268" s="259" t="e">
        <f t="shared" ca="1" si="46"/>
        <v>#N/A</v>
      </c>
      <c r="BC268" s="259" t="e">
        <f t="shared" ca="1" si="47"/>
        <v>#N/A</v>
      </c>
    </row>
    <row r="269" spans="51:55" x14ac:dyDescent="0.45">
      <c r="AY269" s="23">
        <v>262</v>
      </c>
      <c r="AZ269" s="259" t="e">
        <f t="shared" si="44"/>
        <v>#N/A</v>
      </c>
      <c r="BA269" s="259" t="e">
        <f t="shared" ca="1" si="45"/>
        <v>#N/A</v>
      </c>
      <c r="BB269" s="259" t="e">
        <f t="shared" ca="1" si="46"/>
        <v>#N/A</v>
      </c>
      <c r="BC269" s="259" t="e">
        <f t="shared" ca="1" si="47"/>
        <v>#N/A</v>
      </c>
    </row>
    <row r="270" spans="51:55" x14ac:dyDescent="0.45">
      <c r="AY270" s="23">
        <v>263</v>
      </c>
      <c r="AZ270" s="259" t="e">
        <f t="shared" ref="AZ270:AZ333" si="48" xml:space="preserve"> IF($AW$6 + ROUNDDOWN(AY270 / 3, 0) &lt; $AX$4, $AW$6 + ROUNDDOWN(AY270 / 3, 0), NA())</f>
        <v>#N/A</v>
      </c>
      <c r="BA270" s="259" t="e">
        <f t="shared" ref="BA270:BA333" ca="1" si="49" xml:space="preserve"> OFFSET($AX$6, AZ270, , ,)</f>
        <v>#N/A</v>
      </c>
      <c r="BB270" s="259" t="e">
        <f t="shared" ref="BB270:BB333" ca="1" si="50" xml:space="preserve"> IF(BA270, IF(MOD(AY270, 3) = 0, BA270 - $AI$11 / 2 - $AI$6, IF(MOD(AY270, 3) = 1, BA270 - $AI$11 / 2, BA270)))</f>
        <v>#N/A</v>
      </c>
      <c r="BC270" s="259" t="e">
        <f t="shared" ref="BC270:BC333" ca="1" si="51" xml:space="preserve"> IF(BA270, IF(MOD(AY270, 3) = 2, $AI$22, $AI$22 + 60 + 50 + 35))</f>
        <v>#N/A</v>
      </c>
    </row>
    <row r="271" spans="51:55" x14ac:dyDescent="0.45">
      <c r="AY271" s="23">
        <v>264</v>
      </c>
      <c r="AZ271" s="259" t="e">
        <f t="shared" si="48"/>
        <v>#N/A</v>
      </c>
      <c r="BA271" s="259" t="e">
        <f t="shared" ca="1" si="49"/>
        <v>#N/A</v>
      </c>
      <c r="BB271" s="259" t="e">
        <f t="shared" ca="1" si="50"/>
        <v>#N/A</v>
      </c>
      <c r="BC271" s="259" t="e">
        <f t="shared" ca="1" si="51"/>
        <v>#N/A</v>
      </c>
    </row>
    <row r="272" spans="51:55" x14ac:dyDescent="0.45">
      <c r="AY272" s="23">
        <v>265</v>
      </c>
      <c r="AZ272" s="259" t="e">
        <f t="shared" si="48"/>
        <v>#N/A</v>
      </c>
      <c r="BA272" s="259" t="e">
        <f t="shared" ca="1" si="49"/>
        <v>#N/A</v>
      </c>
      <c r="BB272" s="259" t="e">
        <f t="shared" ca="1" si="50"/>
        <v>#N/A</v>
      </c>
      <c r="BC272" s="259" t="e">
        <f t="shared" ca="1" si="51"/>
        <v>#N/A</v>
      </c>
    </row>
    <row r="273" spans="51:55" x14ac:dyDescent="0.45">
      <c r="AY273" s="23">
        <v>266</v>
      </c>
      <c r="AZ273" s="259" t="e">
        <f t="shared" si="48"/>
        <v>#N/A</v>
      </c>
      <c r="BA273" s="259" t="e">
        <f t="shared" ca="1" si="49"/>
        <v>#N/A</v>
      </c>
      <c r="BB273" s="259" t="e">
        <f t="shared" ca="1" si="50"/>
        <v>#N/A</v>
      </c>
      <c r="BC273" s="259" t="e">
        <f t="shared" ca="1" si="51"/>
        <v>#N/A</v>
      </c>
    </row>
    <row r="274" spans="51:55" x14ac:dyDescent="0.45">
      <c r="AY274" s="23">
        <v>267</v>
      </c>
      <c r="AZ274" s="259" t="e">
        <f t="shared" si="48"/>
        <v>#N/A</v>
      </c>
      <c r="BA274" s="259" t="e">
        <f t="shared" ca="1" si="49"/>
        <v>#N/A</v>
      </c>
      <c r="BB274" s="259" t="e">
        <f t="shared" ca="1" si="50"/>
        <v>#N/A</v>
      </c>
      <c r="BC274" s="259" t="e">
        <f t="shared" ca="1" si="51"/>
        <v>#N/A</v>
      </c>
    </row>
    <row r="275" spans="51:55" x14ac:dyDescent="0.45">
      <c r="AY275" s="23">
        <v>268</v>
      </c>
      <c r="AZ275" s="259" t="e">
        <f t="shared" si="48"/>
        <v>#N/A</v>
      </c>
      <c r="BA275" s="259" t="e">
        <f t="shared" ca="1" si="49"/>
        <v>#N/A</v>
      </c>
      <c r="BB275" s="259" t="e">
        <f t="shared" ca="1" si="50"/>
        <v>#N/A</v>
      </c>
      <c r="BC275" s="259" t="e">
        <f t="shared" ca="1" si="51"/>
        <v>#N/A</v>
      </c>
    </row>
    <row r="276" spans="51:55" x14ac:dyDescent="0.45">
      <c r="AY276" s="23">
        <v>269</v>
      </c>
      <c r="AZ276" s="259" t="e">
        <f t="shared" si="48"/>
        <v>#N/A</v>
      </c>
      <c r="BA276" s="259" t="e">
        <f t="shared" ca="1" si="49"/>
        <v>#N/A</v>
      </c>
      <c r="BB276" s="259" t="e">
        <f t="shared" ca="1" si="50"/>
        <v>#N/A</v>
      </c>
      <c r="BC276" s="259" t="e">
        <f t="shared" ca="1" si="51"/>
        <v>#N/A</v>
      </c>
    </row>
    <row r="277" spans="51:55" x14ac:dyDescent="0.45">
      <c r="AY277" s="23">
        <v>270</v>
      </c>
      <c r="AZ277" s="259" t="e">
        <f t="shared" si="48"/>
        <v>#N/A</v>
      </c>
      <c r="BA277" s="259" t="e">
        <f t="shared" ca="1" si="49"/>
        <v>#N/A</v>
      </c>
      <c r="BB277" s="259" t="e">
        <f t="shared" ca="1" si="50"/>
        <v>#N/A</v>
      </c>
      <c r="BC277" s="259" t="e">
        <f t="shared" ca="1" si="51"/>
        <v>#N/A</v>
      </c>
    </row>
    <row r="278" spans="51:55" x14ac:dyDescent="0.45">
      <c r="AY278" s="23">
        <v>271</v>
      </c>
      <c r="AZ278" s="259" t="e">
        <f t="shared" si="48"/>
        <v>#N/A</v>
      </c>
      <c r="BA278" s="259" t="e">
        <f t="shared" ca="1" si="49"/>
        <v>#N/A</v>
      </c>
      <c r="BB278" s="259" t="e">
        <f t="shared" ca="1" si="50"/>
        <v>#N/A</v>
      </c>
      <c r="BC278" s="259" t="e">
        <f t="shared" ca="1" si="51"/>
        <v>#N/A</v>
      </c>
    </row>
    <row r="279" spans="51:55" x14ac:dyDescent="0.45">
      <c r="AY279" s="23">
        <v>272</v>
      </c>
      <c r="AZ279" s="259" t="e">
        <f t="shared" si="48"/>
        <v>#N/A</v>
      </c>
      <c r="BA279" s="259" t="e">
        <f t="shared" ca="1" si="49"/>
        <v>#N/A</v>
      </c>
      <c r="BB279" s="259" t="e">
        <f t="shared" ca="1" si="50"/>
        <v>#N/A</v>
      </c>
      <c r="BC279" s="259" t="e">
        <f t="shared" ca="1" si="51"/>
        <v>#N/A</v>
      </c>
    </row>
    <row r="280" spans="51:55" x14ac:dyDescent="0.45">
      <c r="AY280" s="23">
        <v>273</v>
      </c>
      <c r="AZ280" s="259" t="e">
        <f t="shared" si="48"/>
        <v>#N/A</v>
      </c>
      <c r="BA280" s="259" t="e">
        <f t="shared" ca="1" si="49"/>
        <v>#N/A</v>
      </c>
      <c r="BB280" s="259" t="e">
        <f t="shared" ca="1" si="50"/>
        <v>#N/A</v>
      </c>
      <c r="BC280" s="259" t="e">
        <f t="shared" ca="1" si="51"/>
        <v>#N/A</v>
      </c>
    </row>
    <row r="281" spans="51:55" x14ac:dyDescent="0.45">
      <c r="AY281" s="23">
        <v>274</v>
      </c>
      <c r="AZ281" s="259" t="e">
        <f t="shared" si="48"/>
        <v>#N/A</v>
      </c>
      <c r="BA281" s="259" t="e">
        <f t="shared" ca="1" si="49"/>
        <v>#N/A</v>
      </c>
      <c r="BB281" s="259" t="e">
        <f t="shared" ca="1" si="50"/>
        <v>#N/A</v>
      </c>
      <c r="BC281" s="259" t="e">
        <f t="shared" ca="1" si="51"/>
        <v>#N/A</v>
      </c>
    </row>
    <row r="282" spans="51:55" x14ac:dyDescent="0.45">
      <c r="AY282" s="23">
        <v>275</v>
      </c>
      <c r="AZ282" s="259" t="e">
        <f t="shared" si="48"/>
        <v>#N/A</v>
      </c>
      <c r="BA282" s="259" t="e">
        <f t="shared" ca="1" si="49"/>
        <v>#N/A</v>
      </c>
      <c r="BB282" s="259" t="e">
        <f t="shared" ca="1" si="50"/>
        <v>#N/A</v>
      </c>
      <c r="BC282" s="259" t="e">
        <f t="shared" ca="1" si="51"/>
        <v>#N/A</v>
      </c>
    </row>
    <row r="283" spans="51:55" x14ac:dyDescent="0.45">
      <c r="AY283" s="23">
        <v>276</v>
      </c>
      <c r="AZ283" s="259" t="e">
        <f t="shared" si="48"/>
        <v>#N/A</v>
      </c>
      <c r="BA283" s="259" t="e">
        <f t="shared" ca="1" si="49"/>
        <v>#N/A</v>
      </c>
      <c r="BB283" s="259" t="e">
        <f t="shared" ca="1" si="50"/>
        <v>#N/A</v>
      </c>
      <c r="BC283" s="259" t="e">
        <f t="shared" ca="1" si="51"/>
        <v>#N/A</v>
      </c>
    </row>
    <row r="284" spans="51:55" x14ac:dyDescent="0.45">
      <c r="AY284" s="23">
        <v>277</v>
      </c>
      <c r="AZ284" s="259" t="e">
        <f t="shared" si="48"/>
        <v>#N/A</v>
      </c>
      <c r="BA284" s="259" t="e">
        <f t="shared" ca="1" si="49"/>
        <v>#N/A</v>
      </c>
      <c r="BB284" s="259" t="e">
        <f t="shared" ca="1" si="50"/>
        <v>#N/A</v>
      </c>
      <c r="BC284" s="259" t="e">
        <f t="shared" ca="1" si="51"/>
        <v>#N/A</v>
      </c>
    </row>
    <row r="285" spans="51:55" x14ac:dyDescent="0.45">
      <c r="AY285" s="23">
        <v>278</v>
      </c>
      <c r="AZ285" s="259" t="e">
        <f t="shared" si="48"/>
        <v>#N/A</v>
      </c>
      <c r="BA285" s="259" t="e">
        <f t="shared" ca="1" si="49"/>
        <v>#N/A</v>
      </c>
      <c r="BB285" s="259" t="e">
        <f t="shared" ca="1" si="50"/>
        <v>#N/A</v>
      </c>
      <c r="BC285" s="259" t="e">
        <f t="shared" ca="1" si="51"/>
        <v>#N/A</v>
      </c>
    </row>
    <row r="286" spans="51:55" x14ac:dyDescent="0.45">
      <c r="AY286" s="23">
        <v>279</v>
      </c>
      <c r="AZ286" s="259" t="e">
        <f t="shared" si="48"/>
        <v>#N/A</v>
      </c>
      <c r="BA286" s="259" t="e">
        <f t="shared" ca="1" si="49"/>
        <v>#N/A</v>
      </c>
      <c r="BB286" s="259" t="e">
        <f t="shared" ca="1" si="50"/>
        <v>#N/A</v>
      </c>
      <c r="BC286" s="259" t="e">
        <f t="shared" ca="1" si="51"/>
        <v>#N/A</v>
      </c>
    </row>
    <row r="287" spans="51:55" x14ac:dyDescent="0.45">
      <c r="AY287" s="23">
        <v>280</v>
      </c>
      <c r="AZ287" s="259" t="e">
        <f t="shared" si="48"/>
        <v>#N/A</v>
      </c>
      <c r="BA287" s="259" t="e">
        <f t="shared" ca="1" si="49"/>
        <v>#N/A</v>
      </c>
      <c r="BB287" s="259" t="e">
        <f t="shared" ca="1" si="50"/>
        <v>#N/A</v>
      </c>
      <c r="BC287" s="259" t="e">
        <f t="shared" ca="1" si="51"/>
        <v>#N/A</v>
      </c>
    </row>
    <row r="288" spans="51:55" x14ac:dyDescent="0.45">
      <c r="AY288" s="23">
        <v>281</v>
      </c>
      <c r="AZ288" s="259" t="e">
        <f t="shared" si="48"/>
        <v>#N/A</v>
      </c>
      <c r="BA288" s="259" t="e">
        <f t="shared" ca="1" si="49"/>
        <v>#N/A</v>
      </c>
      <c r="BB288" s="259" t="e">
        <f t="shared" ca="1" si="50"/>
        <v>#N/A</v>
      </c>
      <c r="BC288" s="259" t="e">
        <f t="shared" ca="1" si="51"/>
        <v>#N/A</v>
      </c>
    </row>
    <row r="289" spans="51:55" x14ac:dyDescent="0.45">
      <c r="AY289" s="23">
        <v>282</v>
      </c>
      <c r="AZ289" s="259" t="e">
        <f t="shared" si="48"/>
        <v>#N/A</v>
      </c>
      <c r="BA289" s="259" t="e">
        <f t="shared" ca="1" si="49"/>
        <v>#N/A</v>
      </c>
      <c r="BB289" s="259" t="e">
        <f t="shared" ca="1" si="50"/>
        <v>#N/A</v>
      </c>
      <c r="BC289" s="259" t="e">
        <f t="shared" ca="1" si="51"/>
        <v>#N/A</v>
      </c>
    </row>
    <row r="290" spans="51:55" x14ac:dyDescent="0.45">
      <c r="AY290" s="23">
        <v>283</v>
      </c>
      <c r="AZ290" s="259" t="e">
        <f t="shared" si="48"/>
        <v>#N/A</v>
      </c>
      <c r="BA290" s="259" t="e">
        <f t="shared" ca="1" si="49"/>
        <v>#N/A</v>
      </c>
      <c r="BB290" s="259" t="e">
        <f t="shared" ca="1" si="50"/>
        <v>#N/A</v>
      </c>
      <c r="BC290" s="259" t="e">
        <f t="shared" ca="1" si="51"/>
        <v>#N/A</v>
      </c>
    </row>
    <row r="291" spans="51:55" x14ac:dyDescent="0.45">
      <c r="AY291" s="23">
        <v>284</v>
      </c>
      <c r="AZ291" s="259" t="e">
        <f t="shared" si="48"/>
        <v>#N/A</v>
      </c>
      <c r="BA291" s="259" t="e">
        <f t="shared" ca="1" si="49"/>
        <v>#N/A</v>
      </c>
      <c r="BB291" s="259" t="e">
        <f t="shared" ca="1" si="50"/>
        <v>#N/A</v>
      </c>
      <c r="BC291" s="259" t="e">
        <f t="shared" ca="1" si="51"/>
        <v>#N/A</v>
      </c>
    </row>
    <row r="292" spans="51:55" x14ac:dyDescent="0.45">
      <c r="AY292" s="23">
        <v>285</v>
      </c>
      <c r="AZ292" s="259" t="e">
        <f t="shared" si="48"/>
        <v>#N/A</v>
      </c>
      <c r="BA292" s="259" t="e">
        <f t="shared" ca="1" si="49"/>
        <v>#N/A</v>
      </c>
      <c r="BB292" s="259" t="e">
        <f t="shared" ca="1" si="50"/>
        <v>#N/A</v>
      </c>
      <c r="BC292" s="259" t="e">
        <f t="shared" ca="1" si="51"/>
        <v>#N/A</v>
      </c>
    </row>
    <row r="293" spans="51:55" x14ac:dyDescent="0.45">
      <c r="AY293" s="23">
        <v>286</v>
      </c>
      <c r="AZ293" s="259" t="e">
        <f t="shared" si="48"/>
        <v>#N/A</v>
      </c>
      <c r="BA293" s="259" t="e">
        <f t="shared" ca="1" si="49"/>
        <v>#N/A</v>
      </c>
      <c r="BB293" s="259" t="e">
        <f t="shared" ca="1" si="50"/>
        <v>#N/A</v>
      </c>
      <c r="BC293" s="259" t="e">
        <f t="shared" ca="1" si="51"/>
        <v>#N/A</v>
      </c>
    </row>
    <row r="294" spans="51:55" x14ac:dyDescent="0.45">
      <c r="AY294" s="23">
        <v>287</v>
      </c>
      <c r="AZ294" s="259" t="e">
        <f t="shared" si="48"/>
        <v>#N/A</v>
      </c>
      <c r="BA294" s="259" t="e">
        <f t="shared" ca="1" si="49"/>
        <v>#N/A</v>
      </c>
      <c r="BB294" s="259" t="e">
        <f t="shared" ca="1" si="50"/>
        <v>#N/A</v>
      </c>
      <c r="BC294" s="259" t="e">
        <f t="shared" ca="1" si="51"/>
        <v>#N/A</v>
      </c>
    </row>
    <row r="295" spans="51:55" x14ac:dyDescent="0.45">
      <c r="AY295" s="23">
        <v>288</v>
      </c>
      <c r="AZ295" s="259" t="e">
        <f t="shared" si="48"/>
        <v>#N/A</v>
      </c>
      <c r="BA295" s="259" t="e">
        <f t="shared" ca="1" si="49"/>
        <v>#N/A</v>
      </c>
      <c r="BB295" s="259" t="e">
        <f t="shared" ca="1" si="50"/>
        <v>#N/A</v>
      </c>
      <c r="BC295" s="259" t="e">
        <f t="shared" ca="1" si="51"/>
        <v>#N/A</v>
      </c>
    </row>
    <row r="296" spans="51:55" x14ac:dyDescent="0.45">
      <c r="AY296" s="23">
        <v>289</v>
      </c>
      <c r="AZ296" s="259" t="e">
        <f t="shared" si="48"/>
        <v>#N/A</v>
      </c>
      <c r="BA296" s="259" t="e">
        <f t="shared" ca="1" si="49"/>
        <v>#N/A</v>
      </c>
      <c r="BB296" s="259" t="e">
        <f t="shared" ca="1" si="50"/>
        <v>#N/A</v>
      </c>
      <c r="BC296" s="259" t="e">
        <f t="shared" ca="1" si="51"/>
        <v>#N/A</v>
      </c>
    </row>
    <row r="297" spans="51:55" x14ac:dyDescent="0.45">
      <c r="AY297" s="23">
        <v>290</v>
      </c>
      <c r="AZ297" s="259" t="e">
        <f t="shared" si="48"/>
        <v>#N/A</v>
      </c>
      <c r="BA297" s="259" t="e">
        <f t="shared" ca="1" si="49"/>
        <v>#N/A</v>
      </c>
      <c r="BB297" s="259" t="e">
        <f t="shared" ca="1" si="50"/>
        <v>#N/A</v>
      </c>
      <c r="BC297" s="259" t="e">
        <f t="shared" ca="1" si="51"/>
        <v>#N/A</v>
      </c>
    </row>
    <row r="298" spans="51:55" x14ac:dyDescent="0.45">
      <c r="AY298" s="23">
        <v>291</v>
      </c>
      <c r="AZ298" s="259" t="e">
        <f t="shared" si="48"/>
        <v>#N/A</v>
      </c>
      <c r="BA298" s="259" t="e">
        <f t="shared" ca="1" si="49"/>
        <v>#N/A</v>
      </c>
      <c r="BB298" s="259" t="e">
        <f t="shared" ca="1" si="50"/>
        <v>#N/A</v>
      </c>
      <c r="BC298" s="259" t="e">
        <f t="shared" ca="1" si="51"/>
        <v>#N/A</v>
      </c>
    </row>
    <row r="299" spans="51:55" x14ac:dyDescent="0.45">
      <c r="AY299" s="23">
        <v>292</v>
      </c>
      <c r="AZ299" s="259" t="e">
        <f t="shared" si="48"/>
        <v>#N/A</v>
      </c>
      <c r="BA299" s="259" t="e">
        <f t="shared" ca="1" si="49"/>
        <v>#N/A</v>
      </c>
      <c r="BB299" s="259" t="e">
        <f t="shared" ca="1" si="50"/>
        <v>#N/A</v>
      </c>
      <c r="BC299" s="259" t="e">
        <f t="shared" ca="1" si="51"/>
        <v>#N/A</v>
      </c>
    </row>
    <row r="300" spans="51:55" x14ac:dyDescent="0.45">
      <c r="AY300" s="23">
        <v>293</v>
      </c>
      <c r="AZ300" s="259" t="e">
        <f t="shared" si="48"/>
        <v>#N/A</v>
      </c>
      <c r="BA300" s="259" t="e">
        <f t="shared" ca="1" si="49"/>
        <v>#N/A</v>
      </c>
      <c r="BB300" s="259" t="e">
        <f t="shared" ca="1" si="50"/>
        <v>#N/A</v>
      </c>
      <c r="BC300" s="259" t="e">
        <f t="shared" ca="1" si="51"/>
        <v>#N/A</v>
      </c>
    </row>
    <row r="301" spans="51:55" x14ac:dyDescent="0.45">
      <c r="AY301" s="23">
        <v>294</v>
      </c>
      <c r="AZ301" s="259" t="e">
        <f t="shared" si="48"/>
        <v>#N/A</v>
      </c>
      <c r="BA301" s="259" t="e">
        <f t="shared" ca="1" si="49"/>
        <v>#N/A</v>
      </c>
      <c r="BB301" s="259" t="e">
        <f t="shared" ca="1" si="50"/>
        <v>#N/A</v>
      </c>
      <c r="BC301" s="259" t="e">
        <f t="shared" ca="1" si="51"/>
        <v>#N/A</v>
      </c>
    </row>
    <row r="302" spans="51:55" x14ac:dyDescent="0.45">
      <c r="AY302" s="23">
        <v>295</v>
      </c>
      <c r="AZ302" s="259" t="e">
        <f t="shared" si="48"/>
        <v>#N/A</v>
      </c>
      <c r="BA302" s="259" t="e">
        <f t="shared" ca="1" si="49"/>
        <v>#N/A</v>
      </c>
      <c r="BB302" s="259" t="e">
        <f t="shared" ca="1" si="50"/>
        <v>#N/A</v>
      </c>
      <c r="BC302" s="259" t="e">
        <f t="shared" ca="1" si="51"/>
        <v>#N/A</v>
      </c>
    </row>
    <row r="303" spans="51:55" x14ac:dyDescent="0.45">
      <c r="AY303" s="23">
        <v>296</v>
      </c>
      <c r="AZ303" s="259" t="e">
        <f t="shared" si="48"/>
        <v>#N/A</v>
      </c>
      <c r="BA303" s="259" t="e">
        <f t="shared" ca="1" si="49"/>
        <v>#N/A</v>
      </c>
      <c r="BB303" s="259" t="e">
        <f t="shared" ca="1" si="50"/>
        <v>#N/A</v>
      </c>
      <c r="BC303" s="259" t="e">
        <f t="shared" ca="1" si="51"/>
        <v>#N/A</v>
      </c>
    </row>
    <row r="304" spans="51:55" x14ac:dyDescent="0.45">
      <c r="AY304" s="23">
        <v>297</v>
      </c>
      <c r="AZ304" s="259" t="e">
        <f t="shared" si="48"/>
        <v>#N/A</v>
      </c>
      <c r="BA304" s="259" t="e">
        <f t="shared" ca="1" si="49"/>
        <v>#N/A</v>
      </c>
      <c r="BB304" s="259" t="e">
        <f t="shared" ca="1" si="50"/>
        <v>#N/A</v>
      </c>
      <c r="BC304" s="259" t="e">
        <f t="shared" ca="1" si="51"/>
        <v>#N/A</v>
      </c>
    </row>
    <row r="305" spans="51:55" x14ac:dyDescent="0.45">
      <c r="AY305" s="23">
        <v>298</v>
      </c>
      <c r="AZ305" s="259" t="e">
        <f t="shared" si="48"/>
        <v>#N/A</v>
      </c>
      <c r="BA305" s="259" t="e">
        <f t="shared" ca="1" si="49"/>
        <v>#N/A</v>
      </c>
      <c r="BB305" s="259" t="e">
        <f t="shared" ca="1" si="50"/>
        <v>#N/A</v>
      </c>
      <c r="BC305" s="259" t="e">
        <f t="shared" ca="1" si="51"/>
        <v>#N/A</v>
      </c>
    </row>
    <row r="306" spans="51:55" x14ac:dyDescent="0.45">
      <c r="AY306" s="23">
        <v>299</v>
      </c>
      <c r="AZ306" s="259" t="e">
        <f t="shared" si="48"/>
        <v>#N/A</v>
      </c>
      <c r="BA306" s="259" t="e">
        <f t="shared" ca="1" si="49"/>
        <v>#N/A</v>
      </c>
      <c r="BB306" s="259" t="e">
        <f t="shared" ca="1" si="50"/>
        <v>#N/A</v>
      </c>
      <c r="BC306" s="259" t="e">
        <f t="shared" ca="1" si="51"/>
        <v>#N/A</v>
      </c>
    </row>
    <row r="307" spans="51:55" x14ac:dyDescent="0.45">
      <c r="AY307" s="23">
        <v>300</v>
      </c>
      <c r="AZ307" s="259" t="e">
        <f t="shared" si="48"/>
        <v>#N/A</v>
      </c>
      <c r="BA307" s="259" t="e">
        <f t="shared" ca="1" si="49"/>
        <v>#N/A</v>
      </c>
      <c r="BB307" s="259" t="e">
        <f t="shared" ca="1" si="50"/>
        <v>#N/A</v>
      </c>
      <c r="BC307" s="259" t="e">
        <f t="shared" ca="1" si="51"/>
        <v>#N/A</v>
      </c>
    </row>
    <row r="308" spans="51:55" x14ac:dyDescent="0.45">
      <c r="AY308" s="23">
        <v>301</v>
      </c>
      <c r="AZ308" s="259" t="e">
        <f t="shared" si="48"/>
        <v>#N/A</v>
      </c>
      <c r="BA308" s="259" t="e">
        <f t="shared" ca="1" si="49"/>
        <v>#N/A</v>
      </c>
      <c r="BB308" s="259" t="e">
        <f t="shared" ca="1" si="50"/>
        <v>#N/A</v>
      </c>
      <c r="BC308" s="259" t="e">
        <f t="shared" ca="1" si="51"/>
        <v>#N/A</v>
      </c>
    </row>
    <row r="309" spans="51:55" x14ac:dyDescent="0.45">
      <c r="AY309" s="23">
        <v>302</v>
      </c>
      <c r="AZ309" s="259" t="e">
        <f t="shared" si="48"/>
        <v>#N/A</v>
      </c>
      <c r="BA309" s="259" t="e">
        <f t="shared" ca="1" si="49"/>
        <v>#N/A</v>
      </c>
      <c r="BB309" s="259" t="e">
        <f t="shared" ca="1" si="50"/>
        <v>#N/A</v>
      </c>
      <c r="BC309" s="259" t="e">
        <f t="shared" ca="1" si="51"/>
        <v>#N/A</v>
      </c>
    </row>
    <row r="310" spans="51:55" x14ac:dyDescent="0.45">
      <c r="AY310" s="23">
        <v>303</v>
      </c>
      <c r="AZ310" s="259" t="e">
        <f t="shared" si="48"/>
        <v>#N/A</v>
      </c>
      <c r="BA310" s="259" t="e">
        <f t="shared" ca="1" si="49"/>
        <v>#N/A</v>
      </c>
      <c r="BB310" s="259" t="e">
        <f t="shared" ca="1" si="50"/>
        <v>#N/A</v>
      </c>
      <c r="BC310" s="259" t="e">
        <f t="shared" ca="1" si="51"/>
        <v>#N/A</v>
      </c>
    </row>
    <row r="311" spans="51:55" x14ac:dyDescent="0.45">
      <c r="AY311" s="23">
        <v>304</v>
      </c>
      <c r="AZ311" s="259" t="e">
        <f t="shared" si="48"/>
        <v>#N/A</v>
      </c>
      <c r="BA311" s="259" t="e">
        <f t="shared" ca="1" si="49"/>
        <v>#N/A</v>
      </c>
      <c r="BB311" s="259" t="e">
        <f t="shared" ca="1" si="50"/>
        <v>#N/A</v>
      </c>
      <c r="BC311" s="259" t="e">
        <f t="shared" ca="1" si="51"/>
        <v>#N/A</v>
      </c>
    </row>
    <row r="312" spans="51:55" x14ac:dyDescent="0.45">
      <c r="AY312" s="23">
        <v>305</v>
      </c>
      <c r="AZ312" s="259" t="e">
        <f t="shared" si="48"/>
        <v>#N/A</v>
      </c>
      <c r="BA312" s="259" t="e">
        <f t="shared" ca="1" si="49"/>
        <v>#N/A</v>
      </c>
      <c r="BB312" s="259" t="e">
        <f t="shared" ca="1" si="50"/>
        <v>#N/A</v>
      </c>
      <c r="BC312" s="259" t="e">
        <f t="shared" ca="1" si="51"/>
        <v>#N/A</v>
      </c>
    </row>
    <row r="313" spans="51:55" x14ac:dyDescent="0.45">
      <c r="AY313" s="23">
        <v>306</v>
      </c>
      <c r="AZ313" s="259" t="e">
        <f t="shared" si="48"/>
        <v>#N/A</v>
      </c>
      <c r="BA313" s="259" t="e">
        <f t="shared" ca="1" si="49"/>
        <v>#N/A</v>
      </c>
      <c r="BB313" s="259" t="e">
        <f t="shared" ca="1" si="50"/>
        <v>#N/A</v>
      </c>
      <c r="BC313" s="259" t="e">
        <f t="shared" ca="1" si="51"/>
        <v>#N/A</v>
      </c>
    </row>
    <row r="314" spans="51:55" x14ac:dyDescent="0.45">
      <c r="AY314" s="23">
        <v>307</v>
      </c>
      <c r="AZ314" s="259" t="e">
        <f t="shared" si="48"/>
        <v>#N/A</v>
      </c>
      <c r="BA314" s="259" t="e">
        <f t="shared" ca="1" si="49"/>
        <v>#N/A</v>
      </c>
      <c r="BB314" s="259" t="e">
        <f t="shared" ca="1" si="50"/>
        <v>#N/A</v>
      </c>
      <c r="BC314" s="259" t="e">
        <f t="shared" ca="1" si="51"/>
        <v>#N/A</v>
      </c>
    </row>
    <row r="315" spans="51:55" x14ac:dyDescent="0.45">
      <c r="AY315" s="23">
        <v>308</v>
      </c>
      <c r="AZ315" s="259" t="e">
        <f t="shared" si="48"/>
        <v>#N/A</v>
      </c>
      <c r="BA315" s="259" t="e">
        <f t="shared" ca="1" si="49"/>
        <v>#N/A</v>
      </c>
      <c r="BB315" s="259" t="e">
        <f t="shared" ca="1" si="50"/>
        <v>#N/A</v>
      </c>
      <c r="BC315" s="259" t="e">
        <f t="shared" ca="1" si="51"/>
        <v>#N/A</v>
      </c>
    </row>
    <row r="316" spans="51:55" x14ac:dyDescent="0.45">
      <c r="AY316" s="23">
        <v>309</v>
      </c>
      <c r="AZ316" s="259" t="e">
        <f t="shared" si="48"/>
        <v>#N/A</v>
      </c>
      <c r="BA316" s="259" t="e">
        <f t="shared" ca="1" si="49"/>
        <v>#N/A</v>
      </c>
      <c r="BB316" s="259" t="e">
        <f t="shared" ca="1" si="50"/>
        <v>#N/A</v>
      </c>
      <c r="BC316" s="259" t="e">
        <f t="shared" ca="1" si="51"/>
        <v>#N/A</v>
      </c>
    </row>
    <row r="317" spans="51:55" x14ac:dyDescent="0.45">
      <c r="AY317" s="23">
        <v>310</v>
      </c>
      <c r="AZ317" s="259" t="e">
        <f t="shared" si="48"/>
        <v>#N/A</v>
      </c>
      <c r="BA317" s="259" t="e">
        <f t="shared" ca="1" si="49"/>
        <v>#N/A</v>
      </c>
      <c r="BB317" s="259" t="e">
        <f t="shared" ca="1" si="50"/>
        <v>#N/A</v>
      </c>
      <c r="BC317" s="259" t="e">
        <f t="shared" ca="1" si="51"/>
        <v>#N/A</v>
      </c>
    </row>
    <row r="318" spans="51:55" x14ac:dyDescent="0.45">
      <c r="AY318" s="23">
        <v>311</v>
      </c>
      <c r="AZ318" s="259" t="e">
        <f t="shared" si="48"/>
        <v>#N/A</v>
      </c>
      <c r="BA318" s="259" t="e">
        <f t="shared" ca="1" si="49"/>
        <v>#N/A</v>
      </c>
      <c r="BB318" s="259" t="e">
        <f t="shared" ca="1" si="50"/>
        <v>#N/A</v>
      </c>
      <c r="BC318" s="259" t="e">
        <f t="shared" ca="1" si="51"/>
        <v>#N/A</v>
      </c>
    </row>
    <row r="319" spans="51:55" x14ac:dyDescent="0.45">
      <c r="AY319" s="23">
        <v>312</v>
      </c>
      <c r="AZ319" s="259" t="e">
        <f t="shared" si="48"/>
        <v>#N/A</v>
      </c>
      <c r="BA319" s="259" t="e">
        <f t="shared" ca="1" si="49"/>
        <v>#N/A</v>
      </c>
      <c r="BB319" s="259" t="e">
        <f t="shared" ca="1" si="50"/>
        <v>#N/A</v>
      </c>
      <c r="BC319" s="259" t="e">
        <f t="shared" ca="1" si="51"/>
        <v>#N/A</v>
      </c>
    </row>
    <row r="320" spans="51:55" x14ac:dyDescent="0.45">
      <c r="AY320" s="23">
        <v>313</v>
      </c>
      <c r="AZ320" s="259" t="e">
        <f t="shared" si="48"/>
        <v>#N/A</v>
      </c>
      <c r="BA320" s="259" t="e">
        <f t="shared" ca="1" si="49"/>
        <v>#N/A</v>
      </c>
      <c r="BB320" s="259" t="e">
        <f t="shared" ca="1" si="50"/>
        <v>#N/A</v>
      </c>
      <c r="BC320" s="259" t="e">
        <f t="shared" ca="1" si="51"/>
        <v>#N/A</v>
      </c>
    </row>
    <row r="321" spans="51:55" x14ac:dyDescent="0.45">
      <c r="AY321" s="23">
        <v>314</v>
      </c>
      <c r="AZ321" s="259" t="e">
        <f t="shared" si="48"/>
        <v>#N/A</v>
      </c>
      <c r="BA321" s="259" t="e">
        <f t="shared" ca="1" si="49"/>
        <v>#N/A</v>
      </c>
      <c r="BB321" s="259" t="e">
        <f t="shared" ca="1" si="50"/>
        <v>#N/A</v>
      </c>
      <c r="BC321" s="259" t="e">
        <f t="shared" ca="1" si="51"/>
        <v>#N/A</v>
      </c>
    </row>
    <row r="322" spans="51:55" x14ac:dyDescent="0.45">
      <c r="AY322" s="23">
        <v>315</v>
      </c>
      <c r="AZ322" s="259" t="e">
        <f t="shared" si="48"/>
        <v>#N/A</v>
      </c>
      <c r="BA322" s="259" t="e">
        <f t="shared" ca="1" si="49"/>
        <v>#N/A</v>
      </c>
      <c r="BB322" s="259" t="e">
        <f t="shared" ca="1" si="50"/>
        <v>#N/A</v>
      </c>
      <c r="BC322" s="259" t="e">
        <f t="shared" ca="1" si="51"/>
        <v>#N/A</v>
      </c>
    </row>
    <row r="323" spans="51:55" x14ac:dyDescent="0.45">
      <c r="AY323" s="23">
        <v>316</v>
      </c>
      <c r="AZ323" s="259" t="e">
        <f t="shared" si="48"/>
        <v>#N/A</v>
      </c>
      <c r="BA323" s="259" t="e">
        <f t="shared" ca="1" si="49"/>
        <v>#N/A</v>
      </c>
      <c r="BB323" s="259" t="e">
        <f t="shared" ca="1" si="50"/>
        <v>#N/A</v>
      </c>
      <c r="BC323" s="259" t="e">
        <f t="shared" ca="1" si="51"/>
        <v>#N/A</v>
      </c>
    </row>
    <row r="324" spans="51:55" x14ac:dyDescent="0.45">
      <c r="AY324" s="23">
        <v>317</v>
      </c>
      <c r="AZ324" s="259" t="e">
        <f t="shared" si="48"/>
        <v>#N/A</v>
      </c>
      <c r="BA324" s="259" t="e">
        <f t="shared" ca="1" si="49"/>
        <v>#N/A</v>
      </c>
      <c r="BB324" s="259" t="e">
        <f t="shared" ca="1" si="50"/>
        <v>#N/A</v>
      </c>
      <c r="BC324" s="259" t="e">
        <f t="shared" ca="1" si="51"/>
        <v>#N/A</v>
      </c>
    </row>
    <row r="325" spans="51:55" x14ac:dyDescent="0.45">
      <c r="AY325" s="23">
        <v>318</v>
      </c>
      <c r="AZ325" s="259" t="e">
        <f t="shared" si="48"/>
        <v>#N/A</v>
      </c>
      <c r="BA325" s="259" t="e">
        <f t="shared" ca="1" si="49"/>
        <v>#N/A</v>
      </c>
      <c r="BB325" s="259" t="e">
        <f t="shared" ca="1" si="50"/>
        <v>#N/A</v>
      </c>
      <c r="BC325" s="259" t="e">
        <f t="shared" ca="1" si="51"/>
        <v>#N/A</v>
      </c>
    </row>
    <row r="326" spans="51:55" x14ac:dyDescent="0.45">
      <c r="AY326" s="23">
        <v>319</v>
      </c>
      <c r="AZ326" s="259" t="e">
        <f t="shared" si="48"/>
        <v>#N/A</v>
      </c>
      <c r="BA326" s="259" t="e">
        <f t="shared" ca="1" si="49"/>
        <v>#N/A</v>
      </c>
      <c r="BB326" s="259" t="e">
        <f t="shared" ca="1" si="50"/>
        <v>#N/A</v>
      </c>
      <c r="BC326" s="259" t="e">
        <f t="shared" ca="1" si="51"/>
        <v>#N/A</v>
      </c>
    </row>
    <row r="327" spans="51:55" x14ac:dyDescent="0.45">
      <c r="AY327" s="23">
        <v>320</v>
      </c>
      <c r="AZ327" s="259" t="e">
        <f t="shared" si="48"/>
        <v>#N/A</v>
      </c>
      <c r="BA327" s="259" t="e">
        <f t="shared" ca="1" si="49"/>
        <v>#N/A</v>
      </c>
      <c r="BB327" s="259" t="e">
        <f t="shared" ca="1" si="50"/>
        <v>#N/A</v>
      </c>
      <c r="BC327" s="259" t="e">
        <f t="shared" ca="1" si="51"/>
        <v>#N/A</v>
      </c>
    </row>
    <row r="328" spans="51:55" x14ac:dyDescent="0.45">
      <c r="AY328" s="23">
        <v>321</v>
      </c>
      <c r="AZ328" s="259" t="e">
        <f t="shared" si="48"/>
        <v>#N/A</v>
      </c>
      <c r="BA328" s="259" t="e">
        <f t="shared" ca="1" si="49"/>
        <v>#N/A</v>
      </c>
      <c r="BB328" s="259" t="e">
        <f t="shared" ca="1" si="50"/>
        <v>#N/A</v>
      </c>
      <c r="BC328" s="259" t="e">
        <f t="shared" ca="1" si="51"/>
        <v>#N/A</v>
      </c>
    </row>
    <row r="329" spans="51:55" x14ac:dyDescent="0.45">
      <c r="AY329" s="23">
        <v>322</v>
      </c>
      <c r="AZ329" s="259" t="e">
        <f t="shared" si="48"/>
        <v>#N/A</v>
      </c>
      <c r="BA329" s="259" t="e">
        <f t="shared" ca="1" si="49"/>
        <v>#N/A</v>
      </c>
      <c r="BB329" s="259" t="e">
        <f t="shared" ca="1" si="50"/>
        <v>#N/A</v>
      </c>
      <c r="BC329" s="259" t="e">
        <f t="shared" ca="1" si="51"/>
        <v>#N/A</v>
      </c>
    </row>
    <row r="330" spans="51:55" x14ac:dyDescent="0.45">
      <c r="AY330" s="23">
        <v>323</v>
      </c>
      <c r="AZ330" s="259" t="e">
        <f t="shared" si="48"/>
        <v>#N/A</v>
      </c>
      <c r="BA330" s="259" t="e">
        <f t="shared" ca="1" si="49"/>
        <v>#N/A</v>
      </c>
      <c r="BB330" s="259" t="e">
        <f t="shared" ca="1" si="50"/>
        <v>#N/A</v>
      </c>
      <c r="BC330" s="259" t="e">
        <f t="shared" ca="1" si="51"/>
        <v>#N/A</v>
      </c>
    </row>
    <row r="331" spans="51:55" x14ac:dyDescent="0.45">
      <c r="AY331" s="23">
        <v>324</v>
      </c>
      <c r="AZ331" s="259" t="e">
        <f t="shared" si="48"/>
        <v>#N/A</v>
      </c>
      <c r="BA331" s="259" t="e">
        <f t="shared" ca="1" si="49"/>
        <v>#N/A</v>
      </c>
      <c r="BB331" s="259" t="e">
        <f t="shared" ca="1" si="50"/>
        <v>#N/A</v>
      </c>
      <c r="BC331" s="259" t="e">
        <f t="shared" ca="1" si="51"/>
        <v>#N/A</v>
      </c>
    </row>
    <row r="332" spans="51:55" x14ac:dyDescent="0.45">
      <c r="AY332" s="23">
        <v>325</v>
      </c>
      <c r="AZ332" s="259" t="e">
        <f t="shared" si="48"/>
        <v>#N/A</v>
      </c>
      <c r="BA332" s="259" t="e">
        <f t="shared" ca="1" si="49"/>
        <v>#N/A</v>
      </c>
      <c r="BB332" s="259" t="e">
        <f t="shared" ca="1" si="50"/>
        <v>#N/A</v>
      </c>
      <c r="BC332" s="259" t="e">
        <f t="shared" ca="1" si="51"/>
        <v>#N/A</v>
      </c>
    </row>
    <row r="333" spans="51:55" x14ac:dyDescent="0.45">
      <c r="AY333" s="23">
        <v>326</v>
      </c>
      <c r="AZ333" s="259" t="e">
        <f t="shared" si="48"/>
        <v>#N/A</v>
      </c>
      <c r="BA333" s="259" t="e">
        <f t="shared" ca="1" si="49"/>
        <v>#N/A</v>
      </c>
      <c r="BB333" s="259" t="e">
        <f t="shared" ca="1" si="50"/>
        <v>#N/A</v>
      </c>
      <c r="BC333" s="259" t="e">
        <f t="shared" ca="1" si="51"/>
        <v>#N/A</v>
      </c>
    </row>
    <row r="334" spans="51:55" x14ac:dyDescent="0.45">
      <c r="AY334" s="23">
        <v>327</v>
      </c>
      <c r="AZ334" s="259" t="e">
        <f t="shared" ref="AZ334:AZ397" si="52" xml:space="preserve"> IF($AW$6 + ROUNDDOWN(AY334 / 3, 0) &lt; $AX$4, $AW$6 + ROUNDDOWN(AY334 / 3, 0), NA())</f>
        <v>#N/A</v>
      </c>
      <c r="BA334" s="259" t="e">
        <f t="shared" ref="BA334:BA397" ca="1" si="53" xml:space="preserve"> OFFSET($AX$6, AZ334, , ,)</f>
        <v>#N/A</v>
      </c>
      <c r="BB334" s="259" t="e">
        <f t="shared" ref="BB334:BB397" ca="1" si="54" xml:space="preserve"> IF(BA334, IF(MOD(AY334, 3) = 0, BA334 - $AI$11 / 2 - $AI$6, IF(MOD(AY334, 3) = 1, BA334 - $AI$11 / 2, BA334)))</f>
        <v>#N/A</v>
      </c>
      <c r="BC334" s="259" t="e">
        <f t="shared" ref="BC334:BC397" ca="1" si="55" xml:space="preserve"> IF(BA334, IF(MOD(AY334, 3) = 2, $AI$22, $AI$22 + 60 + 50 + 35))</f>
        <v>#N/A</v>
      </c>
    </row>
    <row r="335" spans="51:55" x14ac:dyDescent="0.45">
      <c r="AY335" s="23">
        <v>328</v>
      </c>
      <c r="AZ335" s="259" t="e">
        <f t="shared" si="52"/>
        <v>#N/A</v>
      </c>
      <c r="BA335" s="259" t="e">
        <f t="shared" ca="1" si="53"/>
        <v>#N/A</v>
      </c>
      <c r="BB335" s="259" t="e">
        <f t="shared" ca="1" si="54"/>
        <v>#N/A</v>
      </c>
      <c r="BC335" s="259" t="e">
        <f t="shared" ca="1" si="55"/>
        <v>#N/A</v>
      </c>
    </row>
    <row r="336" spans="51:55" x14ac:dyDescent="0.45">
      <c r="AY336" s="23">
        <v>329</v>
      </c>
      <c r="AZ336" s="259" t="e">
        <f t="shared" si="52"/>
        <v>#N/A</v>
      </c>
      <c r="BA336" s="259" t="e">
        <f t="shared" ca="1" si="53"/>
        <v>#N/A</v>
      </c>
      <c r="BB336" s="259" t="e">
        <f t="shared" ca="1" si="54"/>
        <v>#N/A</v>
      </c>
      <c r="BC336" s="259" t="e">
        <f t="shared" ca="1" si="55"/>
        <v>#N/A</v>
      </c>
    </row>
    <row r="337" spans="51:55" x14ac:dyDescent="0.45">
      <c r="AY337" s="23">
        <v>330</v>
      </c>
      <c r="AZ337" s="259" t="e">
        <f t="shared" si="52"/>
        <v>#N/A</v>
      </c>
      <c r="BA337" s="259" t="e">
        <f t="shared" ca="1" si="53"/>
        <v>#N/A</v>
      </c>
      <c r="BB337" s="259" t="e">
        <f t="shared" ca="1" si="54"/>
        <v>#N/A</v>
      </c>
      <c r="BC337" s="259" t="e">
        <f t="shared" ca="1" si="55"/>
        <v>#N/A</v>
      </c>
    </row>
    <row r="338" spans="51:55" x14ac:dyDescent="0.45">
      <c r="AY338" s="23">
        <v>331</v>
      </c>
      <c r="AZ338" s="259" t="e">
        <f t="shared" si="52"/>
        <v>#N/A</v>
      </c>
      <c r="BA338" s="259" t="e">
        <f t="shared" ca="1" si="53"/>
        <v>#N/A</v>
      </c>
      <c r="BB338" s="259" t="e">
        <f t="shared" ca="1" si="54"/>
        <v>#N/A</v>
      </c>
      <c r="BC338" s="259" t="e">
        <f t="shared" ca="1" si="55"/>
        <v>#N/A</v>
      </c>
    </row>
    <row r="339" spans="51:55" x14ac:dyDescent="0.45">
      <c r="AY339" s="23">
        <v>332</v>
      </c>
      <c r="AZ339" s="259" t="e">
        <f t="shared" si="52"/>
        <v>#N/A</v>
      </c>
      <c r="BA339" s="259" t="e">
        <f t="shared" ca="1" si="53"/>
        <v>#N/A</v>
      </c>
      <c r="BB339" s="259" t="e">
        <f t="shared" ca="1" si="54"/>
        <v>#N/A</v>
      </c>
      <c r="BC339" s="259" t="e">
        <f t="shared" ca="1" si="55"/>
        <v>#N/A</v>
      </c>
    </row>
    <row r="340" spans="51:55" x14ac:dyDescent="0.45">
      <c r="AY340" s="23">
        <v>333</v>
      </c>
      <c r="AZ340" s="259" t="e">
        <f t="shared" si="52"/>
        <v>#N/A</v>
      </c>
      <c r="BA340" s="259" t="e">
        <f t="shared" ca="1" si="53"/>
        <v>#N/A</v>
      </c>
      <c r="BB340" s="259" t="e">
        <f t="shared" ca="1" si="54"/>
        <v>#N/A</v>
      </c>
      <c r="BC340" s="259" t="e">
        <f t="shared" ca="1" si="55"/>
        <v>#N/A</v>
      </c>
    </row>
    <row r="341" spans="51:55" x14ac:dyDescent="0.45">
      <c r="AY341" s="23">
        <v>334</v>
      </c>
      <c r="AZ341" s="259" t="e">
        <f t="shared" si="52"/>
        <v>#N/A</v>
      </c>
      <c r="BA341" s="259" t="e">
        <f t="shared" ca="1" si="53"/>
        <v>#N/A</v>
      </c>
      <c r="BB341" s="259" t="e">
        <f t="shared" ca="1" si="54"/>
        <v>#N/A</v>
      </c>
      <c r="BC341" s="259" t="e">
        <f t="shared" ca="1" si="55"/>
        <v>#N/A</v>
      </c>
    </row>
    <row r="342" spans="51:55" x14ac:dyDescent="0.45">
      <c r="AY342" s="23">
        <v>335</v>
      </c>
      <c r="AZ342" s="259" t="e">
        <f t="shared" si="52"/>
        <v>#N/A</v>
      </c>
      <c r="BA342" s="259" t="e">
        <f t="shared" ca="1" si="53"/>
        <v>#N/A</v>
      </c>
      <c r="BB342" s="259" t="e">
        <f t="shared" ca="1" si="54"/>
        <v>#N/A</v>
      </c>
      <c r="BC342" s="259" t="e">
        <f t="shared" ca="1" si="55"/>
        <v>#N/A</v>
      </c>
    </row>
    <row r="343" spans="51:55" x14ac:dyDescent="0.45">
      <c r="AY343" s="23">
        <v>336</v>
      </c>
      <c r="AZ343" s="259" t="e">
        <f t="shared" si="52"/>
        <v>#N/A</v>
      </c>
      <c r="BA343" s="259" t="e">
        <f t="shared" ca="1" si="53"/>
        <v>#N/A</v>
      </c>
      <c r="BB343" s="259" t="e">
        <f t="shared" ca="1" si="54"/>
        <v>#N/A</v>
      </c>
      <c r="BC343" s="259" t="e">
        <f t="shared" ca="1" si="55"/>
        <v>#N/A</v>
      </c>
    </row>
    <row r="344" spans="51:55" x14ac:dyDescent="0.45">
      <c r="AY344" s="23">
        <v>337</v>
      </c>
      <c r="AZ344" s="259" t="e">
        <f t="shared" si="52"/>
        <v>#N/A</v>
      </c>
      <c r="BA344" s="259" t="e">
        <f t="shared" ca="1" si="53"/>
        <v>#N/A</v>
      </c>
      <c r="BB344" s="259" t="e">
        <f t="shared" ca="1" si="54"/>
        <v>#N/A</v>
      </c>
      <c r="BC344" s="259" t="e">
        <f t="shared" ca="1" si="55"/>
        <v>#N/A</v>
      </c>
    </row>
    <row r="345" spans="51:55" x14ac:dyDescent="0.45">
      <c r="AY345" s="23">
        <v>338</v>
      </c>
      <c r="AZ345" s="259" t="e">
        <f t="shared" si="52"/>
        <v>#N/A</v>
      </c>
      <c r="BA345" s="259" t="e">
        <f t="shared" ca="1" si="53"/>
        <v>#N/A</v>
      </c>
      <c r="BB345" s="259" t="e">
        <f t="shared" ca="1" si="54"/>
        <v>#N/A</v>
      </c>
      <c r="BC345" s="259" t="e">
        <f t="shared" ca="1" si="55"/>
        <v>#N/A</v>
      </c>
    </row>
    <row r="346" spans="51:55" x14ac:dyDescent="0.45">
      <c r="AY346" s="23">
        <v>339</v>
      </c>
      <c r="AZ346" s="259" t="e">
        <f t="shared" si="52"/>
        <v>#N/A</v>
      </c>
      <c r="BA346" s="259" t="e">
        <f t="shared" ca="1" si="53"/>
        <v>#N/A</v>
      </c>
      <c r="BB346" s="259" t="e">
        <f t="shared" ca="1" si="54"/>
        <v>#N/A</v>
      </c>
      <c r="BC346" s="259" t="e">
        <f t="shared" ca="1" si="55"/>
        <v>#N/A</v>
      </c>
    </row>
    <row r="347" spans="51:55" x14ac:dyDescent="0.45">
      <c r="AY347" s="23">
        <v>340</v>
      </c>
      <c r="AZ347" s="259" t="e">
        <f t="shared" si="52"/>
        <v>#N/A</v>
      </c>
      <c r="BA347" s="259" t="e">
        <f t="shared" ca="1" si="53"/>
        <v>#N/A</v>
      </c>
      <c r="BB347" s="259" t="e">
        <f t="shared" ca="1" si="54"/>
        <v>#N/A</v>
      </c>
      <c r="BC347" s="259" t="e">
        <f t="shared" ca="1" si="55"/>
        <v>#N/A</v>
      </c>
    </row>
    <row r="348" spans="51:55" x14ac:dyDescent="0.45">
      <c r="AY348" s="23">
        <v>341</v>
      </c>
      <c r="AZ348" s="259" t="e">
        <f t="shared" si="52"/>
        <v>#N/A</v>
      </c>
      <c r="BA348" s="259" t="e">
        <f t="shared" ca="1" si="53"/>
        <v>#N/A</v>
      </c>
      <c r="BB348" s="259" t="e">
        <f t="shared" ca="1" si="54"/>
        <v>#N/A</v>
      </c>
      <c r="BC348" s="259" t="e">
        <f t="shared" ca="1" si="55"/>
        <v>#N/A</v>
      </c>
    </row>
    <row r="349" spans="51:55" x14ac:dyDescent="0.45">
      <c r="AY349" s="23">
        <v>342</v>
      </c>
      <c r="AZ349" s="259" t="e">
        <f t="shared" si="52"/>
        <v>#N/A</v>
      </c>
      <c r="BA349" s="259" t="e">
        <f t="shared" ca="1" si="53"/>
        <v>#N/A</v>
      </c>
      <c r="BB349" s="259" t="e">
        <f t="shared" ca="1" si="54"/>
        <v>#N/A</v>
      </c>
      <c r="BC349" s="259" t="e">
        <f t="shared" ca="1" si="55"/>
        <v>#N/A</v>
      </c>
    </row>
    <row r="350" spans="51:55" x14ac:dyDescent="0.45">
      <c r="AY350" s="23">
        <v>343</v>
      </c>
      <c r="AZ350" s="259" t="e">
        <f t="shared" si="52"/>
        <v>#N/A</v>
      </c>
      <c r="BA350" s="259" t="e">
        <f t="shared" ca="1" si="53"/>
        <v>#N/A</v>
      </c>
      <c r="BB350" s="259" t="e">
        <f t="shared" ca="1" si="54"/>
        <v>#N/A</v>
      </c>
      <c r="BC350" s="259" t="e">
        <f t="shared" ca="1" si="55"/>
        <v>#N/A</v>
      </c>
    </row>
    <row r="351" spans="51:55" x14ac:dyDescent="0.45">
      <c r="AY351" s="23">
        <v>344</v>
      </c>
      <c r="AZ351" s="259" t="e">
        <f t="shared" si="52"/>
        <v>#N/A</v>
      </c>
      <c r="BA351" s="259" t="e">
        <f t="shared" ca="1" si="53"/>
        <v>#N/A</v>
      </c>
      <c r="BB351" s="259" t="e">
        <f t="shared" ca="1" si="54"/>
        <v>#N/A</v>
      </c>
      <c r="BC351" s="259" t="e">
        <f t="shared" ca="1" si="55"/>
        <v>#N/A</v>
      </c>
    </row>
    <row r="352" spans="51:55" x14ac:dyDescent="0.45">
      <c r="AY352" s="23">
        <v>345</v>
      </c>
      <c r="AZ352" s="259" t="e">
        <f t="shared" si="52"/>
        <v>#N/A</v>
      </c>
      <c r="BA352" s="259" t="e">
        <f t="shared" ca="1" si="53"/>
        <v>#N/A</v>
      </c>
      <c r="BB352" s="259" t="e">
        <f t="shared" ca="1" si="54"/>
        <v>#N/A</v>
      </c>
      <c r="BC352" s="259" t="e">
        <f t="shared" ca="1" si="55"/>
        <v>#N/A</v>
      </c>
    </row>
    <row r="353" spans="51:55" x14ac:dyDescent="0.45">
      <c r="AY353" s="23">
        <v>346</v>
      </c>
      <c r="AZ353" s="259" t="e">
        <f t="shared" si="52"/>
        <v>#N/A</v>
      </c>
      <c r="BA353" s="259" t="e">
        <f t="shared" ca="1" si="53"/>
        <v>#N/A</v>
      </c>
      <c r="BB353" s="259" t="e">
        <f t="shared" ca="1" si="54"/>
        <v>#N/A</v>
      </c>
      <c r="BC353" s="259" t="e">
        <f t="shared" ca="1" si="55"/>
        <v>#N/A</v>
      </c>
    </row>
    <row r="354" spans="51:55" x14ac:dyDescent="0.45">
      <c r="AY354" s="23">
        <v>347</v>
      </c>
      <c r="AZ354" s="259" t="e">
        <f t="shared" si="52"/>
        <v>#N/A</v>
      </c>
      <c r="BA354" s="259" t="e">
        <f t="shared" ca="1" si="53"/>
        <v>#N/A</v>
      </c>
      <c r="BB354" s="259" t="e">
        <f t="shared" ca="1" si="54"/>
        <v>#N/A</v>
      </c>
      <c r="BC354" s="259" t="e">
        <f t="shared" ca="1" si="55"/>
        <v>#N/A</v>
      </c>
    </row>
    <row r="355" spans="51:55" x14ac:dyDescent="0.45">
      <c r="AY355" s="23">
        <v>348</v>
      </c>
      <c r="AZ355" s="259" t="e">
        <f t="shared" si="52"/>
        <v>#N/A</v>
      </c>
      <c r="BA355" s="259" t="e">
        <f t="shared" ca="1" si="53"/>
        <v>#N/A</v>
      </c>
      <c r="BB355" s="259" t="e">
        <f t="shared" ca="1" si="54"/>
        <v>#N/A</v>
      </c>
      <c r="BC355" s="259" t="e">
        <f t="shared" ca="1" si="55"/>
        <v>#N/A</v>
      </c>
    </row>
    <row r="356" spans="51:55" x14ac:dyDescent="0.45">
      <c r="AY356" s="23">
        <v>349</v>
      </c>
      <c r="AZ356" s="259" t="e">
        <f t="shared" si="52"/>
        <v>#N/A</v>
      </c>
      <c r="BA356" s="259" t="e">
        <f t="shared" ca="1" si="53"/>
        <v>#N/A</v>
      </c>
      <c r="BB356" s="259" t="e">
        <f t="shared" ca="1" si="54"/>
        <v>#N/A</v>
      </c>
      <c r="BC356" s="259" t="e">
        <f t="shared" ca="1" si="55"/>
        <v>#N/A</v>
      </c>
    </row>
    <row r="357" spans="51:55" x14ac:dyDescent="0.45">
      <c r="AY357" s="23">
        <v>350</v>
      </c>
      <c r="AZ357" s="259" t="e">
        <f t="shared" si="52"/>
        <v>#N/A</v>
      </c>
      <c r="BA357" s="259" t="e">
        <f t="shared" ca="1" si="53"/>
        <v>#N/A</v>
      </c>
      <c r="BB357" s="259" t="e">
        <f t="shared" ca="1" si="54"/>
        <v>#N/A</v>
      </c>
      <c r="BC357" s="259" t="e">
        <f t="shared" ca="1" si="55"/>
        <v>#N/A</v>
      </c>
    </row>
    <row r="358" spans="51:55" x14ac:dyDescent="0.45">
      <c r="AY358" s="23">
        <v>351</v>
      </c>
      <c r="AZ358" s="259" t="e">
        <f t="shared" si="52"/>
        <v>#N/A</v>
      </c>
      <c r="BA358" s="259" t="e">
        <f t="shared" ca="1" si="53"/>
        <v>#N/A</v>
      </c>
      <c r="BB358" s="259" t="e">
        <f t="shared" ca="1" si="54"/>
        <v>#N/A</v>
      </c>
      <c r="BC358" s="259" t="e">
        <f t="shared" ca="1" si="55"/>
        <v>#N/A</v>
      </c>
    </row>
    <row r="359" spans="51:55" x14ac:dyDescent="0.45">
      <c r="AY359" s="23">
        <v>352</v>
      </c>
      <c r="AZ359" s="259" t="e">
        <f t="shared" si="52"/>
        <v>#N/A</v>
      </c>
      <c r="BA359" s="259" t="e">
        <f t="shared" ca="1" si="53"/>
        <v>#N/A</v>
      </c>
      <c r="BB359" s="259" t="e">
        <f t="shared" ca="1" si="54"/>
        <v>#N/A</v>
      </c>
      <c r="BC359" s="259" t="e">
        <f t="shared" ca="1" si="55"/>
        <v>#N/A</v>
      </c>
    </row>
    <row r="360" spans="51:55" x14ac:dyDescent="0.45">
      <c r="AY360" s="23">
        <v>353</v>
      </c>
      <c r="AZ360" s="259" t="e">
        <f t="shared" si="52"/>
        <v>#N/A</v>
      </c>
      <c r="BA360" s="259" t="e">
        <f t="shared" ca="1" si="53"/>
        <v>#N/A</v>
      </c>
      <c r="BB360" s="259" t="e">
        <f t="shared" ca="1" si="54"/>
        <v>#N/A</v>
      </c>
      <c r="BC360" s="259" t="e">
        <f t="shared" ca="1" si="55"/>
        <v>#N/A</v>
      </c>
    </row>
    <row r="361" spans="51:55" x14ac:dyDescent="0.45">
      <c r="AY361" s="23">
        <v>354</v>
      </c>
      <c r="AZ361" s="259" t="e">
        <f t="shared" si="52"/>
        <v>#N/A</v>
      </c>
      <c r="BA361" s="259" t="e">
        <f t="shared" ca="1" si="53"/>
        <v>#N/A</v>
      </c>
      <c r="BB361" s="259" t="e">
        <f t="shared" ca="1" si="54"/>
        <v>#N/A</v>
      </c>
      <c r="BC361" s="259" t="e">
        <f t="shared" ca="1" si="55"/>
        <v>#N/A</v>
      </c>
    </row>
    <row r="362" spans="51:55" x14ac:dyDescent="0.45">
      <c r="AY362" s="23">
        <v>355</v>
      </c>
      <c r="AZ362" s="259" t="e">
        <f t="shared" si="52"/>
        <v>#N/A</v>
      </c>
      <c r="BA362" s="259" t="e">
        <f t="shared" ca="1" si="53"/>
        <v>#N/A</v>
      </c>
      <c r="BB362" s="259" t="e">
        <f t="shared" ca="1" si="54"/>
        <v>#N/A</v>
      </c>
      <c r="BC362" s="259" t="e">
        <f t="shared" ca="1" si="55"/>
        <v>#N/A</v>
      </c>
    </row>
    <row r="363" spans="51:55" x14ac:dyDescent="0.45">
      <c r="AY363" s="23">
        <v>356</v>
      </c>
      <c r="AZ363" s="259" t="e">
        <f t="shared" si="52"/>
        <v>#N/A</v>
      </c>
      <c r="BA363" s="259" t="e">
        <f t="shared" ca="1" si="53"/>
        <v>#N/A</v>
      </c>
      <c r="BB363" s="259" t="e">
        <f t="shared" ca="1" si="54"/>
        <v>#N/A</v>
      </c>
      <c r="BC363" s="259" t="e">
        <f t="shared" ca="1" si="55"/>
        <v>#N/A</v>
      </c>
    </row>
    <row r="364" spans="51:55" x14ac:dyDescent="0.45">
      <c r="AY364" s="23">
        <v>357</v>
      </c>
      <c r="AZ364" s="259" t="e">
        <f t="shared" si="52"/>
        <v>#N/A</v>
      </c>
      <c r="BA364" s="259" t="e">
        <f t="shared" ca="1" si="53"/>
        <v>#N/A</v>
      </c>
      <c r="BB364" s="259" t="e">
        <f t="shared" ca="1" si="54"/>
        <v>#N/A</v>
      </c>
      <c r="BC364" s="259" t="e">
        <f t="shared" ca="1" si="55"/>
        <v>#N/A</v>
      </c>
    </row>
    <row r="365" spans="51:55" x14ac:dyDescent="0.45">
      <c r="AY365" s="23">
        <v>358</v>
      </c>
      <c r="AZ365" s="259" t="e">
        <f t="shared" si="52"/>
        <v>#N/A</v>
      </c>
      <c r="BA365" s="259" t="e">
        <f t="shared" ca="1" si="53"/>
        <v>#N/A</v>
      </c>
      <c r="BB365" s="259" t="e">
        <f t="shared" ca="1" si="54"/>
        <v>#N/A</v>
      </c>
      <c r="BC365" s="259" t="e">
        <f t="shared" ca="1" si="55"/>
        <v>#N/A</v>
      </c>
    </row>
    <row r="366" spans="51:55" x14ac:dyDescent="0.45">
      <c r="AY366" s="23">
        <v>359</v>
      </c>
      <c r="AZ366" s="259" t="e">
        <f t="shared" si="52"/>
        <v>#N/A</v>
      </c>
      <c r="BA366" s="259" t="e">
        <f t="shared" ca="1" si="53"/>
        <v>#N/A</v>
      </c>
      <c r="BB366" s="259" t="e">
        <f t="shared" ca="1" si="54"/>
        <v>#N/A</v>
      </c>
      <c r="BC366" s="259" t="e">
        <f t="shared" ca="1" si="55"/>
        <v>#N/A</v>
      </c>
    </row>
    <row r="367" spans="51:55" x14ac:dyDescent="0.45">
      <c r="AY367" s="23">
        <v>360</v>
      </c>
      <c r="AZ367" s="259" t="e">
        <f t="shared" si="52"/>
        <v>#N/A</v>
      </c>
      <c r="BA367" s="259" t="e">
        <f t="shared" ca="1" si="53"/>
        <v>#N/A</v>
      </c>
      <c r="BB367" s="259" t="e">
        <f t="shared" ca="1" si="54"/>
        <v>#N/A</v>
      </c>
      <c r="BC367" s="259" t="e">
        <f t="shared" ca="1" si="55"/>
        <v>#N/A</v>
      </c>
    </row>
    <row r="368" spans="51:55" x14ac:dyDescent="0.45">
      <c r="AY368" s="23">
        <v>361</v>
      </c>
      <c r="AZ368" s="259" t="e">
        <f t="shared" si="52"/>
        <v>#N/A</v>
      </c>
      <c r="BA368" s="259" t="e">
        <f t="shared" ca="1" si="53"/>
        <v>#N/A</v>
      </c>
      <c r="BB368" s="259" t="e">
        <f t="shared" ca="1" si="54"/>
        <v>#N/A</v>
      </c>
      <c r="BC368" s="259" t="e">
        <f t="shared" ca="1" si="55"/>
        <v>#N/A</v>
      </c>
    </row>
    <row r="369" spans="51:55" x14ac:dyDescent="0.45">
      <c r="AY369" s="23">
        <v>362</v>
      </c>
      <c r="AZ369" s="259" t="e">
        <f t="shared" si="52"/>
        <v>#N/A</v>
      </c>
      <c r="BA369" s="259" t="e">
        <f t="shared" ca="1" si="53"/>
        <v>#N/A</v>
      </c>
      <c r="BB369" s="259" t="e">
        <f t="shared" ca="1" si="54"/>
        <v>#N/A</v>
      </c>
      <c r="BC369" s="259" t="e">
        <f t="shared" ca="1" si="55"/>
        <v>#N/A</v>
      </c>
    </row>
    <row r="370" spans="51:55" x14ac:dyDescent="0.45">
      <c r="AY370" s="23">
        <v>363</v>
      </c>
      <c r="AZ370" s="259" t="e">
        <f t="shared" si="52"/>
        <v>#N/A</v>
      </c>
      <c r="BA370" s="259" t="e">
        <f t="shared" ca="1" si="53"/>
        <v>#N/A</v>
      </c>
      <c r="BB370" s="259" t="e">
        <f t="shared" ca="1" si="54"/>
        <v>#N/A</v>
      </c>
      <c r="BC370" s="259" t="e">
        <f t="shared" ca="1" si="55"/>
        <v>#N/A</v>
      </c>
    </row>
    <row r="371" spans="51:55" x14ac:dyDescent="0.45">
      <c r="AY371" s="23">
        <v>364</v>
      </c>
      <c r="AZ371" s="259" t="e">
        <f t="shared" si="52"/>
        <v>#N/A</v>
      </c>
      <c r="BA371" s="259" t="e">
        <f t="shared" ca="1" si="53"/>
        <v>#N/A</v>
      </c>
      <c r="BB371" s="259" t="e">
        <f t="shared" ca="1" si="54"/>
        <v>#N/A</v>
      </c>
      <c r="BC371" s="259" t="e">
        <f t="shared" ca="1" si="55"/>
        <v>#N/A</v>
      </c>
    </row>
    <row r="372" spans="51:55" x14ac:dyDescent="0.45">
      <c r="AY372" s="23">
        <v>365</v>
      </c>
      <c r="AZ372" s="259" t="e">
        <f t="shared" si="52"/>
        <v>#N/A</v>
      </c>
      <c r="BA372" s="259" t="e">
        <f t="shared" ca="1" si="53"/>
        <v>#N/A</v>
      </c>
      <c r="BB372" s="259" t="e">
        <f t="shared" ca="1" si="54"/>
        <v>#N/A</v>
      </c>
      <c r="BC372" s="259" t="e">
        <f t="shared" ca="1" si="55"/>
        <v>#N/A</v>
      </c>
    </row>
    <row r="373" spans="51:55" x14ac:dyDescent="0.45">
      <c r="AY373" s="23">
        <v>366</v>
      </c>
      <c r="AZ373" s="259" t="e">
        <f t="shared" si="52"/>
        <v>#N/A</v>
      </c>
      <c r="BA373" s="259" t="e">
        <f t="shared" ca="1" si="53"/>
        <v>#N/A</v>
      </c>
      <c r="BB373" s="259" t="e">
        <f t="shared" ca="1" si="54"/>
        <v>#N/A</v>
      </c>
      <c r="BC373" s="259" t="e">
        <f t="shared" ca="1" si="55"/>
        <v>#N/A</v>
      </c>
    </row>
    <row r="374" spans="51:55" x14ac:dyDescent="0.45">
      <c r="AY374" s="23">
        <v>367</v>
      </c>
      <c r="AZ374" s="259" t="e">
        <f t="shared" si="52"/>
        <v>#N/A</v>
      </c>
      <c r="BA374" s="259" t="e">
        <f t="shared" ca="1" si="53"/>
        <v>#N/A</v>
      </c>
      <c r="BB374" s="259" t="e">
        <f t="shared" ca="1" si="54"/>
        <v>#N/A</v>
      </c>
      <c r="BC374" s="259" t="e">
        <f t="shared" ca="1" si="55"/>
        <v>#N/A</v>
      </c>
    </row>
    <row r="375" spans="51:55" x14ac:dyDescent="0.45">
      <c r="AY375" s="23">
        <v>368</v>
      </c>
      <c r="AZ375" s="259" t="e">
        <f t="shared" si="52"/>
        <v>#N/A</v>
      </c>
      <c r="BA375" s="259" t="e">
        <f t="shared" ca="1" si="53"/>
        <v>#N/A</v>
      </c>
      <c r="BB375" s="259" t="e">
        <f t="shared" ca="1" si="54"/>
        <v>#N/A</v>
      </c>
      <c r="BC375" s="259" t="e">
        <f t="shared" ca="1" si="55"/>
        <v>#N/A</v>
      </c>
    </row>
    <row r="376" spans="51:55" x14ac:dyDescent="0.45">
      <c r="AY376" s="23">
        <v>369</v>
      </c>
      <c r="AZ376" s="259" t="e">
        <f t="shared" si="52"/>
        <v>#N/A</v>
      </c>
      <c r="BA376" s="259" t="e">
        <f t="shared" ca="1" si="53"/>
        <v>#N/A</v>
      </c>
      <c r="BB376" s="259" t="e">
        <f t="shared" ca="1" si="54"/>
        <v>#N/A</v>
      </c>
      <c r="BC376" s="259" t="e">
        <f t="shared" ca="1" si="55"/>
        <v>#N/A</v>
      </c>
    </row>
    <row r="377" spans="51:55" x14ac:dyDescent="0.45">
      <c r="AY377" s="23">
        <v>370</v>
      </c>
      <c r="AZ377" s="259" t="e">
        <f t="shared" si="52"/>
        <v>#N/A</v>
      </c>
      <c r="BA377" s="259" t="e">
        <f t="shared" ca="1" si="53"/>
        <v>#N/A</v>
      </c>
      <c r="BB377" s="259" t="e">
        <f t="shared" ca="1" si="54"/>
        <v>#N/A</v>
      </c>
      <c r="BC377" s="259" t="e">
        <f t="shared" ca="1" si="55"/>
        <v>#N/A</v>
      </c>
    </row>
    <row r="378" spans="51:55" x14ac:dyDescent="0.45">
      <c r="AY378" s="23">
        <v>371</v>
      </c>
      <c r="AZ378" s="259" t="e">
        <f t="shared" si="52"/>
        <v>#N/A</v>
      </c>
      <c r="BA378" s="259" t="e">
        <f t="shared" ca="1" si="53"/>
        <v>#N/A</v>
      </c>
      <c r="BB378" s="259" t="e">
        <f t="shared" ca="1" si="54"/>
        <v>#N/A</v>
      </c>
      <c r="BC378" s="259" t="e">
        <f t="shared" ca="1" si="55"/>
        <v>#N/A</v>
      </c>
    </row>
    <row r="379" spans="51:55" x14ac:dyDescent="0.45">
      <c r="AY379" s="23">
        <v>372</v>
      </c>
      <c r="AZ379" s="259" t="e">
        <f t="shared" si="52"/>
        <v>#N/A</v>
      </c>
      <c r="BA379" s="259" t="e">
        <f t="shared" ca="1" si="53"/>
        <v>#N/A</v>
      </c>
      <c r="BB379" s="259" t="e">
        <f t="shared" ca="1" si="54"/>
        <v>#N/A</v>
      </c>
      <c r="BC379" s="259" t="e">
        <f t="shared" ca="1" si="55"/>
        <v>#N/A</v>
      </c>
    </row>
    <row r="380" spans="51:55" x14ac:dyDescent="0.45">
      <c r="AY380" s="23">
        <v>373</v>
      </c>
      <c r="AZ380" s="259" t="e">
        <f t="shared" si="52"/>
        <v>#N/A</v>
      </c>
      <c r="BA380" s="259" t="e">
        <f t="shared" ca="1" si="53"/>
        <v>#N/A</v>
      </c>
      <c r="BB380" s="259" t="e">
        <f t="shared" ca="1" si="54"/>
        <v>#N/A</v>
      </c>
      <c r="BC380" s="259" t="e">
        <f t="shared" ca="1" si="55"/>
        <v>#N/A</v>
      </c>
    </row>
    <row r="381" spans="51:55" x14ac:dyDescent="0.45">
      <c r="AY381" s="23">
        <v>374</v>
      </c>
      <c r="AZ381" s="259" t="e">
        <f t="shared" si="52"/>
        <v>#N/A</v>
      </c>
      <c r="BA381" s="259" t="e">
        <f t="shared" ca="1" si="53"/>
        <v>#N/A</v>
      </c>
      <c r="BB381" s="259" t="e">
        <f t="shared" ca="1" si="54"/>
        <v>#N/A</v>
      </c>
      <c r="BC381" s="259" t="e">
        <f t="shared" ca="1" si="55"/>
        <v>#N/A</v>
      </c>
    </row>
    <row r="382" spans="51:55" x14ac:dyDescent="0.45">
      <c r="AY382" s="23">
        <v>375</v>
      </c>
      <c r="AZ382" s="259" t="e">
        <f t="shared" si="52"/>
        <v>#N/A</v>
      </c>
      <c r="BA382" s="259" t="e">
        <f t="shared" ca="1" si="53"/>
        <v>#N/A</v>
      </c>
      <c r="BB382" s="259" t="e">
        <f t="shared" ca="1" si="54"/>
        <v>#N/A</v>
      </c>
      <c r="BC382" s="259" t="e">
        <f t="shared" ca="1" si="55"/>
        <v>#N/A</v>
      </c>
    </row>
    <row r="383" spans="51:55" x14ac:dyDescent="0.45">
      <c r="AY383" s="23">
        <v>376</v>
      </c>
      <c r="AZ383" s="259" t="e">
        <f t="shared" si="52"/>
        <v>#N/A</v>
      </c>
      <c r="BA383" s="259" t="e">
        <f t="shared" ca="1" si="53"/>
        <v>#N/A</v>
      </c>
      <c r="BB383" s="259" t="e">
        <f t="shared" ca="1" si="54"/>
        <v>#N/A</v>
      </c>
      <c r="BC383" s="259" t="e">
        <f t="shared" ca="1" si="55"/>
        <v>#N/A</v>
      </c>
    </row>
    <row r="384" spans="51:55" x14ac:dyDescent="0.45">
      <c r="AY384" s="23">
        <v>377</v>
      </c>
      <c r="AZ384" s="259" t="e">
        <f t="shared" si="52"/>
        <v>#N/A</v>
      </c>
      <c r="BA384" s="259" t="e">
        <f t="shared" ca="1" si="53"/>
        <v>#N/A</v>
      </c>
      <c r="BB384" s="259" t="e">
        <f t="shared" ca="1" si="54"/>
        <v>#N/A</v>
      </c>
      <c r="BC384" s="259" t="e">
        <f t="shared" ca="1" si="55"/>
        <v>#N/A</v>
      </c>
    </row>
    <row r="385" spans="51:55" x14ac:dyDescent="0.45">
      <c r="AY385" s="23">
        <v>378</v>
      </c>
      <c r="AZ385" s="259" t="e">
        <f t="shared" si="52"/>
        <v>#N/A</v>
      </c>
      <c r="BA385" s="259" t="e">
        <f t="shared" ca="1" si="53"/>
        <v>#N/A</v>
      </c>
      <c r="BB385" s="259" t="e">
        <f t="shared" ca="1" si="54"/>
        <v>#N/A</v>
      </c>
      <c r="BC385" s="259" t="e">
        <f t="shared" ca="1" si="55"/>
        <v>#N/A</v>
      </c>
    </row>
    <row r="386" spans="51:55" x14ac:dyDescent="0.45">
      <c r="AY386" s="23">
        <v>379</v>
      </c>
      <c r="AZ386" s="259" t="e">
        <f t="shared" si="52"/>
        <v>#N/A</v>
      </c>
      <c r="BA386" s="259" t="e">
        <f t="shared" ca="1" si="53"/>
        <v>#N/A</v>
      </c>
      <c r="BB386" s="259" t="e">
        <f t="shared" ca="1" si="54"/>
        <v>#N/A</v>
      </c>
      <c r="BC386" s="259" t="e">
        <f t="shared" ca="1" si="55"/>
        <v>#N/A</v>
      </c>
    </row>
    <row r="387" spans="51:55" x14ac:dyDescent="0.45">
      <c r="AY387" s="23">
        <v>380</v>
      </c>
      <c r="AZ387" s="259" t="e">
        <f t="shared" si="52"/>
        <v>#N/A</v>
      </c>
      <c r="BA387" s="259" t="e">
        <f t="shared" ca="1" si="53"/>
        <v>#N/A</v>
      </c>
      <c r="BB387" s="259" t="e">
        <f t="shared" ca="1" si="54"/>
        <v>#N/A</v>
      </c>
      <c r="BC387" s="259" t="e">
        <f t="shared" ca="1" si="55"/>
        <v>#N/A</v>
      </c>
    </row>
    <row r="388" spans="51:55" x14ac:dyDescent="0.45">
      <c r="AY388" s="23">
        <v>381</v>
      </c>
      <c r="AZ388" s="259" t="e">
        <f t="shared" si="52"/>
        <v>#N/A</v>
      </c>
      <c r="BA388" s="259" t="e">
        <f t="shared" ca="1" si="53"/>
        <v>#N/A</v>
      </c>
      <c r="BB388" s="259" t="e">
        <f t="shared" ca="1" si="54"/>
        <v>#N/A</v>
      </c>
      <c r="BC388" s="259" t="e">
        <f t="shared" ca="1" si="55"/>
        <v>#N/A</v>
      </c>
    </row>
    <row r="389" spans="51:55" x14ac:dyDescent="0.45">
      <c r="AY389" s="23">
        <v>382</v>
      </c>
      <c r="AZ389" s="259" t="e">
        <f t="shared" si="52"/>
        <v>#N/A</v>
      </c>
      <c r="BA389" s="259" t="e">
        <f t="shared" ca="1" si="53"/>
        <v>#N/A</v>
      </c>
      <c r="BB389" s="259" t="e">
        <f t="shared" ca="1" si="54"/>
        <v>#N/A</v>
      </c>
      <c r="BC389" s="259" t="e">
        <f t="shared" ca="1" si="55"/>
        <v>#N/A</v>
      </c>
    </row>
    <row r="390" spans="51:55" x14ac:dyDescent="0.45">
      <c r="AY390" s="23">
        <v>383</v>
      </c>
      <c r="AZ390" s="259" t="e">
        <f t="shared" si="52"/>
        <v>#N/A</v>
      </c>
      <c r="BA390" s="259" t="e">
        <f t="shared" ca="1" si="53"/>
        <v>#N/A</v>
      </c>
      <c r="BB390" s="259" t="e">
        <f t="shared" ca="1" si="54"/>
        <v>#N/A</v>
      </c>
      <c r="BC390" s="259" t="e">
        <f t="shared" ca="1" si="55"/>
        <v>#N/A</v>
      </c>
    </row>
    <row r="391" spans="51:55" x14ac:dyDescent="0.45">
      <c r="AY391" s="23">
        <v>384</v>
      </c>
      <c r="AZ391" s="259" t="e">
        <f t="shared" si="52"/>
        <v>#N/A</v>
      </c>
      <c r="BA391" s="259" t="e">
        <f t="shared" ca="1" si="53"/>
        <v>#N/A</v>
      </c>
      <c r="BB391" s="259" t="e">
        <f t="shared" ca="1" si="54"/>
        <v>#N/A</v>
      </c>
      <c r="BC391" s="259" t="e">
        <f t="shared" ca="1" si="55"/>
        <v>#N/A</v>
      </c>
    </row>
    <row r="392" spans="51:55" x14ac:dyDescent="0.45">
      <c r="AY392" s="23">
        <v>385</v>
      </c>
      <c r="AZ392" s="259" t="e">
        <f t="shared" si="52"/>
        <v>#N/A</v>
      </c>
      <c r="BA392" s="259" t="e">
        <f t="shared" ca="1" si="53"/>
        <v>#N/A</v>
      </c>
      <c r="BB392" s="259" t="e">
        <f t="shared" ca="1" si="54"/>
        <v>#N/A</v>
      </c>
      <c r="BC392" s="259" t="e">
        <f t="shared" ca="1" si="55"/>
        <v>#N/A</v>
      </c>
    </row>
    <row r="393" spans="51:55" x14ac:dyDescent="0.45">
      <c r="AY393" s="23">
        <v>386</v>
      </c>
      <c r="AZ393" s="259" t="e">
        <f t="shared" si="52"/>
        <v>#N/A</v>
      </c>
      <c r="BA393" s="259" t="e">
        <f t="shared" ca="1" si="53"/>
        <v>#N/A</v>
      </c>
      <c r="BB393" s="259" t="e">
        <f t="shared" ca="1" si="54"/>
        <v>#N/A</v>
      </c>
      <c r="BC393" s="259" t="e">
        <f t="shared" ca="1" si="55"/>
        <v>#N/A</v>
      </c>
    </row>
    <row r="394" spans="51:55" x14ac:dyDescent="0.45">
      <c r="AY394" s="23">
        <v>387</v>
      </c>
      <c r="AZ394" s="259" t="e">
        <f t="shared" si="52"/>
        <v>#N/A</v>
      </c>
      <c r="BA394" s="259" t="e">
        <f t="shared" ca="1" si="53"/>
        <v>#N/A</v>
      </c>
      <c r="BB394" s="259" t="e">
        <f t="shared" ca="1" si="54"/>
        <v>#N/A</v>
      </c>
      <c r="BC394" s="259" t="e">
        <f t="shared" ca="1" si="55"/>
        <v>#N/A</v>
      </c>
    </row>
    <row r="395" spans="51:55" x14ac:dyDescent="0.45">
      <c r="AY395" s="23">
        <v>388</v>
      </c>
      <c r="AZ395" s="259" t="e">
        <f t="shared" si="52"/>
        <v>#N/A</v>
      </c>
      <c r="BA395" s="259" t="e">
        <f t="shared" ca="1" si="53"/>
        <v>#N/A</v>
      </c>
      <c r="BB395" s="259" t="e">
        <f t="shared" ca="1" si="54"/>
        <v>#N/A</v>
      </c>
      <c r="BC395" s="259" t="e">
        <f t="shared" ca="1" si="55"/>
        <v>#N/A</v>
      </c>
    </row>
    <row r="396" spans="51:55" x14ac:dyDescent="0.45">
      <c r="AY396" s="23">
        <v>389</v>
      </c>
      <c r="AZ396" s="259" t="e">
        <f t="shared" si="52"/>
        <v>#N/A</v>
      </c>
      <c r="BA396" s="259" t="e">
        <f t="shared" ca="1" si="53"/>
        <v>#N/A</v>
      </c>
      <c r="BB396" s="259" t="e">
        <f t="shared" ca="1" si="54"/>
        <v>#N/A</v>
      </c>
      <c r="BC396" s="259" t="e">
        <f t="shared" ca="1" si="55"/>
        <v>#N/A</v>
      </c>
    </row>
    <row r="397" spans="51:55" x14ac:dyDescent="0.45">
      <c r="AY397" s="23">
        <v>390</v>
      </c>
      <c r="AZ397" s="259" t="e">
        <f t="shared" si="52"/>
        <v>#N/A</v>
      </c>
      <c r="BA397" s="259" t="e">
        <f t="shared" ca="1" si="53"/>
        <v>#N/A</v>
      </c>
      <c r="BB397" s="259" t="e">
        <f t="shared" ca="1" si="54"/>
        <v>#N/A</v>
      </c>
      <c r="BC397" s="259" t="e">
        <f t="shared" ca="1" si="55"/>
        <v>#N/A</v>
      </c>
    </row>
    <row r="398" spans="51:55" x14ac:dyDescent="0.45">
      <c r="AY398" s="23">
        <v>391</v>
      </c>
      <c r="AZ398" s="259" t="e">
        <f t="shared" ref="AZ398:AZ407" si="56" xml:space="preserve"> IF($AW$6 + ROUNDDOWN(AY398 / 3, 0) &lt; $AX$4, $AW$6 + ROUNDDOWN(AY398 / 3, 0), NA())</f>
        <v>#N/A</v>
      </c>
      <c r="BA398" s="259" t="e">
        <f t="shared" ref="BA398:BA407" ca="1" si="57" xml:space="preserve"> OFFSET($AX$6, AZ398, , ,)</f>
        <v>#N/A</v>
      </c>
      <c r="BB398" s="259" t="e">
        <f t="shared" ref="BB398:BB407" ca="1" si="58" xml:space="preserve"> IF(BA398, IF(MOD(AY398, 3) = 0, BA398 - $AI$11 / 2 - $AI$6, IF(MOD(AY398, 3) = 1, BA398 - $AI$11 / 2, BA398)))</f>
        <v>#N/A</v>
      </c>
      <c r="BC398" s="259" t="e">
        <f t="shared" ref="BC398:BC407" ca="1" si="59" xml:space="preserve"> IF(BA398, IF(MOD(AY398, 3) = 2, $AI$22, $AI$22 + 60 + 50 + 35))</f>
        <v>#N/A</v>
      </c>
    </row>
    <row r="399" spans="51:55" x14ac:dyDescent="0.45">
      <c r="AY399" s="23">
        <v>392</v>
      </c>
      <c r="AZ399" s="259" t="e">
        <f t="shared" si="56"/>
        <v>#N/A</v>
      </c>
      <c r="BA399" s="259" t="e">
        <f t="shared" ca="1" si="57"/>
        <v>#N/A</v>
      </c>
      <c r="BB399" s="259" t="e">
        <f t="shared" ca="1" si="58"/>
        <v>#N/A</v>
      </c>
      <c r="BC399" s="259" t="e">
        <f t="shared" ca="1" si="59"/>
        <v>#N/A</v>
      </c>
    </row>
    <row r="400" spans="51:55" x14ac:dyDescent="0.45">
      <c r="AY400" s="23">
        <v>393</v>
      </c>
      <c r="AZ400" s="259" t="e">
        <f t="shared" si="56"/>
        <v>#N/A</v>
      </c>
      <c r="BA400" s="259" t="e">
        <f t="shared" ca="1" si="57"/>
        <v>#N/A</v>
      </c>
      <c r="BB400" s="259" t="e">
        <f t="shared" ca="1" si="58"/>
        <v>#N/A</v>
      </c>
      <c r="BC400" s="259" t="e">
        <f t="shared" ca="1" si="59"/>
        <v>#N/A</v>
      </c>
    </row>
    <row r="401" spans="51:55" x14ac:dyDescent="0.45">
      <c r="AY401" s="23">
        <v>394</v>
      </c>
      <c r="AZ401" s="259" t="e">
        <f t="shared" si="56"/>
        <v>#N/A</v>
      </c>
      <c r="BA401" s="259" t="e">
        <f t="shared" ca="1" si="57"/>
        <v>#N/A</v>
      </c>
      <c r="BB401" s="259" t="e">
        <f t="shared" ca="1" si="58"/>
        <v>#N/A</v>
      </c>
      <c r="BC401" s="259" t="e">
        <f t="shared" ca="1" si="59"/>
        <v>#N/A</v>
      </c>
    </row>
    <row r="402" spans="51:55" x14ac:dyDescent="0.45">
      <c r="AY402" s="23">
        <v>395</v>
      </c>
      <c r="AZ402" s="259" t="e">
        <f t="shared" si="56"/>
        <v>#N/A</v>
      </c>
      <c r="BA402" s="259" t="e">
        <f t="shared" ca="1" si="57"/>
        <v>#N/A</v>
      </c>
      <c r="BB402" s="259" t="e">
        <f t="shared" ca="1" si="58"/>
        <v>#N/A</v>
      </c>
      <c r="BC402" s="259" t="e">
        <f t="shared" ca="1" si="59"/>
        <v>#N/A</v>
      </c>
    </row>
    <row r="403" spans="51:55" x14ac:dyDescent="0.45">
      <c r="AY403" s="23">
        <v>396</v>
      </c>
      <c r="AZ403" s="259" t="e">
        <f t="shared" si="56"/>
        <v>#N/A</v>
      </c>
      <c r="BA403" s="259" t="e">
        <f t="shared" ca="1" si="57"/>
        <v>#N/A</v>
      </c>
      <c r="BB403" s="259" t="e">
        <f t="shared" ca="1" si="58"/>
        <v>#N/A</v>
      </c>
      <c r="BC403" s="259" t="e">
        <f t="shared" ca="1" si="59"/>
        <v>#N/A</v>
      </c>
    </row>
    <row r="404" spans="51:55" x14ac:dyDescent="0.45">
      <c r="AY404" s="23">
        <v>397</v>
      </c>
      <c r="AZ404" s="259" t="e">
        <f t="shared" si="56"/>
        <v>#N/A</v>
      </c>
      <c r="BA404" s="259" t="e">
        <f t="shared" ca="1" si="57"/>
        <v>#N/A</v>
      </c>
      <c r="BB404" s="259" t="e">
        <f t="shared" ca="1" si="58"/>
        <v>#N/A</v>
      </c>
      <c r="BC404" s="259" t="e">
        <f t="shared" ca="1" si="59"/>
        <v>#N/A</v>
      </c>
    </row>
    <row r="405" spans="51:55" x14ac:dyDescent="0.45">
      <c r="AY405" s="23">
        <v>398</v>
      </c>
      <c r="AZ405" s="259" t="e">
        <f t="shared" si="56"/>
        <v>#N/A</v>
      </c>
      <c r="BA405" s="259" t="e">
        <f t="shared" ca="1" si="57"/>
        <v>#N/A</v>
      </c>
      <c r="BB405" s="259" t="e">
        <f t="shared" ca="1" si="58"/>
        <v>#N/A</v>
      </c>
      <c r="BC405" s="259" t="e">
        <f t="shared" ca="1" si="59"/>
        <v>#N/A</v>
      </c>
    </row>
    <row r="406" spans="51:55" x14ac:dyDescent="0.45">
      <c r="AY406" s="23">
        <v>399</v>
      </c>
      <c r="AZ406" s="259" t="e">
        <f t="shared" si="56"/>
        <v>#N/A</v>
      </c>
      <c r="BA406" s="259" t="e">
        <f t="shared" ca="1" si="57"/>
        <v>#N/A</v>
      </c>
      <c r="BB406" s="259" t="e">
        <f t="shared" ca="1" si="58"/>
        <v>#N/A</v>
      </c>
      <c r="BC406" s="259" t="e">
        <f t="shared" ca="1" si="59"/>
        <v>#N/A</v>
      </c>
    </row>
    <row r="407" spans="51:55" x14ac:dyDescent="0.45">
      <c r="AY407" s="23">
        <v>400</v>
      </c>
      <c r="AZ407" s="259" t="e">
        <f t="shared" si="56"/>
        <v>#N/A</v>
      </c>
      <c r="BA407" s="259" t="e">
        <f t="shared" ca="1" si="57"/>
        <v>#N/A</v>
      </c>
      <c r="BB407" s="259" t="e">
        <f t="shared" ca="1" si="58"/>
        <v>#N/A</v>
      </c>
      <c r="BC407" s="259" t="e">
        <f t="shared" ca="1" si="59"/>
        <v>#N/A</v>
      </c>
    </row>
  </sheetData>
  <mergeCells count="15">
    <mergeCell ref="A3:C3"/>
    <mergeCell ref="E3:I3"/>
    <mergeCell ref="W3:Y3"/>
    <mergeCell ref="AO27:AQ27"/>
    <mergeCell ref="AL26:AQ26"/>
    <mergeCell ref="AL3:AU3"/>
    <mergeCell ref="AM4:AN4"/>
    <mergeCell ref="AO4:AS4"/>
    <mergeCell ref="AT4:AU4"/>
    <mergeCell ref="BE4:BH4"/>
    <mergeCell ref="AL48:AQ48"/>
    <mergeCell ref="AO49:AQ49"/>
    <mergeCell ref="AW3:BC3"/>
    <mergeCell ref="T28:U28"/>
    <mergeCell ref="AH3:AJ3"/>
  </mergeCells>
  <phoneticPr fontId="4" type="noConversion"/>
  <conditionalFormatting sqref="I6:I24">
    <cfRule type="containsErrors" dxfId="5" priority="19">
      <formula>ISERROR(I6)</formula>
    </cfRule>
  </conditionalFormatting>
  <conditionalFormatting sqref="G5:G24">
    <cfRule type="containsText" dxfId="4" priority="16" operator="containsText" text="fixed">
      <formula>NOT(ISERROR(SEARCH("fixed",G5)))</formula>
    </cfRule>
  </conditionalFormatting>
  <conditionalFormatting sqref="W5:Y24">
    <cfRule type="containsErrors" dxfId="3" priority="12">
      <formula>ISERROR(W5)</formula>
    </cfRule>
  </conditionalFormatting>
  <conditionalFormatting sqref="BE6:BH27">
    <cfRule type="containsErrors" dxfId="2" priority="1">
      <formula>ISERROR(BE6)</formula>
    </cfRule>
  </conditionalFormatting>
  <dataValidations count="1">
    <dataValidation type="list" allowBlank="1" showInputMessage="1" showErrorMessage="1" sqref="G5:G24" xr:uid="{01B6D7E3-C23D-48D6-A7B4-CF180DD971DC}">
      <formula1>"free,fixed"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ToHome">
                <anchor moveWithCells="1" sizeWithCells="1">
                  <from>
                    <xdr:col>10</xdr:col>
                    <xdr:colOff>469900</xdr:colOff>
                    <xdr:row>8</xdr:row>
                    <xdr:rowOff>171450</xdr:rowOff>
                  </from>
                  <to>
                    <xdr:col>12</xdr:col>
                    <xdr:colOff>742950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236AC9B-A409-4E11-BA4D-E44F2F24FA7F}">
          <x14:formula1>
            <xm:f>规格表!$E$3:$E$59</xm:f>
          </x14:formula1>
          <xm:sqref>H5:H24</xm:sqref>
        </x14:dataValidation>
        <x14:dataValidation type="list" allowBlank="1" showInputMessage="1" showErrorMessage="1" xr:uid="{4A6FA003-FC55-4037-9F42-6B381F8188EB}">
          <x14:formula1>
            <xm:f>规格表!$A$3:$A$433</xm:f>
          </x14:formula1>
          <xm:sqref>C5:C19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Y605"/>
  <sheetViews>
    <sheetView tabSelected="1" zoomScale="55" zoomScaleNormal="55" workbookViewId="0">
      <selection activeCell="Y12" sqref="Y12"/>
    </sheetView>
  </sheetViews>
  <sheetFormatPr defaultColWidth="9" defaultRowHeight="16.5" x14ac:dyDescent="0.25"/>
  <cols>
    <col min="1" max="1" width="13.7265625" style="42" bestFit="1" customWidth="1"/>
    <col min="2" max="2" width="11.6328125" style="43" bestFit="1" customWidth="1"/>
    <col min="3" max="3" width="28.08984375" style="43" bestFit="1" customWidth="1"/>
    <col min="4" max="4" width="13.7265625" style="42" bestFit="1" customWidth="1"/>
    <col min="5" max="5" width="8.36328125" style="42" customWidth="1"/>
    <col min="6" max="6" width="13.7265625" style="42" bestFit="1" customWidth="1"/>
    <col min="7" max="7" width="9.453125" style="42" bestFit="1" customWidth="1"/>
    <col min="8" max="8" width="28.08984375" style="42" bestFit="1" customWidth="1"/>
    <col min="9" max="9" width="13.7265625" style="43" bestFit="1" customWidth="1"/>
    <col min="10" max="10" width="8.36328125" style="43" customWidth="1"/>
    <col min="11" max="11" width="13.7265625" style="43" bestFit="1" customWidth="1"/>
    <col min="12" max="12" width="7.6328125" style="42" bestFit="1" customWidth="1"/>
    <col min="13" max="13" width="28.08984375" style="42" bestFit="1" customWidth="1"/>
    <col min="14" max="14" width="13.7265625" style="42" bestFit="1" customWidth="1"/>
    <col min="15" max="15" width="8.36328125" style="42" customWidth="1"/>
    <col min="16" max="16" width="13.7265625" style="42" bestFit="1" customWidth="1"/>
    <col min="17" max="17" width="7.6328125" style="42" bestFit="1" customWidth="1"/>
    <col min="18" max="18" width="28.08984375" style="43" bestFit="1" customWidth="1"/>
    <col min="19" max="19" width="13.7265625" style="42" bestFit="1" customWidth="1"/>
    <col min="20" max="20" width="8.36328125" style="42" customWidth="1"/>
    <col min="21" max="21" width="13.7265625" style="42" bestFit="1" customWidth="1"/>
    <col min="22" max="22" width="8.90625" style="42" bestFit="1" customWidth="1"/>
    <col min="23" max="23" width="28.08984375" style="43" bestFit="1" customWidth="1"/>
    <col min="24" max="24" width="13.7265625" style="43" bestFit="1" customWidth="1"/>
    <col min="25" max="25" width="26.36328125" style="43" bestFit="1" customWidth="1"/>
    <col min="26" max="26" width="13.36328125" style="43" bestFit="1" customWidth="1"/>
    <col min="27" max="27" width="22.90625" style="43" bestFit="1" customWidth="1"/>
    <col min="28" max="28" width="9.26953125" style="43" bestFit="1" customWidth="1"/>
    <col min="29" max="30" width="9.26953125" style="42" bestFit="1" customWidth="1"/>
    <col min="31" max="31" width="22.7265625" style="43" customWidth="1"/>
    <col min="32" max="32" width="28" style="43" bestFit="1" customWidth="1"/>
    <col min="33" max="33" width="28" style="43" customWidth="1"/>
    <col min="34" max="34" width="28" style="43" bestFit="1" customWidth="1"/>
    <col min="35" max="35" width="15" style="43" bestFit="1" customWidth="1"/>
    <col min="36" max="36" width="5.26953125" style="43" bestFit="1" customWidth="1"/>
    <col min="37" max="37" width="8.453125" style="43" customWidth="1"/>
    <col min="38" max="38" width="9.453125" style="43" customWidth="1"/>
    <col min="39" max="39" width="13.7265625" style="43" customWidth="1"/>
    <col min="40" max="40" width="13.7265625" style="42" customWidth="1"/>
    <col min="41" max="41" width="9.453125" style="42" customWidth="1"/>
    <col min="42" max="42" width="11.6328125" style="42" customWidth="1"/>
    <col min="43" max="43" width="15.90625" style="42" customWidth="1"/>
    <col min="44" max="44" width="18" style="42" customWidth="1"/>
    <col min="45" max="45" width="13.90625" style="42" customWidth="1"/>
    <col min="46" max="46" width="15.90625" style="42" customWidth="1"/>
    <col min="47" max="50" width="13.7265625" style="42" customWidth="1"/>
    <col min="51" max="51" width="13.36328125" style="43" customWidth="1"/>
    <col min="52" max="52" width="20.08984375" style="43" customWidth="1"/>
    <col min="53" max="54" width="13.36328125" style="43" customWidth="1"/>
    <col min="55" max="55" width="9.90625" style="43" customWidth="1"/>
    <col min="56" max="56" width="14.26953125" style="43" customWidth="1"/>
    <col min="57" max="57" width="16.6328125" style="43" customWidth="1"/>
    <col min="58" max="58" width="7.90625" style="49" customWidth="1"/>
    <col min="59" max="59" width="8.90625" style="42" customWidth="1"/>
    <col min="60" max="60" width="9.90625" style="42" customWidth="1"/>
    <col min="61" max="61" width="14.26953125" style="42" customWidth="1"/>
    <col min="62" max="62" width="16.6328125" style="42" customWidth="1"/>
    <col min="63" max="63" width="7.90625" style="42" customWidth="1"/>
    <col min="64" max="64" width="8.90625" style="42" customWidth="1"/>
    <col min="65" max="65" width="9.90625" style="43" customWidth="1"/>
    <col min="66" max="66" width="14.26953125" style="43" customWidth="1"/>
    <col min="67" max="67" width="16.6328125" style="43" customWidth="1"/>
    <col min="68" max="68" width="7.90625" style="43" customWidth="1"/>
    <col min="69" max="69" width="8.90625" style="43" customWidth="1"/>
    <col min="70" max="70" width="9.90625" style="43" customWidth="1"/>
    <col min="71" max="71" width="14.26953125" style="43" customWidth="1"/>
    <col min="72" max="72" width="16.6328125" style="43" customWidth="1"/>
    <col min="73" max="74" width="8.90625" style="43" customWidth="1"/>
    <col min="75" max="75" width="9.90625" style="43" customWidth="1"/>
    <col min="76" max="76" width="14.26953125" style="43" customWidth="1"/>
    <col min="77" max="77" width="16.6328125" style="43" customWidth="1"/>
    <col min="78" max="79" width="8.90625" style="43" customWidth="1"/>
    <col min="80" max="80" width="9.453125" style="43" customWidth="1"/>
    <col min="81" max="82" width="14.26953125" style="43" bestFit="1" customWidth="1"/>
    <col min="83" max="83" width="22.6328125" style="43" bestFit="1" customWidth="1"/>
    <col min="84" max="85" width="14.26953125" style="43" bestFit="1" customWidth="1"/>
    <col min="86" max="86" width="20.7265625" style="43" bestFit="1" customWidth="1"/>
    <col min="87" max="88" width="12" style="43" bestFit="1" customWidth="1"/>
    <col min="89" max="89" width="14.26953125" style="43" bestFit="1" customWidth="1"/>
    <col min="90" max="90" width="27.90625" style="43" bestFit="1" customWidth="1"/>
    <col min="91" max="91" width="14.26953125" style="43" bestFit="1" customWidth="1"/>
    <col min="92" max="92" width="18.7265625" style="43" bestFit="1" customWidth="1"/>
    <col min="93" max="93" width="9.90625" style="42" bestFit="1" customWidth="1"/>
    <col min="94" max="94" width="14.26953125" style="42" bestFit="1" customWidth="1"/>
    <col min="95" max="95" width="20.7265625" style="42" bestFit="1" customWidth="1"/>
    <col min="96" max="96" width="7" style="42" bestFit="1" customWidth="1"/>
    <col min="97" max="97" width="18.90625" style="42" bestFit="1" customWidth="1"/>
    <col min="98" max="98" width="27" style="42" bestFit="1" customWidth="1"/>
    <col min="99" max="99" width="15.26953125" style="42" bestFit="1" customWidth="1"/>
    <col min="100" max="100" width="12" style="42" bestFit="1" customWidth="1"/>
    <col min="101" max="101" width="14.26953125" style="42" bestFit="1" customWidth="1"/>
    <col min="102" max="102" width="14.26953125" style="42" customWidth="1"/>
    <col min="103" max="16384" width="9" style="42"/>
  </cols>
  <sheetData>
    <row r="1" spans="1:103" ht="251.15" customHeight="1" x14ac:dyDescent="0.25"/>
    <row r="2" spans="1:103" ht="85" customHeight="1" thickBot="1" x14ac:dyDescent="0.3"/>
    <row r="3" spans="1:103" ht="26" thickTop="1" thickBot="1" x14ac:dyDescent="0.3">
      <c r="A3" s="332" t="s">
        <v>602</v>
      </c>
      <c r="B3" s="333"/>
      <c r="C3" s="333"/>
      <c r="D3" s="334"/>
      <c r="E3" s="44"/>
      <c r="F3" s="332" t="s">
        <v>639</v>
      </c>
      <c r="G3" s="333"/>
      <c r="H3" s="334"/>
      <c r="R3" s="42"/>
      <c r="AA3" s="154"/>
      <c r="AF3" s="42"/>
      <c r="AG3" s="42">
        <v>0</v>
      </c>
      <c r="AH3" s="317" t="s">
        <v>554</v>
      </c>
      <c r="AI3" s="318"/>
      <c r="AJ3" s="319"/>
      <c r="AL3" s="314" t="s">
        <v>650</v>
      </c>
      <c r="AM3" s="315"/>
      <c r="AN3" s="315"/>
      <c r="AO3" s="315"/>
      <c r="AP3" s="315"/>
      <c r="AQ3" s="315"/>
      <c r="AR3" s="315"/>
      <c r="AS3" s="315"/>
      <c r="AT3" s="315"/>
      <c r="AU3" s="316"/>
      <c r="AV3" s="44"/>
      <c r="AW3" s="44"/>
      <c r="AX3" s="44"/>
      <c r="AY3" s="185"/>
      <c r="AZ3" s="185"/>
      <c r="BA3" s="185"/>
      <c r="BB3" s="183"/>
      <c r="BC3" s="314" t="s">
        <v>673</v>
      </c>
      <c r="BD3" s="315"/>
      <c r="BE3" s="315"/>
      <c r="BF3" s="315"/>
      <c r="BG3" s="315"/>
      <c r="BH3" s="315"/>
      <c r="BI3" s="315"/>
      <c r="BJ3" s="315"/>
      <c r="BK3" s="315"/>
      <c r="BL3" s="315"/>
      <c r="BM3" s="315"/>
      <c r="BN3" s="315"/>
      <c r="BO3" s="315"/>
      <c r="BP3" s="315"/>
      <c r="BQ3" s="315"/>
      <c r="BR3" s="315"/>
      <c r="BS3" s="315"/>
      <c r="BT3" s="315"/>
      <c r="BU3" s="315"/>
      <c r="BV3" s="315"/>
      <c r="BW3" s="315"/>
      <c r="BX3" s="315"/>
      <c r="BY3" s="315"/>
      <c r="BZ3" s="315"/>
      <c r="CA3" s="316"/>
      <c r="CC3" s="317" t="s">
        <v>603</v>
      </c>
      <c r="CD3" s="318"/>
      <c r="CE3" s="318"/>
      <c r="CF3" s="318"/>
      <c r="CG3" s="318"/>
      <c r="CH3" s="318"/>
      <c r="CI3" s="317" t="s">
        <v>604</v>
      </c>
      <c r="CJ3" s="318"/>
      <c r="CK3" s="318"/>
      <c r="CL3" s="318"/>
      <c r="CM3" s="318"/>
      <c r="CN3" s="318"/>
      <c r="CO3" s="318"/>
      <c r="CP3" s="318"/>
      <c r="CQ3" s="319"/>
      <c r="CR3" s="317" t="s">
        <v>605</v>
      </c>
      <c r="CS3" s="318"/>
      <c r="CT3" s="318"/>
      <c r="CU3" s="318"/>
      <c r="CV3" s="318"/>
      <c r="CW3" s="318"/>
      <c r="CX3" s="319"/>
    </row>
    <row r="4" spans="1:103" ht="20.5" thickTop="1" x14ac:dyDescent="0.25">
      <c r="A4" s="157" t="s">
        <v>649</v>
      </c>
      <c r="B4" s="77"/>
      <c r="C4" s="158">
        <f xml:space="preserve"> AI14</f>
        <v>3</v>
      </c>
      <c r="D4" s="159"/>
      <c r="F4" s="47" t="s">
        <v>558</v>
      </c>
      <c r="G4" s="46" t="s">
        <v>559</v>
      </c>
      <c r="H4" s="48" t="s">
        <v>562</v>
      </c>
      <c r="R4" s="42"/>
      <c r="AA4" s="126"/>
      <c r="AF4" s="42"/>
      <c r="AG4" s="42"/>
      <c r="AH4" s="45" t="s">
        <v>557</v>
      </c>
      <c r="AI4" s="186" t="str">
        <f>IF(OR(基本参数输入!B2 = "S2", 基本参数输入!B2 = "S3"), 基本参数输入!B2, "")</f>
        <v>S3</v>
      </c>
      <c r="AJ4" s="48"/>
      <c r="AK4" s="44"/>
      <c r="AL4" s="46"/>
      <c r="AM4" s="307" t="s">
        <v>652</v>
      </c>
      <c r="AN4" s="307"/>
      <c r="AO4" s="307" t="s">
        <v>653</v>
      </c>
      <c r="AP4" s="307"/>
      <c r="AQ4" s="307"/>
      <c r="AR4" s="307"/>
      <c r="AS4" s="307"/>
      <c r="AT4" s="307" t="s">
        <v>658</v>
      </c>
      <c r="AU4" s="307"/>
      <c r="AV4" s="50"/>
      <c r="AW4" s="308" t="s">
        <v>596</v>
      </c>
      <c r="AX4" s="308"/>
      <c r="AY4" s="308"/>
      <c r="AZ4" s="308"/>
      <c r="BA4" s="308"/>
      <c r="BB4" s="308"/>
      <c r="BC4" s="308" t="s">
        <v>666</v>
      </c>
      <c r="BD4" s="308"/>
      <c r="BE4" s="308"/>
      <c r="BF4" s="308"/>
      <c r="BG4" s="308"/>
      <c r="BH4" s="308" t="s">
        <v>669</v>
      </c>
      <c r="BI4" s="308"/>
      <c r="BJ4" s="308"/>
      <c r="BK4" s="308"/>
      <c r="BL4" s="308"/>
      <c r="BM4" s="308" t="s">
        <v>670</v>
      </c>
      <c r="BN4" s="308"/>
      <c r="BO4" s="308"/>
      <c r="BP4" s="308"/>
      <c r="BQ4" s="308"/>
      <c r="BR4" s="308" t="s">
        <v>671</v>
      </c>
      <c r="BS4" s="308"/>
      <c r="BT4" s="308"/>
      <c r="BU4" s="308"/>
      <c r="BV4" s="308"/>
      <c r="BW4" s="308" t="s">
        <v>672</v>
      </c>
      <c r="BX4" s="308"/>
      <c r="BY4" s="308"/>
      <c r="BZ4" s="308"/>
      <c r="CA4" s="308"/>
      <c r="CB4" s="161"/>
      <c r="CI4" s="317"/>
      <c r="CJ4" s="318"/>
      <c r="CK4" s="318"/>
      <c r="CL4" s="318"/>
      <c r="CM4" s="318"/>
      <c r="CN4" s="318"/>
      <c r="CO4" s="318"/>
      <c r="CP4" s="318"/>
      <c r="CQ4" s="319"/>
      <c r="CS4" s="188" t="s">
        <v>677</v>
      </c>
      <c r="CT4" s="42">
        <f xml:space="preserve"> AI14 + AI15</f>
        <v>13</v>
      </c>
    </row>
    <row r="5" spans="1:103" x14ac:dyDescent="0.25">
      <c r="A5" s="128" t="s">
        <v>640</v>
      </c>
      <c r="B5" s="129" t="s">
        <v>641</v>
      </c>
      <c r="C5" s="129" t="s">
        <v>642</v>
      </c>
      <c r="D5" s="48" t="s">
        <v>607</v>
      </c>
      <c r="F5" s="58">
        <v>1</v>
      </c>
      <c r="G5" s="15">
        <v>8667</v>
      </c>
      <c r="H5" s="155" t="s">
        <v>634</v>
      </c>
      <c r="R5" s="42"/>
      <c r="AA5" s="50"/>
      <c r="AF5" s="42"/>
      <c r="AG5" s="42"/>
      <c r="AH5" s="45" t="s">
        <v>574</v>
      </c>
      <c r="AI5" s="186">
        <f>基本参数输入!B3</f>
        <v>2274</v>
      </c>
      <c r="AJ5" s="48" t="s">
        <v>0</v>
      </c>
      <c r="AK5" s="49"/>
      <c r="AL5" s="164" t="s">
        <v>651</v>
      </c>
      <c r="AM5" s="46" t="s">
        <v>560</v>
      </c>
      <c r="AN5" s="46" t="s">
        <v>561</v>
      </c>
      <c r="AO5" s="165" t="s">
        <v>654</v>
      </c>
      <c r="AP5" s="165" t="s">
        <v>655</v>
      </c>
      <c r="AQ5" s="165" t="s">
        <v>656</v>
      </c>
      <c r="AR5" s="165" t="s">
        <v>657</v>
      </c>
      <c r="AS5" s="165" t="s">
        <v>676</v>
      </c>
      <c r="AT5" s="165" t="s">
        <v>659</v>
      </c>
      <c r="AU5" s="165" t="s">
        <v>660</v>
      </c>
      <c r="AV5" s="50"/>
      <c r="AW5" s="307" t="s">
        <v>674</v>
      </c>
      <c r="AX5" s="347"/>
      <c r="AY5" s="182" t="s">
        <v>597</v>
      </c>
      <c r="AZ5" s="182" t="s">
        <v>662</v>
      </c>
      <c r="BA5" s="182" t="s">
        <v>661</v>
      </c>
      <c r="BB5" s="182"/>
      <c r="BC5" s="182" t="s">
        <v>665</v>
      </c>
      <c r="BD5" s="182" t="s">
        <v>667</v>
      </c>
      <c r="BE5" s="182" t="s">
        <v>668</v>
      </c>
      <c r="BF5" s="182" t="s">
        <v>664</v>
      </c>
      <c r="BG5" s="182" t="s">
        <v>569</v>
      </c>
      <c r="BH5" s="182" t="s">
        <v>665</v>
      </c>
      <c r="BI5" s="182" t="s">
        <v>667</v>
      </c>
      <c r="BJ5" s="182" t="s">
        <v>668</v>
      </c>
      <c r="BK5" s="182" t="s">
        <v>664</v>
      </c>
      <c r="BL5" s="182" t="s">
        <v>569</v>
      </c>
      <c r="BM5" s="182" t="s">
        <v>665</v>
      </c>
      <c r="BN5" s="182" t="s">
        <v>667</v>
      </c>
      <c r="BO5" s="182" t="s">
        <v>668</v>
      </c>
      <c r="BP5" s="182" t="s">
        <v>664</v>
      </c>
      <c r="BQ5" s="182" t="s">
        <v>569</v>
      </c>
      <c r="BR5" s="182" t="s">
        <v>665</v>
      </c>
      <c r="BS5" s="182" t="s">
        <v>667</v>
      </c>
      <c r="BT5" s="182" t="s">
        <v>668</v>
      </c>
      <c r="BU5" s="182" t="s">
        <v>664</v>
      </c>
      <c r="BV5" s="182" t="s">
        <v>569</v>
      </c>
      <c r="BW5" s="182" t="s">
        <v>665</v>
      </c>
      <c r="BX5" s="182" t="s">
        <v>667</v>
      </c>
      <c r="BY5" s="182" t="s">
        <v>668</v>
      </c>
      <c r="BZ5" s="182" t="s">
        <v>664</v>
      </c>
      <c r="CA5" s="182" t="s">
        <v>569</v>
      </c>
      <c r="CC5" s="51" t="s">
        <v>606</v>
      </c>
      <c r="CD5" s="52" t="s">
        <v>608</v>
      </c>
      <c r="CE5" s="52" t="s">
        <v>609</v>
      </c>
      <c r="CF5" s="52" t="s">
        <v>592</v>
      </c>
      <c r="CG5" s="52" t="s">
        <v>566</v>
      </c>
      <c r="CH5" s="53" t="s">
        <v>610</v>
      </c>
      <c r="CI5" s="51"/>
      <c r="CJ5" s="52" t="s">
        <v>611</v>
      </c>
      <c r="CK5" s="52" t="s">
        <v>612</v>
      </c>
      <c r="CL5" s="52" t="s">
        <v>524</v>
      </c>
      <c r="CM5" s="52" t="s">
        <v>563</v>
      </c>
      <c r="CN5" s="52" t="s">
        <v>613</v>
      </c>
      <c r="CO5" s="52" t="s">
        <v>592</v>
      </c>
      <c r="CP5" s="52" t="s">
        <v>566</v>
      </c>
      <c r="CQ5" s="54" t="s">
        <v>614</v>
      </c>
      <c r="CR5" s="55"/>
      <c r="CS5" s="56" t="s">
        <v>615</v>
      </c>
      <c r="CT5" s="56" t="s">
        <v>524</v>
      </c>
      <c r="CU5" s="56" t="s">
        <v>571</v>
      </c>
      <c r="CV5" s="56" t="s">
        <v>570</v>
      </c>
      <c r="CW5" s="56" t="s">
        <v>612</v>
      </c>
      <c r="CX5" s="57" t="s">
        <v>563</v>
      </c>
    </row>
    <row r="6" spans="1:103" x14ac:dyDescent="0.25">
      <c r="A6" s="47">
        <v>1</v>
      </c>
      <c r="B6" s="15">
        <v>15</v>
      </c>
      <c r="C6" s="15" t="s">
        <v>488</v>
      </c>
      <c r="D6" s="48">
        <f xml:space="preserve"> IF(B6 = "", "", AI18 + B6 * AI6 + (B6 - 1) * AI11 + AI13 / 2)</f>
        <v>17490</v>
      </c>
      <c r="F6" s="60">
        <v>2</v>
      </c>
      <c r="G6" s="15">
        <v>8693</v>
      </c>
      <c r="H6" s="155" t="s">
        <v>634</v>
      </c>
      <c r="R6" s="42"/>
      <c r="AA6" s="50"/>
      <c r="AF6" s="42"/>
      <c r="AG6" s="42"/>
      <c r="AH6" s="45" t="s">
        <v>527</v>
      </c>
      <c r="AI6" s="186">
        <f>基本参数输入!B4</f>
        <v>1134</v>
      </c>
      <c r="AJ6" s="48" t="s">
        <v>0</v>
      </c>
      <c r="AK6" s="50"/>
      <c r="AL6" s="166">
        <v>1</v>
      </c>
      <c r="AM6" s="46">
        <f xml:space="preserve"> IF(G5 = "", NA(), IF(AS6 = 0, AP6, AO6))</f>
        <v>0</v>
      </c>
      <c r="AN6" s="46">
        <f xml:space="preserve"> IF(G5 = "", NA(), AM6 + G5)</f>
        <v>8667</v>
      </c>
      <c r="AO6" s="181">
        <v>0</v>
      </c>
      <c r="AP6" s="181">
        <v>0</v>
      </c>
      <c r="AQ6" s="181">
        <v>0</v>
      </c>
      <c r="AR6" s="181">
        <v>0</v>
      </c>
      <c r="AS6" s="181">
        <v>0</v>
      </c>
      <c r="AT6" s="46"/>
      <c r="AU6" s="46"/>
      <c r="AV6" s="50">
        <f>B6</f>
        <v>15</v>
      </c>
      <c r="AW6" s="187">
        <v>1</v>
      </c>
      <c r="AX6" s="187">
        <f xml:space="preserve"> AW6 + AV6</f>
        <v>16</v>
      </c>
      <c r="AY6" s="181">
        <v>1</v>
      </c>
      <c r="AZ6" s="181">
        <v>0</v>
      </c>
      <c r="BA6" s="181">
        <f xml:space="preserve"> AI18 - AI11 / 2</f>
        <v>145</v>
      </c>
      <c r="BB6" s="46">
        <v>1</v>
      </c>
      <c r="BC6" s="46"/>
      <c r="BD6" s="181">
        <v>1</v>
      </c>
      <c r="BE6" s="181"/>
      <c r="BF6" s="181">
        <f ca="1" xml:space="preserve"> BF7- $AI$11 / 2</f>
        <v>145</v>
      </c>
      <c r="BG6" s="181">
        <f>$AI$22</f>
        <v>1429.6708841029067</v>
      </c>
      <c r="BH6" s="181"/>
      <c r="BI6" s="181">
        <f>AW7</f>
        <v>17</v>
      </c>
      <c r="BJ6" s="181"/>
      <c r="BK6" s="181">
        <f ca="1" xml:space="preserve"> BK7- $AI$11 / 2</f>
        <v>17675</v>
      </c>
      <c r="BL6" s="181">
        <f>$AI$22</f>
        <v>1429.6708841029067</v>
      </c>
      <c r="BM6" s="181"/>
      <c r="BN6" s="181">
        <f>AW8</f>
        <v>0</v>
      </c>
      <c r="BO6" s="181"/>
      <c r="BP6" s="181" t="e">
        <f ca="1" xml:space="preserve"> BP7- $AI$11 / 2</f>
        <v>#N/A</v>
      </c>
      <c r="BQ6" s="181">
        <f>$AI$22</f>
        <v>1429.6708841029067</v>
      </c>
      <c r="BR6" s="181"/>
      <c r="BS6" s="181">
        <f>AW9</f>
        <v>45</v>
      </c>
      <c r="BT6" s="181"/>
      <c r="BU6" s="181">
        <f ca="1" xml:space="preserve"> BU7- $AI$11 / 2</f>
        <v>48933</v>
      </c>
      <c r="BV6" s="181">
        <f>$AI$22</f>
        <v>1429.6708841029067</v>
      </c>
      <c r="BW6" s="181"/>
      <c r="BX6" s="181">
        <f>AW10</f>
        <v>73</v>
      </c>
      <c r="BY6" s="181"/>
      <c r="BZ6" s="181">
        <f ca="1" xml:space="preserve"> BZ7- $AI$11 / 2</f>
        <v>80191</v>
      </c>
      <c r="CA6" s="181">
        <f>$AI$22</f>
        <v>1429.6708841029067</v>
      </c>
      <c r="CC6" s="51">
        <v>1</v>
      </c>
      <c r="CD6" s="52">
        <f>IF(B6 = "", "", D6)</f>
        <v>17490</v>
      </c>
      <c r="CE6" s="52">
        <f>IF(CD6 = "", NA(), CD6)</f>
        <v>17490</v>
      </c>
      <c r="CF6" s="52">
        <f>IF(CD6 = "", NA(), $AI$25)</f>
        <v>0</v>
      </c>
      <c r="CG6" s="52">
        <f>IF(CD6 = "", NA(), $AI$25 + $AI$26)</f>
        <v>200</v>
      </c>
      <c r="CH6" s="53">
        <f>IF(CD6 = "", NA(), $AI$22)</f>
        <v>1429.6708841029067</v>
      </c>
      <c r="CI6" s="325" t="s">
        <v>616</v>
      </c>
      <c r="CJ6" s="52">
        <v>1</v>
      </c>
      <c r="CK6" s="59">
        <f t="shared" ref="CK6:CK15" si="0" xml:space="preserve"> IF(D26 = "", "", D26)</f>
        <v>2085</v>
      </c>
      <c r="CL6" s="59" t="str">
        <f t="shared" ref="CL6:CL15" si="1" xml:space="preserve"> IF(D26 = "", "", C26)</f>
        <v>H200x100x4.3x5.2-Q235</v>
      </c>
      <c r="CM6" s="52">
        <f t="shared" ref="CM6:CM37" si="2">IF(ROW(A1) &lt;= $AI$15, ROW(A1), NA())</f>
        <v>1</v>
      </c>
      <c r="CN6" s="52">
        <f t="shared" ref="CN6:CN37" si="3">IF(ROW(A1) &lt;= $AI$15, SMALL($CK$6:$CK$55, ROW(A1)), NA())</f>
        <v>2085</v>
      </c>
      <c r="CO6" s="52">
        <f t="shared" ref="CO6:CO37" si="4">IF(ROW(A1) &lt;= $AI$15, $AI$25, NA())</f>
        <v>0</v>
      </c>
      <c r="CP6" s="52">
        <f t="shared" ref="CP6:CP37" si="5">IF(ROW(A1) &lt;= $AI$15, $AI$25 + $AI$26, NA())</f>
        <v>200</v>
      </c>
      <c r="CQ6" s="54">
        <f t="shared" ref="CQ6:CQ37" si="6" xml:space="preserve"> IF(CN6, $AI$22, NA())</f>
        <v>1429.6708841029067</v>
      </c>
      <c r="CR6" s="55">
        <f>IF(ROW(A1) &lt;= $CT$4, ROW(A1), NA())</f>
        <v>1</v>
      </c>
      <c r="CS6" s="56">
        <f>IF(ROW(A1) &lt;= $CT$4, SMALL($CK$6:$CK$59, ROW(A1)), NA())</f>
        <v>2085</v>
      </c>
      <c r="CT6" s="56" t="str">
        <f>VLOOKUP(CS6, $CK$6:$CL$59, 2,FALSE )</f>
        <v>H200x100x4.3x5.2-Q235</v>
      </c>
      <c r="CU6" s="56">
        <f>CS6</f>
        <v>2085</v>
      </c>
      <c r="CV6" s="56">
        <f>CS6 / 2</f>
        <v>1042.5</v>
      </c>
      <c r="CW6" s="56">
        <f t="shared" ref="CW6:CW37" si="7">IF(CK6 = "", NA(), CK6)</f>
        <v>2085</v>
      </c>
      <c r="CX6" s="57">
        <f t="shared" ref="CX6:CX37" si="8">IF(CK6 = "", NA(), CJ6)</f>
        <v>1</v>
      </c>
      <c r="CY6" s="42">
        <f t="shared" ref="CY6:CY23" si="9" xml:space="preserve"> $AI$22 / 2</f>
        <v>714.83544205145336</v>
      </c>
    </row>
    <row r="7" spans="1:103" x14ac:dyDescent="0.25">
      <c r="A7" s="47">
        <v>2</v>
      </c>
      <c r="B7" s="15">
        <v>27</v>
      </c>
      <c r="C7" s="15" t="s">
        <v>488</v>
      </c>
      <c r="D7" s="48">
        <f xml:space="preserve"> IF(B7 = "", NA(), D6 + B7 * $AI$6 + (B7 - 1) *$AI$11 + $AI$13)</f>
        <v>48748</v>
      </c>
      <c r="F7" s="61">
        <v>3</v>
      </c>
      <c r="G7" s="15">
        <v>10911</v>
      </c>
      <c r="H7" s="155" t="s">
        <v>634</v>
      </c>
      <c r="R7" s="42"/>
      <c r="AA7" s="50"/>
      <c r="AF7" s="42"/>
      <c r="AG7" s="42"/>
      <c r="AH7" s="45" t="s">
        <v>575</v>
      </c>
      <c r="AI7" s="186">
        <f>基本参数输入!B5</f>
        <v>35</v>
      </c>
      <c r="AJ7" s="48" t="s">
        <v>0</v>
      </c>
      <c r="AK7" s="50"/>
      <c r="AL7" s="167">
        <v>2</v>
      </c>
      <c r="AM7" s="46">
        <f t="shared" ref="AM7:AM19" si="10" xml:space="preserve"> IF(G6 = "", NA(), IF(AS7 = 0, AP7, AO7))</f>
        <v>8713</v>
      </c>
      <c r="AN7" s="46">
        <f t="shared" ref="AN7:AN19" si="11" xml:space="preserve"> IF(G6 = "", NA(), AM7 + G6)</f>
        <v>17406</v>
      </c>
      <c r="AO7" s="46">
        <f t="shared" ref="AO7:AO19" si="12" xml:space="preserve"> IF(G6 = "", NA(), AN6 + $AI$38 + $AI$39)</f>
        <v>8817</v>
      </c>
      <c r="AP7" s="46">
        <f t="shared" ref="AP7:AP19" si="13" xml:space="preserve"> IF(G6 = "", NA(), AN6 + $AI$16)</f>
        <v>8713</v>
      </c>
      <c r="AQ7" s="46">
        <f t="shared" ref="AQ7:AQ19" si="14" xml:space="preserve"> AO7 - $AI$39</f>
        <v>8751</v>
      </c>
      <c r="AR7" s="46">
        <f t="shared" ref="AR7:AR19" si="15">AP7 - $AI$16 / 2</f>
        <v>8690</v>
      </c>
      <c r="AS7" s="46">
        <f xml:space="preserve"> IFERROR(MATCH(AQ7, $D$6:$D$9, 0), 0)</f>
        <v>0</v>
      </c>
      <c r="AT7" s="46">
        <f t="shared" ref="AT7:AT20" si="16">IF(AS7 = 0, AR7 - $AI$23 / 2, NA())</f>
        <v>8540</v>
      </c>
      <c r="AU7" s="46">
        <f t="shared" ref="AU7:AU20" si="17">IF(AS7 = 0, AR7 + $AI$23 / 2, NA())</f>
        <v>8840</v>
      </c>
      <c r="AV7" s="50">
        <f xml:space="preserve"> IF(AI14 = 3, B7, IF(AI14 = 4, B7, 0))</f>
        <v>27</v>
      </c>
      <c r="AW7" s="258">
        <f>IF(AV7 = 0, 0, MAX($AX$6:AX6) + 1)</f>
        <v>17</v>
      </c>
      <c r="AX7" s="258">
        <f xml:space="preserve"> IF(AV7 = 0, 0, AW7 + AV7)</f>
        <v>44</v>
      </c>
      <c r="AY7" s="46">
        <v>2</v>
      </c>
      <c r="AZ7" s="46">
        <f t="shared" ref="AZ7:AZ38" si="18" xml:space="preserve"> IFERROR(MATCH(AY7, $AW$7:$AW$10, 0), 0)</f>
        <v>0</v>
      </c>
      <c r="BA7" s="46">
        <f t="shared" ref="BA7:BA38" si="19">IF(AY7 &lt;= $AX$11, IF(AZ7 = 0, BA6 + $AI$6 + $AI$11, BA6 + ($AI$13 - $AI$11)))</f>
        <v>1289</v>
      </c>
      <c r="BB7" s="46">
        <v>2</v>
      </c>
      <c r="BC7" s="46">
        <v>0</v>
      </c>
      <c r="BD7" s="46">
        <f xml:space="preserve"> IF($AW$6 + ROUNDDOWN(BC7 / 3, 0) &lt; $AX$6, $AW$6 + ROUNDDOWN(BC7 / 3, 0), NA())</f>
        <v>1</v>
      </c>
      <c r="BE7" s="46">
        <f ca="1" xml:space="preserve"> OFFSET($BA$6, BD7, , ,)</f>
        <v>1289</v>
      </c>
      <c r="BF7" s="46">
        <f t="shared" ref="BF7:BF38" ca="1" si="20" xml:space="preserve"> IF(BE7, IF(MOD(BC7, 3) = 0, BE7 - $AI$11 / 2 - $AI$6, IF(MOD(BC7, 3) = 1, BE7 - $AI$11 / 2, BE7)))</f>
        <v>150</v>
      </c>
      <c r="BG7" s="46">
        <f t="shared" ref="BG7:BG38" ca="1" si="21" xml:space="preserve"> IF(BE7, IF(MOD(BC7, 3) = 2, $AI$22, $AI$22 + 60 + 50 + 35))</f>
        <v>1574.6708841029067</v>
      </c>
      <c r="BH7" s="46">
        <v>0</v>
      </c>
      <c r="BI7" s="46">
        <f xml:space="preserve"> IF($AW$7 + ROUNDDOWN(BH7 / 3, 0) &lt; $AX$7, $AW$7 + ROUNDDOWN(BH7 / 3, 0), NA())</f>
        <v>17</v>
      </c>
      <c r="BJ7" s="46">
        <f ca="1" xml:space="preserve"> OFFSET($BA$6, BI7, , ,)</f>
        <v>18819</v>
      </c>
      <c r="BK7" s="46">
        <f t="shared" ref="BK7:BK38" ca="1" si="22" xml:space="preserve"> IF(BJ7, IF(MOD(BH7, 3) = 0, BJ7 - $AI$11 / 2 - $AI$6, IF(MOD(BH7, 3) = 1, BJ7 - $AI$11 / 2, BJ7)))</f>
        <v>17680</v>
      </c>
      <c r="BL7" s="46">
        <f t="shared" ref="BL7:BL38" ca="1" si="23" xml:space="preserve"> IF(BJ7, IF(MOD(BH7, 3) = 2, $AI$22, $AI$22 + 60 + 50 + 35))</f>
        <v>1574.6708841029067</v>
      </c>
      <c r="BM7" s="46">
        <v>0</v>
      </c>
      <c r="BN7" s="46" t="e">
        <f xml:space="preserve"> IF($AW$8 + ROUNDDOWN(BM7 / 3, 0) &lt; $AX$8, $AW$8 + ROUNDDOWN(BM7 / 3, 0), NA())</f>
        <v>#N/A</v>
      </c>
      <c r="BO7" s="46" t="e">
        <f ca="1" xml:space="preserve"> OFFSET($BA$6, BN7, , ,)</f>
        <v>#N/A</v>
      </c>
      <c r="BP7" s="46" t="e">
        <f t="shared" ref="BP7:BP38" ca="1" si="24" xml:space="preserve"> IF(BO7, IF(MOD(BM7, 3) = 0, BO7 - $AI$11 / 2 - $AI$6, IF(MOD(BM7, 3) = 1, BO7 - $AI$11 / 2, BO7)))</f>
        <v>#N/A</v>
      </c>
      <c r="BQ7" s="46" t="e">
        <f t="shared" ref="BQ7:BQ38" ca="1" si="25" xml:space="preserve"> IF(BO7, IF(MOD(BM7, 3) = 2, $AI$22, $AI$22 + 60 + 50 + 35))</f>
        <v>#N/A</v>
      </c>
      <c r="BR7" s="46">
        <v>0</v>
      </c>
      <c r="BS7" s="46">
        <f xml:space="preserve"> IF($AW$9 + ROUNDDOWN(BR7 / 3, 0) &lt; $AX$9, $AW$9 + ROUNDDOWN(BR7 / 3, 0), NA())</f>
        <v>45</v>
      </c>
      <c r="BT7" s="46">
        <f ca="1" xml:space="preserve"> OFFSET($BA$6, BS7, , ,)</f>
        <v>50077</v>
      </c>
      <c r="BU7" s="46">
        <f t="shared" ref="BU7:BU38" ca="1" si="26" xml:space="preserve"> IF(BT7, IF(MOD(BR7, 3) = 0, BT7 - $AI$11 / 2 - $AI$6, IF(MOD(BR7, 3) = 1, BT7 - $AI$11 / 2, BT7)))</f>
        <v>48938</v>
      </c>
      <c r="BV7" s="46">
        <f t="shared" ref="BV7:BV38" ca="1" si="27" xml:space="preserve"> IF(BT7, IF(MOD(BR7, 3) = 2, $AI$22, $AI$22 + 60 + 50 + 35))</f>
        <v>1574.6708841029067</v>
      </c>
      <c r="BW7" s="46">
        <v>0</v>
      </c>
      <c r="BX7" s="46">
        <f xml:space="preserve"> IF($AW$10 + ROUNDDOWN(BW7 / 3, 0) &lt; $AX$10, $AW$10 + ROUNDDOWN(BW7 / 3, 0), NA())</f>
        <v>73</v>
      </c>
      <c r="BY7" s="46">
        <f ca="1" xml:space="preserve"> OFFSET($BA$6, BX7, , ,)</f>
        <v>81335</v>
      </c>
      <c r="BZ7" s="46">
        <f t="shared" ref="BZ7:BZ38" ca="1" si="28" xml:space="preserve"> IF(BY7, IF(MOD(BW7, 3) = 0, BY7 - $AI$11 / 2 - $AI$6, IF(MOD(BW7, 3) = 1, BY7 - $AI$11 / 2, BY7)))</f>
        <v>80196</v>
      </c>
      <c r="CA7" s="46">
        <f t="shared" ref="CA7:CA38" ca="1" si="29" xml:space="preserve"> IF(BY7, IF(MOD(BW7, 3) = 2, $AI$22, $AI$22 + 60 + 50 + 35))</f>
        <v>1574.6708841029067</v>
      </c>
      <c r="CC7" s="51">
        <v>2</v>
      </c>
      <c r="CD7" s="52">
        <f>IF(B7 = "", "", D7)</f>
        <v>48748</v>
      </c>
      <c r="CE7" s="52">
        <f t="shared" ref="CE7:CE9" si="30">IF(CD7 = "", NA(), CD7)</f>
        <v>48748</v>
      </c>
      <c r="CF7" s="52">
        <f>IF(CD7 = "", NA(), $AI$25)</f>
        <v>0</v>
      </c>
      <c r="CG7" s="52">
        <f>IF(CD7 = "", NA(), $AI$25 + $AI$26)</f>
        <v>200</v>
      </c>
      <c r="CH7" s="53">
        <f>IF(CD7 = "", NA(), $AI$22)</f>
        <v>1429.6708841029067</v>
      </c>
      <c r="CI7" s="325"/>
      <c r="CJ7" s="52">
        <v>2</v>
      </c>
      <c r="CK7" s="59">
        <f t="shared" si="0"/>
        <v>9785</v>
      </c>
      <c r="CL7" s="59" t="str">
        <f t="shared" si="1"/>
        <v>H200x100x4.3x5.2-Q235</v>
      </c>
      <c r="CM7" s="52">
        <f t="shared" si="2"/>
        <v>2</v>
      </c>
      <c r="CN7" s="52">
        <f t="shared" si="3"/>
        <v>9785</v>
      </c>
      <c r="CO7" s="52">
        <f t="shared" si="4"/>
        <v>0</v>
      </c>
      <c r="CP7" s="52">
        <f t="shared" si="5"/>
        <v>200</v>
      </c>
      <c r="CQ7" s="54">
        <f t="shared" si="6"/>
        <v>1429.6708841029067</v>
      </c>
      <c r="CR7" s="55">
        <f t="shared" ref="CR7:CR61" si="31">IF(ROW(A2) &lt;= $CT$4, ROW(A2), NA())</f>
        <v>2</v>
      </c>
      <c r="CS7" s="56">
        <f t="shared" ref="CS7:CS61" si="32">IF(ROW(A2) &lt;= $CT$4, SMALL($CK$6:$CK$59, ROW(A2)), NA())</f>
        <v>9785</v>
      </c>
      <c r="CT7" s="56" t="str">
        <f t="shared" ref="CT7:CT59" si="33">VLOOKUP(CS7, $CK$6:$CL$59, 2,FALSE )</f>
        <v>H200x100x4.3x5.2-Q235</v>
      </c>
      <c r="CU7" s="56">
        <f>CS7-CS6</f>
        <v>7700</v>
      </c>
      <c r="CV7" s="56">
        <f>CS6 + CU7 / 2</f>
        <v>5935</v>
      </c>
      <c r="CW7" s="56">
        <f t="shared" si="7"/>
        <v>9785</v>
      </c>
      <c r="CX7" s="57">
        <f t="shared" si="8"/>
        <v>2</v>
      </c>
      <c r="CY7" s="42">
        <f t="shared" si="9"/>
        <v>714.83544205145336</v>
      </c>
    </row>
    <row r="8" spans="1:103" x14ac:dyDescent="0.25">
      <c r="A8" s="47">
        <v>3</v>
      </c>
      <c r="B8" s="15">
        <v>27</v>
      </c>
      <c r="C8" s="15" t="s">
        <v>488</v>
      </c>
      <c r="D8" s="48">
        <f xml:space="preserve"> IF(B8 = "", NA(), D7 + B8 * $AI$6 + (B8 - 1) *$AI$11 + $AI$13)</f>
        <v>80006</v>
      </c>
      <c r="F8" s="62">
        <v>4</v>
      </c>
      <c r="G8" s="15">
        <v>9212</v>
      </c>
      <c r="H8" s="155" t="s">
        <v>634</v>
      </c>
      <c r="R8" s="42"/>
      <c r="AA8" s="50"/>
      <c r="AF8" s="42"/>
      <c r="AG8" s="42"/>
      <c r="AH8" s="45" t="s">
        <v>576</v>
      </c>
      <c r="AI8" s="186">
        <f>基本参数输入!B13</f>
        <v>84</v>
      </c>
      <c r="AJ8" s="48"/>
      <c r="AK8" s="50"/>
      <c r="AL8" s="168">
        <v>3</v>
      </c>
      <c r="AM8" s="46">
        <f t="shared" si="10"/>
        <v>17556</v>
      </c>
      <c r="AN8" s="46">
        <f t="shared" si="11"/>
        <v>28467</v>
      </c>
      <c r="AO8" s="46">
        <f t="shared" si="12"/>
        <v>17556</v>
      </c>
      <c r="AP8" s="46">
        <f t="shared" si="13"/>
        <v>17452</v>
      </c>
      <c r="AQ8" s="46">
        <f t="shared" si="14"/>
        <v>17490</v>
      </c>
      <c r="AR8" s="46">
        <f t="shared" si="15"/>
        <v>17429</v>
      </c>
      <c r="AS8" s="46">
        <f t="shared" ref="AS8:AS19" si="34" xml:space="preserve"> IFERROR(MATCH(AQ8, $D$6:$D$9, 0), 0)</f>
        <v>1</v>
      </c>
      <c r="AT8" s="46" t="e">
        <f t="shared" si="16"/>
        <v>#N/A</v>
      </c>
      <c r="AU8" s="46" t="e">
        <f t="shared" si="17"/>
        <v>#N/A</v>
      </c>
      <c r="AV8" s="50">
        <f xml:space="preserve"> IF(AI14 = 2, B7, IF(AI14 = 4, B8, 0))</f>
        <v>0</v>
      </c>
      <c r="AW8" s="260">
        <f>IF(AV8 = 0, 0, MAX($AX$6:AX7) + 1)</f>
        <v>0</v>
      </c>
      <c r="AX8" s="260">
        <f t="shared" ref="AX8:AX9" si="35" xml:space="preserve"> IF(AV8 = 0, 0, AW8 + AV8)</f>
        <v>0</v>
      </c>
      <c r="AY8" s="46">
        <v>3</v>
      </c>
      <c r="AZ8" s="46">
        <f t="shared" si="18"/>
        <v>0</v>
      </c>
      <c r="BA8" s="46">
        <f t="shared" si="19"/>
        <v>2433</v>
      </c>
      <c r="BB8" s="46">
        <v>3</v>
      </c>
      <c r="BC8" s="46">
        <v>1</v>
      </c>
      <c r="BD8" s="46">
        <f t="shared" ref="BD8:BD71" si="36" xml:space="preserve"> IF($AW$6 + ROUNDDOWN(BC8 / 3, 0) &lt; $AX$6, $AW$6 + ROUNDDOWN(BC8 / 3, 0), NA())</f>
        <v>1</v>
      </c>
      <c r="BE8" s="46">
        <f t="shared" ref="BE8:BE71" ca="1" si="37" xml:space="preserve"> OFFSET($BA$6, BD8, , ,)</f>
        <v>1289</v>
      </c>
      <c r="BF8" s="46">
        <f t="shared" ca="1" si="20"/>
        <v>1284</v>
      </c>
      <c r="BG8" s="46">
        <f t="shared" ca="1" si="21"/>
        <v>1574.6708841029067</v>
      </c>
      <c r="BH8" s="46">
        <v>1</v>
      </c>
      <c r="BI8" s="46">
        <f t="shared" ref="BI8:BI71" si="38" xml:space="preserve"> IF($AW$7 + ROUNDDOWN(BH8 / 3, 0) &lt; $AX$7, $AW$7 + ROUNDDOWN(BH8 / 3, 0), NA())</f>
        <v>17</v>
      </c>
      <c r="BJ8" s="46">
        <f t="shared" ref="BJ8:BJ71" ca="1" si="39" xml:space="preserve"> OFFSET($BA$6, BI8, , ,)</f>
        <v>18819</v>
      </c>
      <c r="BK8" s="46">
        <f t="shared" ca="1" si="22"/>
        <v>18814</v>
      </c>
      <c r="BL8" s="46">
        <f t="shared" ca="1" si="23"/>
        <v>1574.6708841029067</v>
      </c>
      <c r="BM8" s="46">
        <v>1</v>
      </c>
      <c r="BN8" s="46" t="e">
        <f t="shared" ref="BN8:BN71" si="40" xml:space="preserve"> IF($AW$8 + ROUNDDOWN(BM8 / 3, 0) &lt; $AX$8, $AW$8 + ROUNDDOWN(BM8 / 3, 0), NA())</f>
        <v>#N/A</v>
      </c>
      <c r="BO8" s="46" t="e">
        <f t="shared" ref="BO8:BO71" ca="1" si="41" xml:space="preserve"> OFFSET($BA$6, BN8, , ,)</f>
        <v>#N/A</v>
      </c>
      <c r="BP8" s="46" t="e">
        <f t="shared" ca="1" si="24"/>
        <v>#N/A</v>
      </c>
      <c r="BQ8" s="46" t="e">
        <f t="shared" ca="1" si="25"/>
        <v>#N/A</v>
      </c>
      <c r="BR8" s="46">
        <v>1</v>
      </c>
      <c r="BS8" s="46">
        <f t="shared" ref="BS8:BS71" si="42" xml:space="preserve"> IF($AW$9 + ROUNDDOWN(BR8 / 3, 0) &lt; $AX$9, $AW$9 + ROUNDDOWN(BR8 / 3, 0), NA())</f>
        <v>45</v>
      </c>
      <c r="BT8" s="46">
        <f t="shared" ref="BT8:BT71" ca="1" si="43" xml:space="preserve"> OFFSET($BA$6, BS8, , ,)</f>
        <v>50077</v>
      </c>
      <c r="BU8" s="46">
        <f t="shared" ca="1" si="26"/>
        <v>50072</v>
      </c>
      <c r="BV8" s="46">
        <f t="shared" ca="1" si="27"/>
        <v>1574.6708841029067</v>
      </c>
      <c r="BW8" s="46">
        <v>1</v>
      </c>
      <c r="BX8" s="46">
        <f t="shared" ref="BX8:BX71" si="44" xml:space="preserve"> IF($AW$10 + ROUNDDOWN(BW8 / 3, 0) &lt; $AX$10, $AW$10 + ROUNDDOWN(BW8 / 3, 0), NA())</f>
        <v>73</v>
      </c>
      <c r="BY8" s="46">
        <f t="shared" ref="BY8:BY71" ca="1" si="45" xml:space="preserve"> OFFSET($BA$6, BX8, , ,)</f>
        <v>81335</v>
      </c>
      <c r="BZ8" s="46">
        <f t="shared" ca="1" si="28"/>
        <v>81330</v>
      </c>
      <c r="CA8" s="46">
        <f t="shared" ca="1" si="29"/>
        <v>1574.6708841029067</v>
      </c>
      <c r="CC8" s="51">
        <v>3</v>
      </c>
      <c r="CD8" s="52">
        <f>IF(B8 = "", "", D8)</f>
        <v>80006</v>
      </c>
      <c r="CE8" s="52">
        <f t="shared" si="30"/>
        <v>80006</v>
      </c>
      <c r="CF8" s="52">
        <f>IF(CD8 = "", NA(), $AI$25)</f>
        <v>0</v>
      </c>
      <c r="CG8" s="52">
        <f>IF(CD8 = "", NA(), $AI$25 + $AI$26)</f>
        <v>200</v>
      </c>
      <c r="CH8" s="53">
        <f>IF(CD8 = "", NA(), $AI$22)</f>
        <v>1429.6708841029067</v>
      </c>
      <c r="CI8" s="325"/>
      <c r="CJ8" s="52">
        <v>3</v>
      </c>
      <c r="CK8" s="59" t="str">
        <f t="shared" si="0"/>
        <v/>
      </c>
      <c r="CL8" s="59" t="str">
        <f t="shared" si="1"/>
        <v/>
      </c>
      <c r="CM8" s="52">
        <f t="shared" si="2"/>
        <v>3</v>
      </c>
      <c r="CN8" s="52">
        <f t="shared" si="3"/>
        <v>25290</v>
      </c>
      <c r="CO8" s="52">
        <f t="shared" si="4"/>
        <v>0</v>
      </c>
      <c r="CP8" s="52">
        <f t="shared" si="5"/>
        <v>200</v>
      </c>
      <c r="CQ8" s="54">
        <f t="shared" si="6"/>
        <v>1429.6708841029067</v>
      </c>
      <c r="CR8" s="55">
        <f t="shared" si="31"/>
        <v>3</v>
      </c>
      <c r="CS8" s="56">
        <f t="shared" si="32"/>
        <v>17490</v>
      </c>
      <c r="CT8" s="56" t="str">
        <f t="shared" si="33"/>
        <v>H200x100x4.3x5.2-Q235</v>
      </c>
      <c r="CU8" s="56">
        <f t="shared" ref="CU8:CU59" si="46">CS8-CS7</f>
        <v>7705</v>
      </c>
      <c r="CV8" s="56">
        <f t="shared" ref="CV8:CV59" si="47">CS7 + CU8 / 2</f>
        <v>13637.5</v>
      </c>
      <c r="CW8" s="56" t="e">
        <f t="shared" si="7"/>
        <v>#N/A</v>
      </c>
      <c r="CX8" s="57" t="e">
        <f t="shared" si="8"/>
        <v>#N/A</v>
      </c>
      <c r="CY8" s="42">
        <f t="shared" si="9"/>
        <v>714.83544205145336</v>
      </c>
    </row>
    <row r="9" spans="1:103" x14ac:dyDescent="0.25">
      <c r="A9" s="47">
        <v>4</v>
      </c>
      <c r="B9" s="15"/>
      <c r="C9" s="15"/>
      <c r="D9" s="48" t="e">
        <f xml:space="preserve"> IF(B9 = "", NA(), D8 + B9 * $AI$6 + (B9 - 1) *$AI$11 + $AI$13)</f>
        <v>#N/A</v>
      </c>
      <c r="F9" s="66">
        <v>5</v>
      </c>
      <c r="G9" s="15">
        <v>10893</v>
      </c>
      <c r="H9" s="155" t="s">
        <v>634</v>
      </c>
      <c r="R9" s="42"/>
      <c r="AA9" s="50"/>
      <c r="AF9" s="42"/>
      <c r="AG9" s="42"/>
      <c r="AH9" s="45" t="s">
        <v>3</v>
      </c>
      <c r="AI9" s="186">
        <f>基本参数输入!H2</f>
        <v>1</v>
      </c>
      <c r="AJ9" s="48"/>
      <c r="AK9" s="50"/>
      <c r="AL9" s="169">
        <v>4</v>
      </c>
      <c r="AM9" s="46">
        <f t="shared" si="10"/>
        <v>28513</v>
      </c>
      <c r="AN9" s="46">
        <f t="shared" si="11"/>
        <v>37725</v>
      </c>
      <c r="AO9" s="46">
        <f t="shared" si="12"/>
        <v>28617</v>
      </c>
      <c r="AP9" s="46">
        <f t="shared" si="13"/>
        <v>28513</v>
      </c>
      <c r="AQ9" s="46">
        <f t="shared" si="14"/>
        <v>28551</v>
      </c>
      <c r="AR9" s="46">
        <f t="shared" si="15"/>
        <v>28490</v>
      </c>
      <c r="AS9" s="46">
        <f t="shared" si="34"/>
        <v>0</v>
      </c>
      <c r="AT9" s="46">
        <f t="shared" si="16"/>
        <v>28340</v>
      </c>
      <c r="AU9" s="46">
        <f t="shared" si="17"/>
        <v>28640</v>
      </c>
      <c r="AV9" s="50">
        <f xml:space="preserve"> IF(AI14 = 3, B8, IF(AI14 = 4, B9, 0))</f>
        <v>27</v>
      </c>
      <c r="AW9" s="260">
        <f>IF(AV9 = 0, 0, MAX($AX$6:AX8) + 1)</f>
        <v>45</v>
      </c>
      <c r="AX9" s="260">
        <f t="shared" si="35"/>
        <v>72</v>
      </c>
      <c r="AY9" s="46">
        <v>4</v>
      </c>
      <c r="AZ9" s="46">
        <f t="shared" si="18"/>
        <v>0</v>
      </c>
      <c r="BA9" s="46">
        <f t="shared" si="19"/>
        <v>3577</v>
      </c>
      <c r="BB9" s="46">
        <v>4</v>
      </c>
      <c r="BC9" s="46">
        <v>2</v>
      </c>
      <c r="BD9" s="46">
        <f t="shared" si="36"/>
        <v>1</v>
      </c>
      <c r="BE9" s="46">
        <f t="shared" ca="1" si="37"/>
        <v>1289</v>
      </c>
      <c r="BF9" s="46">
        <f t="shared" ca="1" si="20"/>
        <v>1289</v>
      </c>
      <c r="BG9" s="46">
        <f t="shared" ca="1" si="21"/>
        <v>1429.6708841029067</v>
      </c>
      <c r="BH9" s="46">
        <v>2</v>
      </c>
      <c r="BI9" s="46">
        <f t="shared" si="38"/>
        <v>17</v>
      </c>
      <c r="BJ9" s="46">
        <f t="shared" ca="1" si="39"/>
        <v>18819</v>
      </c>
      <c r="BK9" s="46">
        <f t="shared" ca="1" si="22"/>
        <v>18819</v>
      </c>
      <c r="BL9" s="46">
        <f t="shared" ca="1" si="23"/>
        <v>1429.6708841029067</v>
      </c>
      <c r="BM9" s="46">
        <v>2</v>
      </c>
      <c r="BN9" s="46" t="e">
        <f t="shared" si="40"/>
        <v>#N/A</v>
      </c>
      <c r="BO9" s="46" t="e">
        <f t="shared" ca="1" si="41"/>
        <v>#N/A</v>
      </c>
      <c r="BP9" s="46" t="e">
        <f t="shared" ca="1" si="24"/>
        <v>#N/A</v>
      </c>
      <c r="BQ9" s="46" t="e">
        <f t="shared" ca="1" si="25"/>
        <v>#N/A</v>
      </c>
      <c r="BR9" s="46">
        <v>2</v>
      </c>
      <c r="BS9" s="46">
        <f t="shared" si="42"/>
        <v>45</v>
      </c>
      <c r="BT9" s="46">
        <f t="shared" ca="1" si="43"/>
        <v>50077</v>
      </c>
      <c r="BU9" s="46">
        <f t="shared" ca="1" si="26"/>
        <v>50077</v>
      </c>
      <c r="BV9" s="46">
        <f t="shared" ca="1" si="27"/>
        <v>1429.6708841029067</v>
      </c>
      <c r="BW9" s="46">
        <v>2</v>
      </c>
      <c r="BX9" s="46">
        <f t="shared" si="44"/>
        <v>73</v>
      </c>
      <c r="BY9" s="46">
        <f t="shared" ca="1" si="45"/>
        <v>81335</v>
      </c>
      <c r="BZ9" s="46">
        <f t="shared" ca="1" si="28"/>
        <v>81335</v>
      </c>
      <c r="CA9" s="46">
        <f t="shared" ca="1" si="29"/>
        <v>1429.6708841029067</v>
      </c>
      <c r="CC9" s="51">
        <v>4</v>
      </c>
      <c r="CD9" s="52" t="str">
        <f>IF(B9 = "", "", D9)</f>
        <v/>
      </c>
      <c r="CE9" s="52" t="e">
        <f t="shared" si="30"/>
        <v>#N/A</v>
      </c>
      <c r="CF9" s="52" t="e">
        <f>IF(CD9 = "", NA(), $AI$25)</f>
        <v>#N/A</v>
      </c>
      <c r="CG9" s="52" t="e">
        <f>IF(CD9 = "", NA(), $AI$25 + $AI$26)</f>
        <v>#N/A</v>
      </c>
      <c r="CH9" s="53" t="e">
        <f>IF(CD9 = "", NA(), $AI$22)</f>
        <v>#N/A</v>
      </c>
      <c r="CI9" s="325"/>
      <c r="CJ9" s="52">
        <v>4</v>
      </c>
      <c r="CK9" s="59" t="str">
        <f t="shared" si="0"/>
        <v/>
      </c>
      <c r="CL9" s="59" t="str">
        <f t="shared" si="1"/>
        <v/>
      </c>
      <c r="CM9" s="52">
        <f t="shared" si="2"/>
        <v>4</v>
      </c>
      <c r="CN9" s="52">
        <f t="shared" si="3"/>
        <v>33138</v>
      </c>
      <c r="CO9" s="52">
        <f t="shared" si="4"/>
        <v>0</v>
      </c>
      <c r="CP9" s="52">
        <f t="shared" si="5"/>
        <v>200</v>
      </c>
      <c r="CQ9" s="54">
        <f t="shared" si="6"/>
        <v>1429.6708841029067</v>
      </c>
      <c r="CR9" s="55">
        <f t="shared" si="31"/>
        <v>4</v>
      </c>
      <c r="CS9" s="56">
        <f t="shared" si="32"/>
        <v>25290</v>
      </c>
      <c r="CT9" s="56" t="str">
        <f t="shared" si="33"/>
        <v>H200x100x4.3x5.2-Q235</v>
      </c>
      <c r="CU9" s="56">
        <f t="shared" si="46"/>
        <v>7800</v>
      </c>
      <c r="CV9" s="56">
        <f t="shared" si="47"/>
        <v>21390</v>
      </c>
      <c r="CW9" s="56" t="e">
        <f t="shared" si="7"/>
        <v>#N/A</v>
      </c>
      <c r="CX9" s="57" t="e">
        <f t="shared" si="8"/>
        <v>#N/A</v>
      </c>
      <c r="CY9" s="42">
        <f t="shared" si="9"/>
        <v>714.83544205145336</v>
      </c>
    </row>
    <row r="10" spans="1:103" ht="17" thickBot="1" x14ac:dyDescent="0.3">
      <c r="A10" s="63">
        <v>5</v>
      </c>
      <c r="B10" s="64">
        <f>AI10 - SUM(B6:B9)</f>
        <v>15</v>
      </c>
      <c r="C10" s="261" t="s">
        <v>648</v>
      </c>
      <c r="D10" s="65"/>
      <c r="F10" s="67">
        <v>6</v>
      </c>
      <c r="G10" s="15">
        <v>10911</v>
      </c>
      <c r="H10" s="155" t="s">
        <v>634</v>
      </c>
      <c r="R10" s="42"/>
      <c r="AA10" s="50"/>
      <c r="AF10" s="42"/>
      <c r="AG10" s="42"/>
      <c r="AH10" s="45" t="s">
        <v>577</v>
      </c>
      <c r="AI10" s="186">
        <f>基本参数输入!H3</f>
        <v>84</v>
      </c>
      <c r="AJ10" s="48"/>
      <c r="AK10" s="50"/>
      <c r="AL10" s="170">
        <v>5</v>
      </c>
      <c r="AM10" s="46">
        <f t="shared" si="10"/>
        <v>37771</v>
      </c>
      <c r="AN10" s="46">
        <f t="shared" si="11"/>
        <v>48664</v>
      </c>
      <c r="AO10" s="46">
        <f t="shared" si="12"/>
        <v>37875</v>
      </c>
      <c r="AP10" s="46">
        <f t="shared" si="13"/>
        <v>37771</v>
      </c>
      <c r="AQ10" s="46">
        <f t="shared" si="14"/>
        <v>37809</v>
      </c>
      <c r="AR10" s="46">
        <f t="shared" si="15"/>
        <v>37748</v>
      </c>
      <c r="AS10" s="46">
        <f t="shared" si="34"/>
        <v>0</v>
      </c>
      <c r="AT10" s="46">
        <f t="shared" si="16"/>
        <v>37598</v>
      </c>
      <c r="AU10" s="46">
        <f t="shared" si="17"/>
        <v>37898</v>
      </c>
      <c r="AV10" s="50">
        <f>B10</f>
        <v>15</v>
      </c>
      <c r="AW10" s="187">
        <f xml:space="preserve"> AX10 - AV10</f>
        <v>73</v>
      </c>
      <c r="AX10" s="187">
        <f>AX11</f>
        <v>88</v>
      </c>
      <c r="AY10" s="46">
        <v>5</v>
      </c>
      <c r="AZ10" s="46">
        <f t="shared" si="18"/>
        <v>0</v>
      </c>
      <c r="BA10" s="46">
        <f t="shared" si="19"/>
        <v>4721</v>
      </c>
      <c r="BB10" s="46">
        <v>5</v>
      </c>
      <c r="BC10" s="46">
        <v>3</v>
      </c>
      <c r="BD10" s="46">
        <f t="shared" si="36"/>
        <v>2</v>
      </c>
      <c r="BE10" s="46">
        <f t="shared" ca="1" si="37"/>
        <v>2433</v>
      </c>
      <c r="BF10" s="46">
        <f t="shared" ca="1" si="20"/>
        <v>1294</v>
      </c>
      <c r="BG10" s="46">
        <f t="shared" ca="1" si="21"/>
        <v>1574.6708841029067</v>
      </c>
      <c r="BH10" s="46">
        <v>3</v>
      </c>
      <c r="BI10" s="46">
        <f t="shared" si="38"/>
        <v>18</v>
      </c>
      <c r="BJ10" s="46">
        <f t="shared" ca="1" si="39"/>
        <v>19963</v>
      </c>
      <c r="BK10" s="46">
        <f t="shared" ca="1" si="22"/>
        <v>18824</v>
      </c>
      <c r="BL10" s="46">
        <f t="shared" ca="1" si="23"/>
        <v>1574.6708841029067</v>
      </c>
      <c r="BM10" s="46">
        <v>3</v>
      </c>
      <c r="BN10" s="46" t="e">
        <f t="shared" si="40"/>
        <v>#N/A</v>
      </c>
      <c r="BO10" s="46" t="e">
        <f t="shared" ca="1" si="41"/>
        <v>#N/A</v>
      </c>
      <c r="BP10" s="46" t="e">
        <f t="shared" ca="1" si="24"/>
        <v>#N/A</v>
      </c>
      <c r="BQ10" s="46" t="e">
        <f t="shared" ca="1" si="25"/>
        <v>#N/A</v>
      </c>
      <c r="BR10" s="46">
        <v>3</v>
      </c>
      <c r="BS10" s="46">
        <f t="shared" si="42"/>
        <v>46</v>
      </c>
      <c r="BT10" s="46">
        <f t="shared" ca="1" si="43"/>
        <v>51221</v>
      </c>
      <c r="BU10" s="46">
        <f t="shared" ca="1" si="26"/>
        <v>50082</v>
      </c>
      <c r="BV10" s="46">
        <f t="shared" ca="1" si="27"/>
        <v>1574.6708841029067</v>
      </c>
      <c r="BW10" s="46">
        <v>3</v>
      </c>
      <c r="BX10" s="46">
        <f t="shared" si="44"/>
        <v>74</v>
      </c>
      <c r="BY10" s="46">
        <f t="shared" ca="1" si="45"/>
        <v>82479</v>
      </c>
      <c r="BZ10" s="46">
        <f t="shared" ca="1" si="28"/>
        <v>81340</v>
      </c>
      <c r="CA10" s="46">
        <f t="shared" ca="1" si="29"/>
        <v>1574.6708841029067</v>
      </c>
      <c r="CC10" s="51"/>
      <c r="CD10" s="52"/>
      <c r="CE10" s="52"/>
      <c r="CF10" s="52"/>
      <c r="CG10" s="52"/>
      <c r="CH10" s="53"/>
      <c r="CI10" s="325"/>
      <c r="CJ10" s="52">
        <v>5</v>
      </c>
      <c r="CK10" s="59" t="str">
        <f t="shared" si="0"/>
        <v/>
      </c>
      <c r="CL10" s="59" t="str">
        <f t="shared" si="1"/>
        <v/>
      </c>
      <c r="CM10" s="52">
        <f t="shared" si="2"/>
        <v>5</v>
      </c>
      <c r="CN10" s="52">
        <f t="shared" si="3"/>
        <v>40938</v>
      </c>
      <c r="CO10" s="52">
        <f t="shared" si="4"/>
        <v>0</v>
      </c>
      <c r="CP10" s="52">
        <f t="shared" si="5"/>
        <v>200</v>
      </c>
      <c r="CQ10" s="54">
        <f t="shared" si="6"/>
        <v>1429.6708841029067</v>
      </c>
      <c r="CR10" s="55">
        <f t="shared" si="31"/>
        <v>5</v>
      </c>
      <c r="CS10" s="56">
        <f t="shared" si="32"/>
        <v>33138</v>
      </c>
      <c r="CT10" s="56" t="str">
        <f t="shared" si="33"/>
        <v>H200x100x4.3x5.2-Q235</v>
      </c>
      <c r="CU10" s="56">
        <f t="shared" si="46"/>
        <v>7848</v>
      </c>
      <c r="CV10" s="56">
        <f t="shared" si="47"/>
        <v>29214</v>
      </c>
      <c r="CW10" s="56" t="e">
        <f t="shared" si="7"/>
        <v>#N/A</v>
      </c>
      <c r="CX10" s="57" t="e">
        <f t="shared" si="8"/>
        <v>#N/A</v>
      </c>
      <c r="CY10" s="42">
        <f t="shared" si="9"/>
        <v>714.83544205145336</v>
      </c>
    </row>
    <row r="11" spans="1:103" ht="17" thickTop="1" x14ac:dyDescent="0.25">
      <c r="F11" s="68">
        <v>7</v>
      </c>
      <c r="G11" s="15">
        <v>9212</v>
      </c>
      <c r="H11" s="155" t="s">
        <v>634</v>
      </c>
      <c r="R11" s="42"/>
      <c r="AA11" s="50"/>
      <c r="AF11" s="42"/>
      <c r="AG11" s="42"/>
      <c r="AH11" s="45" t="s">
        <v>578</v>
      </c>
      <c r="AI11" s="186">
        <f>基本参数输入!B10</f>
        <v>10</v>
      </c>
      <c r="AJ11" s="48" t="s">
        <v>0</v>
      </c>
      <c r="AK11" s="50"/>
      <c r="AL11" s="171">
        <v>6</v>
      </c>
      <c r="AM11" s="46">
        <f t="shared" si="10"/>
        <v>48814</v>
      </c>
      <c r="AN11" s="46">
        <f t="shared" si="11"/>
        <v>59725</v>
      </c>
      <c r="AO11" s="46">
        <f t="shared" si="12"/>
        <v>48814</v>
      </c>
      <c r="AP11" s="46">
        <f t="shared" si="13"/>
        <v>48710</v>
      </c>
      <c r="AQ11" s="46">
        <f t="shared" si="14"/>
        <v>48748</v>
      </c>
      <c r="AR11" s="46">
        <f t="shared" si="15"/>
        <v>48687</v>
      </c>
      <c r="AS11" s="46">
        <f t="shared" si="34"/>
        <v>2</v>
      </c>
      <c r="AT11" s="46" t="e">
        <f t="shared" si="16"/>
        <v>#N/A</v>
      </c>
      <c r="AU11" s="46" t="e">
        <f t="shared" si="17"/>
        <v>#N/A</v>
      </c>
      <c r="AV11" s="50"/>
      <c r="AW11" s="258" t="s">
        <v>663</v>
      </c>
      <c r="AX11" s="258">
        <f xml:space="preserve"> AI8 + 1 + C4</f>
        <v>88</v>
      </c>
      <c r="AY11" s="46">
        <v>6</v>
      </c>
      <c r="AZ11" s="46">
        <f t="shared" si="18"/>
        <v>0</v>
      </c>
      <c r="BA11" s="46">
        <f t="shared" si="19"/>
        <v>5865</v>
      </c>
      <c r="BB11" s="46">
        <v>6</v>
      </c>
      <c r="BC11" s="46">
        <v>4</v>
      </c>
      <c r="BD11" s="46">
        <f t="shared" si="36"/>
        <v>2</v>
      </c>
      <c r="BE11" s="46">
        <f t="shared" ca="1" si="37"/>
        <v>2433</v>
      </c>
      <c r="BF11" s="46">
        <f t="shared" ca="1" si="20"/>
        <v>2428</v>
      </c>
      <c r="BG11" s="46">
        <f t="shared" ca="1" si="21"/>
        <v>1574.6708841029067</v>
      </c>
      <c r="BH11" s="46">
        <v>4</v>
      </c>
      <c r="BI11" s="46">
        <f t="shared" si="38"/>
        <v>18</v>
      </c>
      <c r="BJ11" s="46">
        <f t="shared" ca="1" si="39"/>
        <v>19963</v>
      </c>
      <c r="BK11" s="46">
        <f t="shared" ca="1" si="22"/>
        <v>19958</v>
      </c>
      <c r="BL11" s="46">
        <f t="shared" ca="1" si="23"/>
        <v>1574.6708841029067</v>
      </c>
      <c r="BM11" s="46">
        <v>4</v>
      </c>
      <c r="BN11" s="46" t="e">
        <f t="shared" si="40"/>
        <v>#N/A</v>
      </c>
      <c r="BO11" s="46" t="e">
        <f t="shared" ca="1" si="41"/>
        <v>#N/A</v>
      </c>
      <c r="BP11" s="46" t="e">
        <f t="shared" ca="1" si="24"/>
        <v>#N/A</v>
      </c>
      <c r="BQ11" s="46" t="e">
        <f t="shared" ca="1" si="25"/>
        <v>#N/A</v>
      </c>
      <c r="BR11" s="46">
        <v>4</v>
      </c>
      <c r="BS11" s="46">
        <f t="shared" si="42"/>
        <v>46</v>
      </c>
      <c r="BT11" s="46">
        <f t="shared" ca="1" si="43"/>
        <v>51221</v>
      </c>
      <c r="BU11" s="46">
        <f t="shared" ca="1" si="26"/>
        <v>51216</v>
      </c>
      <c r="BV11" s="46">
        <f t="shared" ca="1" si="27"/>
        <v>1574.6708841029067</v>
      </c>
      <c r="BW11" s="46">
        <v>4</v>
      </c>
      <c r="BX11" s="46">
        <f t="shared" si="44"/>
        <v>74</v>
      </c>
      <c r="BY11" s="46">
        <f t="shared" ca="1" si="45"/>
        <v>82479</v>
      </c>
      <c r="BZ11" s="46">
        <f t="shared" ca="1" si="28"/>
        <v>82474</v>
      </c>
      <c r="CA11" s="46">
        <f t="shared" ca="1" si="29"/>
        <v>1574.6708841029067</v>
      </c>
      <c r="CC11" s="51"/>
      <c r="CD11" s="52"/>
      <c r="CE11" s="52"/>
      <c r="CF11" s="52"/>
      <c r="CG11" s="52"/>
      <c r="CH11" s="53"/>
      <c r="CI11" s="325"/>
      <c r="CJ11" s="52">
        <v>6</v>
      </c>
      <c r="CK11" s="59" t="str">
        <f t="shared" si="0"/>
        <v/>
      </c>
      <c r="CL11" s="59" t="str">
        <f t="shared" si="1"/>
        <v/>
      </c>
      <c r="CM11" s="52">
        <f t="shared" si="2"/>
        <v>6</v>
      </c>
      <c r="CN11" s="52">
        <f t="shared" si="3"/>
        <v>56548</v>
      </c>
      <c r="CO11" s="52">
        <f t="shared" si="4"/>
        <v>0</v>
      </c>
      <c r="CP11" s="52">
        <f t="shared" si="5"/>
        <v>200</v>
      </c>
      <c r="CQ11" s="54">
        <f t="shared" si="6"/>
        <v>1429.6708841029067</v>
      </c>
      <c r="CR11" s="55">
        <f t="shared" si="31"/>
        <v>6</v>
      </c>
      <c r="CS11" s="56">
        <f t="shared" si="32"/>
        <v>40938</v>
      </c>
      <c r="CT11" s="56" t="str">
        <f t="shared" si="33"/>
        <v>H200x100x4.3x5.2-Q235</v>
      </c>
      <c r="CU11" s="56">
        <f t="shared" si="46"/>
        <v>7800</v>
      </c>
      <c r="CV11" s="56">
        <f t="shared" si="47"/>
        <v>37038</v>
      </c>
      <c r="CW11" s="56" t="e">
        <f t="shared" si="7"/>
        <v>#N/A</v>
      </c>
      <c r="CX11" s="57" t="e">
        <f t="shared" si="8"/>
        <v>#N/A</v>
      </c>
      <c r="CY11" s="42">
        <f t="shared" si="9"/>
        <v>714.83544205145336</v>
      </c>
    </row>
    <row r="12" spans="1:103" x14ac:dyDescent="0.25">
      <c r="F12" s="69">
        <v>8</v>
      </c>
      <c r="G12" s="15">
        <v>10893</v>
      </c>
      <c r="H12" s="155" t="s">
        <v>634</v>
      </c>
      <c r="R12" s="42"/>
      <c r="AA12" s="50"/>
      <c r="AF12" s="42"/>
      <c r="AG12" s="42"/>
      <c r="AH12" s="45" t="s">
        <v>579</v>
      </c>
      <c r="AI12" s="186">
        <f>基本参数输入!B9</f>
        <v>140</v>
      </c>
      <c r="AJ12" s="48" t="s">
        <v>0</v>
      </c>
      <c r="AK12" s="42"/>
      <c r="AL12" s="172">
        <v>7</v>
      </c>
      <c r="AM12" s="46">
        <f t="shared" si="10"/>
        <v>59771</v>
      </c>
      <c r="AN12" s="46">
        <f t="shared" si="11"/>
        <v>68983</v>
      </c>
      <c r="AO12" s="46">
        <f t="shared" si="12"/>
        <v>59875</v>
      </c>
      <c r="AP12" s="46">
        <f t="shared" si="13"/>
        <v>59771</v>
      </c>
      <c r="AQ12" s="46">
        <f t="shared" si="14"/>
        <v>59809</v>
      </c>
      <c r="AR12" s="46">
        <f t="shared" si="15"/>
        <v>59748</v>
      </c>
      <c r="AS12" s="46">
        <f t="shared" si="34"/>
        <v>0</v>
      </c>
      <c r="AT12" s="46">
        <f t="shared" si="16"/>
        <v>59598</v>
      </c>
      <c r="AU12" s="46">
        <f t="shared" si="17"/>
        <v>59898</v>
      </c>
      <c r="AV12" s="50"/>
      <c r="AW12" s="46"/>
      <c r="AX12" s="46"/>
      <c r="AY12" s="46">
        <v>7</v>
      </c>
      <c r="AZ12" s="46">
        <f t="shared" si="18"/>
        <v>0</v>
      </c>
      <c r="BA12" s="46">
        <f t="shared" si="19"/>
        <v>7009</v>
      </c>
      <c r="BB12" s="46">
        <v>7</v>
      </c>
      <c r="BC12" s="46">
        <v>5</v>
      </c>
      <c r="BD12" s="46">
        <f t="shared" si="36"/>
        <v>2</v>
      </c>
      <c r="BE12" s="46">
        <f t="shared" ca="1" si="37"/>
        <v>2433</v>
      </c>
      <c r="BF12" s="46">
        <f t="shared" ca="1" si="20"/>
        <v>2433</v>
      </c>
      <c r="BG12" s="46">
        <f t="shared" ca="1" si="21"/>
        <v>1429.6708841029067</v>
      </c>
      <c r="BH12" s="46">
        <v>5</v>
      </c>
      <c r="BI12" s="46">
        <f t="shared" si="38"/>
        <v>18</v>
      </c>
      <c r="BJ12" s="46">
        <f t="shared" ca="1" si="39"/>
        <v>19963</v>
      </c>
      <c r="BK12" s="46">
        <f t="shared" ca="1" si="22"/>
        <v>19963</v>
      </c>
      <c r="BL12" s="46">
        <f t="shared" ca="1" si="23"/>
        <v>1429.6708841029067</v>
      </c>
      <c r="BM12" s="46">
        <v>5</v>
      </c>
      <c r="BN12" s="46" t="e">
        <f t="shared" si="40"/>
        <v>#N/A</v>
      </c>
      <c r="BO12" s="46" t="e">
        <f t="shared" ca="1" si="41"/>
        <v>#N/A</v>
      </c>
      <c r="BP12" s="46" t="e">
        <f t="shared" ca="1" si="24"/>
        <v>#N/A</v>
      </c>
      <c r="BQ12" s="46" t="e">
        <f t="shared" ca="1" si="25"/>
        <v>#N/A</v>
      </c>
      <c r="BR12" s="46">
        <v>5</v>
      </c>
      <c r="BS12" s="46">
        <f t="shared" si="42"/>
        <v>46</v>
      </c>
      <c r="BT12" s="46">
        <f t="shared" ca="1" si="43"/>
        <v>51221</v>
      </c>
      <c r="BU12" s="46">
        <f t="shared" ca="1" si="26"/>
        <v>51221</v>
      </c>
      <c r="BV12" s="46">
        <f t="shared" ca="1" si="27"/>
        <v>1429.6708841029067</v>
      </c>
      <c r="BW12" s="46">
        <v>5</v>
      </c>
      <c r="BX12" s="46">
        <f t="shared" si="44"/>
        <v>74</v>
      </c>
      <c r="BY12" s="46">
        <f t="shared" ca="1" si="45"/>
        <v>82479</v>
      </c>
      <c r="BZ12" s="46">
        <f t="shared" ca="1" si="28"/>
        <v>82479</v>
      </c>
      <c r="CA12" s="46">
        <f t="shared" ca="1" si="29"/>
        <v>1429.6708841029067</v>
      </c>
      <c r="CC12" s="51"/>
      <c r="CD12" s="52"/>
      <c r="CE12" s="52"/>
      <c r="CF12" s="52"/>
      <c r="CG12" s="52"/>
      <c r="CH12" s="53"/>
      <c r="CI12" s="325"/>
      <c r="CJ12" s="52">
        <v>7</v>
      </c>
      <c r="CK12" s="59" t="str">
        <f t="shared" si="0"/>
        <v/>
      </c>
      <c r="CL12" s="59" t="str">
        <f t="shared" si="1"/>
        <v/>
      </c>
      <c r="CM12" s="52">
        <f t="shared" si="2"/>
        <v>7</v>
      </c>
      <c r="CN12" s="52">
        <f t="shared" si="3"/>
        <v>64348</v>
      </c>
      <c r="CO12" s="52">
        <f t="shared" si="4"/>
        <v>0</v>
      </c>
      <c r="CP12" s="52">
        <f t="shared" si="5"/>
        <v>200</v>
      </c>
      <c r="CQ12" s="54">
        <f t="shared" si="6"/>
        <v>1429.6708841029067</v>
      </c>
      <c r="CR12" s="55">
        <f t="shared" si="31"/>
        <v>7</v>
      </c>
      <c r="CS12" s="56">
        <f t="shared" si="32"/>
        <v>48748</v>
      </c>
      <c r="CT12" s="56" t="str">
        <f t="shared" si="33"/>
        <v>H200x100x4.3x5.2-Q235</v>
      </c>
      <c r="CU12" s="56">
        <f t="shared" si="46"/>
        <v>7810</v>
      </c>
      <c r="CV12" s="56">
        <f t="shared" si="47"/>
        <v>44843</v>
      </c>
      <c r="CW12" s="56" t="e">
        <f t="shared" si="7"/>
        <v>#N/A</v>
      </c>
      <c r="CX12" s="57" t="e">
        <f t="shared" si="8"/>
        <v>#N/A</v>
      </c>
      <c r="CY12" s="42">
        <f t="shared" si="9"/>
        <v>714.83544205145336</v>
      </c>
    </row>
    <row r="13" spans="1:103" x14ac:dyDescent="0.25">
      <c r="F13" s="70">
        <v>9</v>
      </c>
      <c r="G13" s="15">
        <v>8711</v>
      </c>
      <c r="H13" s="155" t="s">
        <v>634</v>
      </c>
      <c r="R13" s="42"/>
      <c r="AA13" s="50"/>
      <c r="AF13" s="42"/>
      <c r="AG13" s="42"/>
      <c r="AH13" s="160" t="s">
        <v>504</v>
      </c>
      <c r="AI13" s="186">
        <f>基本参数输入!B17</f>
        <v>380</v>
      </c>
      <c r="AJ13" s="48" t="s">
        <v>0</v>
      </c>
      <c r="AK13" s="42"/>
      <c r="AL13" s="173">
        <v>8</v>
      </c>
      <c r="AM13" s="46">
        <f t="shared" si="10"/>
        <v>69029</v>
      </c>
      <c r="AN13" s="46">
        <f t="shared" si="11"/>
        <v>79922</v>
      </c>
      <c r="AO13" s="46">
        <f t="shared" si="12"/>
        <v>69133</v>
      </c>
      <c r="AP13" s="46">
        <f t="shared" si="13"/>
        <v>69029</v>
      </c>
      <c r="AQ13" s="46">
        <f t="shared" si="14"/>
        <v>69067</v>
      </c>
      <c r="AR13" s="46">
        <f t="shared" si="15"/>
        <v>69006</v>
      </c>
      <c r="AS13" s="46">
        <f t="shared" si="34"/>
        <v>0</v>
      </c>
      <c r="AT13" s="46">
        <f t="shared" si="16"/>
        <v>68856</v>
      </c>
      <c r="AU13" s="46">
        <f t="shared" si="17"/>
        <v>69156</v>
      </c>
      <c r="AV13" s="50"/>
      <c r="AW13" s="46"/>
      <c r="AX13" s="46"/>
      <c r="AY13" s="46">
        <v>8</v>
      </c>
      <c r="AZ13" s="46">
        <f t="shared" si="18"/>
        <v>0</v>
      </c>
      <c r="BA13" s="46">
        <f t="shared" si="19"/>
        <v>8153</v>
      </c>
      <c r="BB13" s="46">
        <v>8</v>
      </c>
      <c r="BC13" s="46">
        <v>6</v>
      </c>
      <c r="BD13" s="46">
        <f t="shared" si="36"/>
        <v>3</v>
      </c>
      <c r="BE13" s="46">
        <f t="shared" ca="1" si="37"/>
        <v>3577</v>
      </c>
      <c r="BF13" s="46">
        <f t="shared" ca="1" si="20"/>
        <v>2438</v>
      </c>
      <c r="BG13" s="46">
        <f t="shared" ca="1" si="21"/>
        <v>1574.6708841029067</v>
      </c>
      <c r="BH13" s="46">
        <v>6</v>
      </c>
      <c r="BI13" s="46">
        <f t="shared" si="38"/>
        <v>19</v>
      </c>
      <c r="BJ13" s="46">
        <f t="shared" ca="1" si="39"/>
        <v>21107</v>
      </c>
      <c r="BK13" s="46">
        <f t="shared" ca="1" si="22"/>
        <v>19968</v>
      </c>
      <c r="BL13" s="46">
        <f t="shared" ca="1" si="23"/>
        <v>1574.6708841029067</v>
      </c>
      <c r="BM13" s="46">
        <v>6</v>
      </c>
      <c r="BN13" s="46" t="e">
        <f t="shared" si="40"/>
        <v>#N/A</v>
      </c>
      <c r="BO13" s="46" t="e">
        <f t="shared" ca="1" si="41"/>
        <v>#N/A</v>
      </c>
      <c r="BP13" s="46" t="e">
        <f t="shared" ca="1" si="24"/>
        <v>#N/A</v>
      </c>
      <c r="BQ13" s="46" t="e">
        <f t="shared" ca="1" si="25"/>
        <v>#N/A</v>
      </c>
      <c r="BR13" s="46">
        <v>6</v>
      </c>
      <c r="BS13" s="46">
        <f t="shared" si="42"/>
        <v>47</v>
      </c>
      <c r="BT13" s="46">
        <f t="shared" ca="1" si="43"/>
        <v>52365</v>
      </c>
      <c r="BU13" s="46">
        <f t="shared" ca="1" si="26"/>
        <v>51226</v>
      </c>
      <c r="BV13" s="46">
        <f t="shared" ca="1" si="27"/>
        <v>1574.6708841029067</v>
      </c>
      <c r="BW13" s="46">
        <v>6</v>
      </c>
      <c r="BX13" s="46">
        <f t="shared" si="44"/>
        <v>75</v>
      </c>
      <c r="BY13" s="46">
        <f t="shared" ca="1" si="45"/>
        <v>83623</v>
      </c>
      <c r="BZ13" s="46">
        <f t="shared" ca="1" si="28"/>
        <v>82484</v>
      </c>
      <c r="CA13" s="46">
        <f t="shared" ca="1" si="29"/>
        <v>1574.6708841029067</v>
      </c>
      <c r="CC13" s="51"/>
      <c r="CD13" s="52"/>
      <c r="CE13" s="52"/>
      <c r="CF13" s="52"/>
      <c r="CG13" s="52"/>
      <c r="CH13" s="53"/>
      <c r="CI13" s="325"/>
      <c r="CJ13" s="52">
        <v>8</v>
      </c>
      <c r="CK13" s="59" t="str">
        <f t="shared" si="0"/>
        <v/>
      </c>
      <c r="CL13" s="59" t="str">
        <f t="shared" si="1"/>
        <v/>
      </c>
      <c r="CM13" s="52">
        <f t="shared" si="2"/>
        <v>8</v>
      </c>
      <c r="CN13" s="52">
        <f t="shared" si="3"/>
        <v>72196</v>
      </c>
      <c r="CO13" s="52">
        <f t="shared" si="4"/>
        <v>0</v>
      </c>
      <c r="CP13" s="52">
        <f t="shared" si="5"/>
        <v>200</v>
      </c>
      <c r="CQ13" s="54">
        <f t="shared" si="6"/>
        <v>1429.6708841029067</v>
      </c>
      <c r="CR13" s="55">
        <f t="shared" si="31"/>
        <v>8</v>
      </c>
      <c r="CS13" s="56">
        <f t="shared" si="32"/>
        <v>56548</v>
      </c>
      <c r="CT13" s="56" t="str">
        <f t="shared" si="33"/>
        <v>H200x100x4.3x5.2-Q235</v>
      </c>
      <c r="CU13" s="56">
        <f t="shared" si="46"/>
        <v>7800</v>
      </c>
      <c r="CV13" s="56">
        <f t="shared" si="47"/>
        <v>52648</v>
      </c>
      <c r="CW13" s="56" t="e">
        <f t="shared" si="7"/>
        <v>#N/A</v>
      </c>
      <c r="CX13" s="57" t="e">
        <f t="shared" si="8"/>
        <v>#N/A</v>
      </c>
      <c r="CY13" s="42">
        <f t="shared" si="9"/>
        <v>714.83544205145336</v>
      </c>
    </row>
    <row r="14" spans="1:103" x14ac:dyDescent="0.25">
      <c r="F14" s="71">
        <v>10</v>
      </c>
      <c r="G14" s="15"/>
      <c r="H14" s="155"/>
      <c r="R14" s="42"/>
      <c r="AA14" s="50"/>
      <c r="AF14" s="42"/>
      <c r="AG14" s="42"/>
      <c r="AH14" s="45" t="s">
        <v>581</v>
      </c>
      <c r="AI14" s="186">
        <f>COUNTIF(B6:B9, "&gt;0")</f>
        <v>3</v>
      </c>
      <c r="AJ14" s="48"/>
      <c r="AK14" s="42"/>
      <c r="AL14" s="174">
        <v>9</v>
      </c>
      <c r="AM14" s="46">
        <f t="shared" si="10"/>
        <v>80072</v>
      </c>
      <c r="AN14" s="46">
        <f t="shared" si="11"/>
        <v>88783</v>
      </c>
      <c r="AO14" s="46">
        <f t="shared" si="12"/>
        <v>80072</v>
      </c>
      <c r="AP14" s="46">
        <f t="shared" si="13"/>
        <v>79968</v>
      </c>
      <c r="AQ14" s="46">
        <f t="shared" si="14"/>
        <v>80006</v>
      </c>
      <c r="AR14" s="46">
        <f t="shared" si="15"/>
        <v>79945</v>
      </c>
      <c r="AS14" s="46">
        <f t="shared" si="34"/>
        <v>3</v>
      </c>
      <c r="AT14" s="46" t="e">
        <f t="shared" si="16"/>
        <v>#N/A</v>
      </c>
      <c r="AU14" s="46" t="e">
        <f t="shared" si="17"/>
        <v>#N/A</v>
      </c>
      <c r="AV14" s="50"/>
      <c r="AW14" s="46"/>
      <c r="AX14" s="46"/>
      <c r="AY14" s="46">
        <v>9</v>
      </c>
      <c r="AZ14" s="46">
        <f t="shared" si="18"/>
        <v>0</v>
      </c>
      <c r="BA14" s="46">
        <f t="shared" si="19"/>
        <v>9297</v>
      </c>
      <c r="BB14" s="46">
        <v>9</v>
      </c>
      <c r="BC14" s="46">
        <v>7</v>
      </c>
      <c r="BD14" s="46">
        <f t="shared" si="36"/>
        <v>3</v>
      </c>
      <c r="BE14" s="46">
        <f t="shared" ca="1" si="37"/>
        <v>3577</v>
      </c>
      <c r="BF14" s="46">
        <f t="shared" ca="1" si="20"/>
        <v>3572</v>
      </c>
      <c r="BG14" s="46">
        <f t="shared" ca="1" si="21"/>
        <v>1574.6708841029067</v>
      </c>
      <c r="BH14" s="46">
        <v>7</v>
      </c>
      <c r="BI14" s="46">
        <f t="shared" si="38"/>
        <v>19</v>
      </c>
      <c r="BJ14" s="46">
        <f t="shared" ca="1" si="39"/>
        <v>21107</v>
      </c>
      <c r="BK14" s="46">
        <f t="shared" ca="1" si="22"/>
        <v>21102</v>
      </c>
      <c r="BL14" s="46">
        <f t="shared" ca="1" si="23"/>
        <v>1574.6708841029067</v>
      </c>
      <c r="BM14" s="46">
        <v>7</v>
      </c>
      <c r="BN14" s="46" t="e">
        <f t="shared" si="40"/>
        <v>#N/A</v>
      </c>
      <c r="BO14" s="46" t="e">
        <f t="shared" ca="1" si="41"/>
        <v>#N/A</v>
      </c>
      <c r="BP14" s="46" t="e">
        <f t="shared" ca="1" si="24"/>
        <v>#N/A</v>
      </c>
      <c r="BQ14" s="46" t="e">
        <f t="shared" ca="1" si="25"/>
        <v>#N/A</v>
      </c>
      <c r="BR14" s="46">
        <v>7</v>
      </c>
      <c r="BS14" s="46">
        <f t="shared" si="42"/>
        <v>47</v>
      </c>
      <c r="BT14" s="46">
        <f t="shared" ca="1" si="43"/>
        <v>52365</v>
      </c>
      <c r="BU14" s="46">
        <f t="shared" ca="1" si="26"/>
        <v>52360</v>
      </c>
      <c r="BV14" s="46">
        <f t="shared" ca="1" si="27"/>
        <v>1574.6708841029067</v>
      </c>
      <c r="BW14" s="46">
        <v>7</v>
      </c>
      <c r="BX14" s="46">
        <f t="shared" si="44"/>
        <v>75</v>
      </c>
      <c r="BY14" s="46">
        <f t="shared" ca="1" si="45"/>
        <v>83623</v>
      </c>
      <c r="BZ14" s="46">
        <f t="shared" ca="1" si="28"/>
        <v>83618</v>
      </c>
      <c r="CA14" s="46">
        <f t="shared" ca="1" si="29"/>
        <v>1574.6708841029067</v>
      </c>
      <c r="CC14" s="51"/>
      <c r="CD14" s="52"/>
      <c r="CE14" s="52"/>
      <c r="CF14" s="52"/>
      <c r="CG14" s="52"/>
      <c r="CH14" s="53"/>
      <c r="CI14" s="325"/>
      <c r="CJ14" s="52">
        <v>9</v>
      </c>
      <c r="CK14" s="59" t="str">
        <f t="shared" si="0"/>
        <v/>
      </c>
      <c r="CL14" s="59" t="str">
        <f t="shared" si="1"/>
        <v/>
      </c>
      <c r="CM14" s="52">
        <f t="shared" si="2"/>
        <v>9</v>
      </c>
      <c r="CN14" s="52">
        <f t="shared" si="3"/>
        <v>87762</v>
      </c>
      <c r="CO14" s="52">
        <f t="shared" si="4"/>
        <v>0</v>
      </c>
      <c r="CP14" s="52">
        <f t="shared" si="5"/>
        <v>200</v>
      </c>
      <c r="CQ14" s="54">
        <f t="shared" si="6"/>
        <v>1429.6708841029067</v>
      </c>
      <c r="CR14" s="55">
        <f t="shared" si="31"/>
        <v>9</v>
      </c>
      <c r="CS14" s="56">
        <f t="shared" si="32"/>
        <v>64348</v>
      </c>
      <c r="CT14" s="56" t="str">
        <f t="shared" si="33"/>
        <v>H200x100x4.3x5.2-Q235</v>
      </c>
      <c r="CU14" s="56">
        <f t="shared" si="46"/>
        <v>7800</v>
      </c>
      <c r="CV14" s="56">
        <f t="shared" si="47"/>
        <v>60448</v>
      </c>
      <c r="CW14" s="56" t="e">
        <f t="shared" si="7"/>
        <v>#N/A</v>
      </c>
      <c r="CX14" s="57" t="e">
        <f t="shared" si="8"/>
        <v>#N/A</v>
      </c>
      <c r="CY14" s="42">
        <f t="shared" si="9"/>
        <v>714.83544205145336</v>
      </c>
    </row>
    <row r="15" spans="1:103" ht="17" thickBot="1" x14ac:dyDescent="0.3">
      <c r="F15" s="72">
        <v>11</v>
      </c>
      <c r="G15" s="15"/>
      <c r="H15" s="155"/>
      <c r="R15" s="42"/>
      <c r="AA15" s="50"/>
      <c r="AF15" s="42"/>
      <c r="AG15" s="42"/>
      <c r="AH15" s="45" t="s">
        <v>582</v>
      </c>
      <c r="AI15" s="186">
        <f>COUNT($CK$6:$CK$55)</f>
        <v>10</v>
      </c>
      <c r="AJ15" s="48"/>
      <c r="AK15" s="42"/>
      <c r="AL15" s="175">
        <v>10</v>
      </c>
      <c r="AM15" s="46" t="e">
        <f t="shared" si="10"/>
        <v>#N/A</v>
      </c>
      <c r="AN15" s="46" t="e">
        <f t="shared" si="11"/>
        <v>#N/A</v>
      </c>
      <c r="AO15" s="46" t="e">
        <f t="shared" si="12"/>
        <v>#N/A</v>
      </c>
      <c r="AP15" s="46" t="e">
        <f t="shared" si="13"/>
        <v>#N/A</v>
      </c>
      <c r="AQ15" s="46" t="e">
        <f t="shared" si="14"/>
        <v>#N/A</v>
      </c>
      <c r="AR15" s="46" t="e">
        <f t="shared" si="15"/>
        <v>#N/A</v>
      </c>
      <c r="AS15" s="46">
        <f t="shared" si="34"/>
        <v>0</v>
      </c>
      <c r="AT15" s="46" t="e">
        <f t="shared" si="16"/>
        <v>#N/A</v>
      </c>
      <c r="AU15" s="46" t="e">
        <f t="shared" si="17"/>
        <v>#N/A</v>
      </c>
      <c r="AV15" s="50"/>
      <c r="AW15" s="46"/>
      <c r="AX15" s="46"/>
      <c r="AY15" s="46">
        <v>10</v>
      </c>
      <c r="AZ15" s="46">
        <f t="shared" si="18"/>
        <v>0</v>
      </c>
      <c r="BA15" s="46">
        <f t="shared" si="19"/>
        <v>10441</v>
      </c>
      <c r="BB15" s="46">
        <v>10</v>
      </c>
      <c r="BC15" s="46">
        <v>8</v>
      </c>
      <c r="BD15" s="46">
        <f t="shared" si="36"/>
        <v>3</v>
      </c>
      <c r="BE15" s="46">
        <f t="shared" ca="1" si="37"/>
        <v>3577</v>
      </c>
      <c r="BF15" s="46">
        <f t="shared" ca="1" si="20"/>
        <v>3577</v>
      </c>
      <c r="BG15" s="46">
        <f t="shared" ca="1" si="21"/>
        <v>1429.6708841029067</v>
      </c>
      <c r="BH15" s="46">
        <v>8</v>
      </c>
      <c r="BI15" s="46">
        <f t="shared" si="38"/>
        <v>19</v>
      </c>
      <c r="BJ15" s="46">
        <f t="shared" ca="1" si="39"/>
        <v>21107</v>
      </c>
      <c r="BK15" s="46">
        <f t="shared" ca="1" si="22"/>
        <v>21107</v>
      </c>
      <c r="BL15" s="46">
        <f t="shared" ca="1" si="23"/>
        <v>1429.6708841029067</v>
      </c>
      <c r="BM15" s="46">
        <v>8</v>
      </c>
      <c r="BN15" s="46" t="e">
        <f t="shared" si="40"/>
        <v>#N/A</v>
      </c>
      <c r="BO15" s="46" t="e">
        <f t="shared" ca="1" si="41"/>
        <v>#N/A</v>
      </c>
      <c r="BP15" s="46" t="e">
        <f t="shared" ca="1" si="24"/>
        <v>#N/A</v>
      </c>
      <c r="BQ15" s="46" t="e">
        <f t="shared" ca="1" si="25"/>
        <v>#N/A</v>
      </c>
      <c r="BR15" s="46">
        <v>8</v>
      </c>
      <c r="BS15" s="46">
        <f t="shared" si="42"/>
        <v>47</v>
      </c>
      <c r="BT15" s="46">
        <f t="shared" ca="1" si="43"/>
        <v>52365</v>
      </c>
      <c r="BU15" s="46">
        <f t="shared" ca="1" si="26"/>
        <v>52365</v>
      </c>
      <c r="BV15" s="46">
        <f t="shared" ca="1" si="27"/>
        <v>1429.6708841029067</v>
      </c>
      <c r="BW15" s="46">
        <v>8</v>
      </c>
      <c r="BX15" s="46">
        <f t="shared" si="44"/>
        <v>75</v>
      </c>
      <c r="BY15" s="46">
        <f t="shared" ca="1" si="45"/>
        <v>83623</v>
      </c>
      <c r="BZ15" s="46">
        <f t="shared" ca="1" si="28"/>
        <v>83623</v>
      </c>
      <c r="CA15" s="46">
        <f t="shared" ca="1" si="29"/>
        <v>1429.6708841029067</v>
      </c>
      <c r="CC15" s="51"/>
      <c r="CD15" s="52"/>
      <c r="CE15" s="52"/>
      <c r="CF15" s="52"/>
      <c r="CG15" s="52"/>
      <c r="CH15" s="53"/>
      <c r="CI15" s="328"/>
      <c r="CJ15" s="189">
        <v>10</v>
      </c>
      <c r="CK15" s="190" t="str">
        <f t="shared" si="0"/>
        <v/>
      </c>
      <c r="CL15" s="190" t="str">
        <f t="shared" si="1"/>
        <v/>
      </c>
      <c r="CM15" s="189">
        <f t="shared" si="2"/>
        <v>10</v>
      </c>
      <c r="CN15" s="189">
        <f t="shared" si="3"/>
        <v>95462</v>
      </c>
      <c r="CO15" s="189">
        <f t="shared" si="4"/>
        <v>0</v>
      </c>
      <c r="CP15" s="189">
        <f t="shared" si="5"/>
        <v>200</v>
      </c>
      <c r="CQ15" s="191">
        <f t="shared" si="6"/>
        <v>1429.6708841029067</v>
      </c>
      <c r="CR15" s="55">
        <f t="shared" si="31"/>
        <v>10</v>
      </c>
      <c r="CS15" s="56">
        <f t="shared" si="32"/>
        <v>72196</v>
      </c>
      <c r="CT15" s="56" t="str">
        <f t="shared" si="33"/>
        <v>H200x100x4.3x5.2-Q235</v>
      </c>
      <c r="CU15" s="56">
        <f t="shared" si="46"/>
        <v>7848</v>
      </c>
      <c r="CV15" s="56">
        <f t="shared" si="47"/>
        <v>68272</v>
      </c>
      <c r="CW15" s="56" t="e">
        <f t="shared" si="7"/>
        <v>#N/A</v>
      </c>
      <c r="CX15" s="57" t="e">
        <f t="shared" si="8"/>
        <v>#N/A</v>
      </c>
      <c r="CY15" s="42">
        <f t="shared" si="9"/>
        <v>714.83544205145336</v>
      </c>
    </row>
    <row r="16" spans="1:103" x14ac:dyDescent="0.25">
      <c r="F16" s="73">
        <v>12</v>
      </c>
      <c r="G16" s="15"/>
      <c r="H16" s="155"/>
      <c r="R16" s="42"/>
      <c r="AA16" s="50"/>
      <c r="AF16" s="42"/>
      <c r="AG16" s="42"/>
      <c r="AH16" s="45" t="s">
        <v>583</v>
      </c>
      <c r="AI16" s="186">
        <f>IF(AI4 = "S2", 6, IF(AI4 = "S3", 46, ""))</f>
        <v>46</v>
      </c>
      <c r="AJ16" s="48" t="s">
        <v>0</v>
      </c>
      <c r="AK16" s="42"/>
      <c r="AL16" s="176">
        <v>11</v>
      </c>
      <c r="AM16" s="46" t="e">
        <f t="shared" si="10"/>
        <v>#N/A</v>
      </c>
      <c r="AN16" s="46" t="e">
        <f t="shared" si="11"/>
        <v>#N/A</v>
      </c>
      <c r="AO16" s="46" t="e">
        <f t="shared" si="12"/>
        <v>#N/A</v>
      </c>
      <c r="AP16" s="46" t="e">
        <f t="shared" si="13"/>
        <v>#N/A</v>
      </c>
      <c r="AQ16" s="46" t="e">
        <f t="shared" si="14"/>
        <v>#N/A</v>
      </c>
      <c r="AR16" s="46" t="e">
        <f t="shared" si="15"/>
        <v>#N/A</v>
      </c>
      <c r="AS16" s="46">
        <f t="shared" si="34"/>
        <v>0</v>
      </c>
      <c r="AT16" s="46" t="e">
        <f t="shared" si="16"/>
        <v>#N/A</v>
      </c>
      <c r="AU16" s="46" t="e">
        <f t="shared" si="17"/>
        <v>#N/A</v>
      </c>
      <c r="AV16" s="50"/>
      <c r="AW16" s="46"/>
      <c r="AX16" s="46"/>
      <c r="AY16" s="46">
        <v>11</v>
      </c>
      <c r="AZ16" s="46">
        <f t="shared" si="18"/>
        <v>0</v>
      </c>
      <c r="BA16" s="46">
        <f t="shared" si="19"/>
        <v>11585</v>
      </c>
      <c r="BB16" s="46">
        <v>11</v>
      </c>
      <c r="BC16" s="46">
        <v>9</v>
      </c>
      <c r="BD16" s="46">
        <f t="shared" si="36"/>
        <v>4</v>
      </c>
      <c r="BE16" s="46">
        <f t="shared" ca="1" si="37"/>
        <v>4721</v>
      </c>
      <c r="BF16" s="46">
        <f t="shared" ca="1" si="20"/>
        <v>3582</v>
      </c>
      <c r="BG16" s="46">
        <f t="shared" ca="1" si="21"/>
        <v>1574.6708841029067</v>
      </c>
      <c r="BH16" s="46">
        <v>9</v>
      </c>
      <c r="BI16" s="46">
        <f t="shared" si="38"/>
        <v>20</v>
      </c>
      <c r="BJ16" s="46">
        <f t="shared" ca="1" si="39"/>
        <v>22251</v>
      </c>
      <c r="BK16" s="46">
        <f t="shared" ca="1" si="22"/>
        <v>21112</v>
      </c>
      <c r="BL16" s="46">
        <f t="shared" ca="1" si="23"/>
        <v>1574.6708841029067</v>
      </c>
      <c r="BM16" s="46">
        <v>9</v>
      </c>
      <c r="BN16" s="46" t="e">
        <f t="shared" si="40"/>
        <v>#N/A</v>
      </c>
      <c r="BO16" s="46" t="e">
        <f t="shared" ca="1" si="41"/>
        <v>#N/A</v>
      </c>
      <c r="BP16" s="46" t="e">
        <f t="shared" ca="1" si="24"/>
        <v>#N/A</v>
      </c>
      <c r="BQ16" s="46" t="e">
        <f t="shared" ca="1" si="25"/>
        <v>#N/A</v>
      </c>
      <c r="BR16" s="46">
        <v>9</v>
      </c>
      <c r="BS16" s="46">
        <f t="shared" si="42"/>
        <v>48</v>
      </c>
      <c r="BT16" s="46">
        <f t="shared" ca="1" si="43"/>
        <v>53509</v>
      </c>
      <c r="BU16" s="46">
        <f t="shared" ca="1" si="26"/>
        <v>52370</v>
      </c>
      <c r="BV16" s="46">
        <f t="shared" ca="1" si="27"/>
        <v>1574.6708841029067</v>
      </c>
      <c r="BW16" s="46">
        <v>9</v>
      </c>
      <c r="BX16" s="46">
        <f t="shared" si="44"/>
        <v>76</v>
      </c>
      <c r="BY16" s="46">
        <f t="shared" ca="1" si="45"/>
        <v>84767</v>
      </c>
      <c r="BZ16" s="46">
        <f t="shared" ca="1" si="28"/>
        <v>83628</v>
      </c>
      <c r="CA16" s="46">
        <f t="shared" ca="1" si="29"/>
        <v>1574.6708841029067</v>
      </c>
      <c r="CC16" s="51"/>
      <c r="CD16" s="52"/>
      <c r="CE16" s="52"/>
      <c r="CF16" s="52"/>
      <c r="CG16" s="52"/>
      <c r="CH16" s="53"/>
      <c r="CI16" s="324" t="s">
        <v>621</v>
      </c>
      <c r="CJ16" s="195">
        <v>1</v>
      </c>
      <c r="CK16" s="196">
        <f t="shared" ref="CK16:CK25" si="48">IF(I26 = "", "", I26)</f>
        <v>25290</v>
      </c>
      <c r="CL16" s="196" t="str">
        <f t="shared" ref="CL16:CL25" si="49">IF(I26 = "", "", H26)</f>
        <v>H200x100x4.3x5.2-Q235</v>
      </c>
      <c r="CM16" s="195" t="e">
        <f t="shared" si="2"/>
        <v>#N/A</v>
      </c>
      <c r="CN16" s="195" t="e">
        <f t="shared" si="3"/>
        <v>#N/A</v>
      </c>
      <c r="CO16" s="195" t="e">
        <f t="shared" si="4"/>
        <v>#N/A</v>
      </c>
      <c r="CP16" s="195" t="e">
        <f t="shared" si="5"/>
        <v>#N/A</v>
      </c>
      <c r="CQ16" s="197" t="e">
        <f t="shared" si="6"/>
        <v>#N/A</v>
      </c>
      <c r="CR16" s="55">
        <f t="shared" si="31"/>
        <v>11</v>
      </c>
      <c r="CS16" s="56">
        <f t="shared" si="32"/>
        <v>80006</v>
      </c>
      <c r="CT16" s="56" t="str">
        <f t="shared" si="33"/>
        <v>H200x100x4.3x5.2-Q235</v>
      </c>
      <c r="CU16" s="56">
        <f t="shared" si="46"/>
        <v>7810</v>
      </c>
      <c r="CV16" s="56">
        <f t="shared" si="47"/>
        <v>76101</v>
      </c>
      <c r="CW16" s="56">
        <f t="shared" si="7"/>
        <v>25290</v>
      </c>
      <c r="CX16" s="57">
        <f t="shared" si="8"/>
        <v>1</v>
      </c>
      <c r="CY16" s="42">
        <f t="shared" si="9"/>
        <v>714.83544205145336</v>
      </c>
    </row>
    <row r="17" spans="1:103" x14ac:dyDescent="0.25">
      <c r="F17" s="74">
        <v>13</v>
      </c>
      <c r="G17" s="15"/>
      <c r="H17" s="155"/>
      <c r="I17" s="42"/>
      <c r="J17" s="42"/>
      <c r="K17" s="42"/>
      <c r="N17" s="43"/>
      <c r="R17" s="42"/>
      <c r="S17" s="43"/>
      <c r="AA17" s="42"/>
      <c r="AF17" s="42"/>
      <c r="AG17" s="42"/>
      <c r="AH17" s="45" t="s">
        <v>584</v>
      </c>
      <c r="AI17" s="186">
        <f>COUNT(G5:G19)</f>
        <v>10</v>
      </c>
      <c r="AJ17" s="48"/>
      <c r="AK17" s="42"/>
      <c r="AL17" s="177">
        <v>12</v>
      </c>
      <c r="AM17" s="46" t="e">
        <f t="shared" si="10"/>
        <v>#N/A</v>
      </c>
      <c r="AN17" s="46" t="e">
        <f t="shared" si="11"/>
        <v>#N/A</v>
      </c>
      <c r="AO17" s="46" t="e">
        <f t="shared" si="12"/>
        <v>#N/A</v>
      </c>
      <c r="AP17" s="46" t="e">
        <f t="shared" si="13"/>
        <v>#N/A</v>
      </c>
      <c r="AQ17" s="46" t="e">
        <f t="shared" si="14"/>
        <v>#N/A</v>
      </c>
      <c r="AR17" s="46" t="e">
        <f t="shared" si="15"/>
        <v>#N/A</v>
      </c>
      <c r="AS17" s="46">
        <f t="shared" si="34"/>
        <v>0</v>
      </c>
      <c r="AT17" s="46" t="e">
        <f t="shared" si="16"/>
        <v>#N/A</v>
      </c>
      <c r="AU17" s="46" t="e">
        <f t="shared" si="17"/>
        <v>#N/A</v>
      </c>
      <c r="AV17" s="50"/>
      <c r="AW17" s="46"/>
      <c r="AX17" s="46"/>
      <c r="AY17" s="46">
        <v>12</v>
      </c>
      <c r="AZ17" s="46">
        <f t="shared" si="18"/>
        <v>0</v>
      </c>
      <c r="BA17" s="46">
        <f t="shared" si="19"/>
        <v>12729</v>
      </c>
      <c r="BB17" s="46">
        <v>12</v>
      </c>
      <c r="BC17" s="46">
        <v>10</v>
      </c>
      <c r="BD17" s="46">
        <f t="shared" si="36"/>
        <v>4</v>
      </c>
      <c r="BE17" s="46">
        <f t="shared" ca="1" si="37"/>
        <v>4721</v>
      </c>
      <c r="BF17" s="46">
        <f t="shared" ca="1" si="20"/>
        <v>4716</v>
      </c>
      <c r="BG17" s="46">
        <f t="shared" ca="1" si="21"/>
        <v>1574.6708841029067</v>
      </c>
      <c r="BH17" s="46">
        <v>10</v>
      </c>
      <c r="BI17" s="46">
        <f t="shared" si="38"/>
        <v>20</v>
      </c>
      <c r="BJ17" s="46">
        <f t="shared" ca="1" si="39"/>
        <v>22251</v>
      </c>
      <c r="BK17" s="46">
        <f t="shared" ca="1" si="22"/>
        <v>22246</v>
      </c>
      <c r="BL17" s="46">
        <f t="shared" ca="1" si="23"/>
        <v>1574.6708841029067</v>
      </c>
      <c r="BM17" s="46">
        <v>10</v>
      </c>
      <c r="BN17" s="46" t="e">
        <f t="shared" si="40"/>
        <v>#N/A</v>
      </c>
      <c r="BO17" s="46" t="e">
        <f t="shared" ca="1" si="41"/>
        <v>#N/A</v>
      </c>
      <c r="BP17" s="46" t="e">
        <f t="shared" ca="1" si="24"/>
        <v>#N/A</v>
      </c>
      <c r="BQ17" s="46" t="e">
        <f t="shared" ca="1" si="25"/>
        <v>#N/A</v>
      </c>
      <c r="BR17" s="46">
        <v>10</v>
      </c>
      <c r="BS17" s="46">
        <f t="shared" si="42"/>
        <v>48</v>
      </c>
      <c r="BT17" s="46">
        <f t="shared" ca="1" si="43"/>
        <v>53509</v>
      </c>
      <c r="BU17" s="46">
        <f t="shared" ca="1" si="26"/>
        <v>53504</v>
      </c>
      <c r="BV17" s="46">
        <f t="shared" ca="1" si="27"/>
        <v>1574.6708841029067</v>
      </c>
      <c r="BW17" s="46">
        <v>10</v>
      </c>
      <c r="BX17" s="46">
        <f t="shared" si="44"/>
        <v>76</v>
      </c>
      <c r="BY17" s="46">
        <f t="shared" ca="1" si="45"/>
        <v>84767</v>
      </c>
      <c r="BZ17" s="46">
        <f t="shared" ca="1" si="28"/>
        <v>84762</v>
      </c>
      <c r="CA17" s="46">
        <f t="shared" ca="1" si="29"/>
        <v>1574.6708841029067</v>
      </c>
      <c r="CC17" s="51"/>
      <c r="CD17" s="52"/>
      <c r="CE17" s="52"/>
      <c r="CF17" s="52"/>
      <c r="CG17" s="52"/>
      <c r="CH17" s="53"/>
      <c r="CI17" s="325"/>
      <c r="CJ17" s="52">
        <v>2</v>
      </c>
      <c r="CK17" s="59">
        <f t="shared" si="48"/>
        <v>33138</v>
      </c>
      <c r="CL17" s="59" t="str">
        <f t="shared" si="49"/>
        <v>H200x100x4.3x5.2-Q235</v>
      </c>
      <c r="CM17" s="52" t="e">
        <f t="shared" si="2"/>
        <v>#N/A</v>
      </c>
      <c r="CN17" s="52" t="e">
        <f t="shared" si="3"/>
        <v>#N/A</v>
      </c>
      <c r="CO17" s="52" t="e">
        <f t="shared" si="4"/>
        <v>#N/A</v>
      </c>
      <c r="CP17" s="52" t="e">
        <f t="shared" si="5"/>
        <v>#N/A</v>
      </c>
      <c r="CQ17" s="54" t="e">
        <f t="shared" si="6"/>
        <v>#N/A</v>
      </c>
      <c r="CR17" s="55">
        <f t="shared" si="31"/>
        <v>12</v>
      </c>
      <c r="CS17" s="56">
        <f t="shared" si="32"/>
        <v>87762</v>
      </c>
      <c r="CT17" s="56" t="str">
        <f t="shared" si="33"/>
        <v>H200x100x4.3x5.2-Q235</v>
      </c>
      <c r="CU17" s="56">
        <f t="shared" si="46"/>
        <v>7756</v>
      </c>
      <c r="CV17" s="56">
        <f t="shared" si="47"/>
        <v>83884</v>
      </c>
      <c r="CW17" s="56">
        <f t="shared" si="7"/>
        <v>33138</v>
      </c>
      <c r="CX17" s="57">
        <f t="shared" si="8"/>
        <v>2</v>
      </c>
      <c r="CY17" s="42">
        <f t="shared" si="9"/>
        <v>714.83544205145336</v>
      </c>
    </row>
    <row r="18" spans="1:103" ht="25" x14ac:dyDescent="0.25">
      <c r="F18" s="210">
        <v>14</v>
      </c>
      <c r="G18" s="15"/>
      <c r="H18" s="155"/>
      <c r="AA18" s="154"/>
      <c r="AF18" s="42"/>
      <c r="AG18" s="42"/>
      <c r="AH18" s="45" t="s">
        <v>585</v>
      </c>
      <c r="AI18" s="186">
        <f>基本参数输入!B11</f>
        <v>150</v>
      </c>
      <c r="AJ18" s="48" t="s">
        <v>0</v>
      </c>
      <c r="AK18" s="42"/>
      <c r="AL18" s="179">
        <v>13</v>
      </c>
      <c r="AM18" s="46" t="e">
        <f t="shared" si="10"/>
        <v>#N/A</v>
      </c>
      <c r="AN18" s="46" t="e">
        <f t="shared" si="11"/>
        <v>#N/A</v>
      </c>
      <c r="AO18" s="46" t="e">
        <f t="shared" si="12"/>
        <v>#N/A</v>
      </c>
      <c r="AP18" s="46" t="e">
        <f t="shared" si="13"/>
        <v>#N/A</v>
      </c>
      <c r="AQ18" s="46" t="e">
        <f t="shared" si="14"/>
        <v>#N/A</v>
      </c>
      <c r="AR18" s="46" t="e">
        <f t="shared" si="15"/>
        <v>#N/A</v>
      </c>
      <c r="AS18" s="46">
        <f t="shared" si="34"/>
        <v>0</v>
      </c>
      <c r="AT18" s="46" t="e">
        <f t="shared" si="16"/>
        <v>#N/A</v>
      </c>
      <c r="AU18" s="46" t="e">
        <f t="shared" si="17"/>
        <v>#N/A</v>
      </c>
      <c r="AV18" s="50"/>
      <c r="AW18" s="46"/>
      <c r="AX18" s="46"/>
      <c r="AY18" s="46">
        <v>13</v>
      </c>
      <c r="AZ18" s="46">
        <f t="shared" si="18"/>
        <v>0</v>
      </c>
      <c r="BA18" s="46">
        <f t="shared" si="19"/>
        <v>13873</v>
      </c>
      <c r="BB18" s="46">
        <v>13</v>
      </c>
      <c r="BC18" s="46">
        <v>11</v>
      </c>
      <c r="BD18" s="46">
        <f t="shared" si="36"/>
        <v>4</v>
      </c>
      <c r="BE18" s="46">
        <f t="shared" ca="1" si="37"/>
        <v>4721</v>
      </c>
      <c r="BF18" s="46">
        <f t="shared" ca="1" si="20"/>
        <v>4721</v>
      </c>
      <c r="BG18" s="46">
        <f t="shared" ca="1" si="21"/>
        <v>1429.6708841029067</v>
      </c>
      <c r="BH18" s="46">
        <v>11</v>
      </c>
      <c r="BI18" s="46">
        <f t="shared" si="38"/>
        <v>20</v>
      </c>
      <c r="BJ18" s="46">
        <f t="shared" ca="1" si="39"/>
        <v>22251</v>
      </c>
      <c r="BK18" s="46">
        <f t="shared" ca="1" si="22"/>
        <v>22251</v>
      </c>
      <c r="BL18" s="46">
        <f t="shared" ca="1" si="23"/>
        <v>1429.6708841029067</v>
      </c>
      <c r="BM18" s="46">
        <v>11</v>
      </c>
      <c r="BN18" s="46" t="e">
        <f t="shared" si="40"/>
        <v>#N/A</v>
      </c>
      <c r="BO18" s="46" t="e">
        <f t="shared" ca="1" si="41"/>
        <v>#N/A</v>
      </c>
      <c r="BP18" s="46" t="e">
        <f t="shared" ca="1" si="24"/>
        <v>#N/A</v>
      </c>
      <c r="BQ18" s="46" t="e">
        <f t="shared" ca="1" si="25"/>
        <v>#N/A</v>
      </c>
      <c r="BR18" s="46">
        <v>11</v>
      </c>
      <c r="BS18" s="46">
        <f t="shared" si="42"/>
        <v>48</v>
      </c>
      <c r="BT18" s="46">
        <f t="shared" ca="1" si="43"/>
        <v>53509</v>
      </c>
      <c r="BU18" s="46">
        <f t="shared" ca="1" si="26"/>
        <v>53509</v>
      </c>
      <c r="BV18" s="46">
        <f t="shared" ca="1" si="27"/>
        <v>1429.6708841029067</v>
      </c>
      <c r="BW18" s="46">
        <v>11</v>
      </c>
      <c r="BX18" s="46">
        <f t="shared" si="44"/>
        <v>76</v>
      </c>
      <c r="BY18" s="46">
        <f t="shared" ca="1" si="45"/>
        <v>84767</v>
      </c>
      <c r="BZ18" s="46">
        <f t="shared" ca="1" si="28"/>
        <v>84767</v>
      </c>
      <c r="CA18" s="46">
        <f t="shared" ca="1" si="29"/>
        <v>1429.6708841029067</v>
      </c>
      <c r="CC18" s="51"/>
      <c r="CD18" s="52"/>
      <c r="CE18" s="52"/>
      <c r="CF18" s="52"/>
      <c r="CG18" s="52"/>
      <c r="CH18" s="53"/>
      <c r="CI18" s="325"/>
      <c r="CJ18" s="52">
        <v>3</v>
      </c>
      <c r="CK18" s="59">
        <f t="shared" si="48"/>
        <v>40938</v>
      </c>
      <c r="CL18" s="59" t="str">
        <f t="shared" si="49"/>
        <v>H200x100x4.3x5.2-Q235</v>
      </c>
      <c r="CM18" s="52" t="e">
        <f t="shared" si="2"/>
        <v>#N/A</v>
      </c>
      <c r="CN18" s="52" t="e">
        <f t="shared" si="3"/>
        <v>#N/A</v>
      </c>
      <c r="CO18" s="52" t="e">
        <f t="shared" si="4"/>
        <v>#N/A</v>
      </c>
      <c r="CP18" s="52" t="e">
        <f t="shared" si="5"/>
        <v>#N/A</v>
      </c>
      <c r="CQ18" s="54" t="e">
        <f t="shared" si="6"/>
        <v>#N/A</v>
      </c>
      <c r="CR18" s="55">
        <f t="shared" si="31"/>
        <v>13</v>
      </c>
      <c r="CS18" s="56">
        <f t="shared" si="32"/>
        <v>95462</v>
      </c>
      <c r="CT18" s="56" t="str">
        <f t="shared" si="33"/>
        <v>H200x100x4.3x5.2-Q235</v>
      </c>
      <c r="CU18" s="56">
        <f t="shared" si="46"/>
        <v>7700</v>
      </c>
      <c r="CV18" s="56">
        <f t="shared" si="47"/>
        <v>91612</v>
      </c>
      <c r="CW18" s="56">
        <f t="shared" si="7"/>
        <v>40938</v>
      </c>
      <c r="CX18" s="57">
        <f t="shared" si="8"/>
        <v>3</v>
      </c>
      <c r="CY18" s="42">
        <f t="shared" si="9"/>
        <v>714.83544205145336</v>
      </c>
    </row>
    <row r="19" spans="1:103" ht="17" thickBot="1" x14ac:dyDescent="0.3">
      <c r="F19" s="211">
        <v>15</v>
      </c>
      <c r="G19" s="64">
        <f>AI21 - SUM(G5:G18) - COUNT(G5:G18) * AI16 - C4 * (AI38 + AI39 - AI16)</f>
        <v>8667</v>
      </c>
      <c r="H19" s="156" t="s">
        <v>634</v>
      </c>
      <c r="AA19" s="50"/>
      <c r="AF19" s="42"/>
      <c r="AG19" s="42"/>
      <c r="AH19" s="45" t="s">
        <v>586</v>
      </c>
      <c r="AI19" s="186">
        <f>基本参数输入!B12</f>
        <v>150</v>
      </c>
      <c r="AJ19" s="48" t="s">
        <v>0</v>
      </c>
      <c r="AK19" s="42"/>
      <c r="AL19" s="180">
        <v>14</v>
      </c>
      <c r="AM19" s="46" t="e">
        <f t="shared" si="10"/>
        <v>#N/A</v>
      </c>
      <c r="AN19" s="46" t="e">
        <f t="shared" si="11"/>
        <v>#N/A</v>
      </c>
      <c r="AO19" s="46" t="e">
        <f t="shared" si="12"/>
        <v>#N/A</v>
      </c>
      <c r="AP19" s="46" t="e">
        <f t="shared" si="13"/>
        <v>#N/A</v>
      </c>
      <c r="AQ19" s="46" t="e">
        <f t="shared" si="14"/>
        <v>#N/A</v>
      </c>
      <c r="AR19" s="46" t="e">
        <f t="shared" si="15"/>
        <v>#N/A</v>
      </c>
      <c r="AS19" s="46">
        <f t="shared" si="34"/>
        <v>0</v>
      </c>
      <c r="AT19" s="46" t="e">
        <f t="shared" si="16"/>
        <v>#N/A</v>
      </c>
      <c r="AU19" s="46" t="e">
        <f t="shared" si="17"/>
        <v>#N/A</v>
      </c>
      <c r="AV19" s="50"/>
      <c r="AW19" s="46"/>
      <c r="AX19" s="46"/>
      <c r="AY19" s="46">
        <v>14</v>
      </c>
      <c r="AZ19" s="46">
        <f t="shared" si="18"/>
        <v>0</v>
      </c>
      <c r="BA19" s="46">
        <f t="shared" si="19"/>
        <v>15017</v>
      </c>
      <c r="BB19" s="46">
        <v>14</v>
      </c>
      <c r="BC19" s="46">
        <v>12</v>
      </c>
      <c r="BD19" s="46">
        <f t="shared" si="36"/>
        <v>5</v>
      </c>
      <c r="BE19" s="46">
        <f t="shared" ca="1" si="37"/>
        <v>5865</v>
      </c>
      <c r="BF19" s="46">
        <f t="shared" ca="1" si="20"/>
        <v>4726</v>
      </c>
      <c r="BG19" s="46">
        <f t="shared" ca="1" si="21"/>
        <v>1574.6708841029067</v>
      </c>
      <c r="BH19" s="46">
        <v>12</v>
      </c>
      <c r="BI19" s="46">
        <f t="shared" si="38"/>
        <v>21</v>
      </c>
      <c r="BJ19" s="46">
        <f t="shared" ca="1" si="39"/>
        <v>23395</v>
      </c>
      <c r="BK19" s="46">
        <f t="shared" ca="1" si="22"/>
        <v>22256</v>
      </c>
      <c r="BL19" s="46">
        <f t="shared" ca="1" si="23"/>
        <v>1574.6708841029067</v>
      </c>
      <c r="BM19" s="46">
        <v>12</v>
      </c>
      <c r="BN19" s="46" t="e">
        <f t="shared" si="40"/>
        <v>#N/A</v>
      </c>
      <c r="BO19" s="46" t="e">
        <f t="shared" ca="1" si="41"/>
        <v>#N/A</v>
      </c>
      <c r="BP19" s="46" t="e">
        <f t="shared" ca="1" si="24"/>
        <v>#N/A</v>
      </c>
      <c r="BQ19" s="46" t="e">
        <f t="shared" ca="1" si="25"/>
        <v>#N/A</v>
      </c>
      <c r="BR19" s="46">
        <v>12</v>
      </c>
      <c r="BS19" s="46">
        <f t="shared" si="42"/>
        <v>49</v>
      </c>
      <c r="BT19" s="46">
        <f t="shared" ca="1" si="43"/>
        <v>54653</v>
      </c>
      <c r="BU19" s="46">
        <f t="shared" ca="1" si="26"/>
        <v>53514</v>
      </c>
      <c r="BV19" s="46">
        <f t="shared" ca="1" si="27"/>
        <v>1574.6708841029067</v>
      </c>
      <c r="BW19" s="46">
        <v>12</v>
      </c>
      <c r="BX19" s="46">
        <f t="shared" si="44"/>
        <v>77</v>
      </c>
      <c r="BY19" s="46">
        <f t="shared" ca="1" si="45"/>
        <v>85911</v>
      </c>
      <c r="BZ19" s="46">
        <f t="shared" ca="1" si="28"/>
        <v>84772</v>
      </c>
      <c r="CA19" s="46">
        <f t="shared" ca="1" si="29"/>
        <v>1574.6708841029067</v>
      </c>
      <c r="CC19" s="51"/>
      <c r="CD19" s="52"/>
      <c r="CE19" s="52"/>
      <c r="CF19" s="52"/>
      <c r="CG19" s="52"/>
      <c r="CH19" s="53"/>
      <c r="CI19" s="325"/>
      <c r="CJ19" s="52">
        <v>4</v>
      </c>
      <c r="CK19" s="59" t="str">
        <f t="shared" si="48"/>
        <v/>
      </c>
      <c r="CL19" s="59" t="str">
        <f t="shared" si="49"/>
        <v/>
      </c>
      <c r="CM19" s="52" t="e">
        <f t="shared" si="2"/>
        <v>#N/A</v>
      </c>
      <c r="CN19" s="52" t="e">
        <f t="shared" si="3"/>
        <v>#N/A</v>
      </c>
      <c r="CO19" s="52" t="e">
        <f t="shared" si="4"/>
        <v>#N/A</v>
      </c>
      <c r="CP19" s="52" t="e">
        <f t="shared" si="5"/>
        <v>#N/A</v>
      </c>
      <c r="CQ19" s="54" t="e">
        <f t="shared" si="6"/>
        <v>#N/A</v>
      </c>
      <c r="CR19" s="55" t="e">
        <f t="shared" si="31"/>
        <v>#N/A</v>
      </c>
      <c r="CS19" s="56" t="e">
        <f t="shared" si="32"/>
        <v>#N/A</v>
      </c>
      <c r="CT19" s="56" t="e">
        <f t="shared" si="33"/>
        <v>#N/A</v>
      </c>
      <c r="CU19" s="56" t="e">
        <f t="shared" si="46"/>
        <v>#N/A</v>
      </c>
      <c r="CV19" s="56" t="e">
        <f t="shared" si="47"/>
        <v>#N/A</v>
      </c>
      <c r="CW19" s="56" t="e">
        <f t="shared" si="7"/>
        <v>#N/A</v>
      </c>
      <c r="CX19" s="57" t="e">
        <f t="shared" si="8"/>
        <v>#N/A</v>
      </c>
      <c r="CY19" s="42">
        <f t="shared" si="9"/>
        <v>714.83544205145336</v>
      </c>
    </row>
    <row r="20" spans="1:103" ht="17" thickTop="1" x14ac:dyDescent="0.25">
      <c r="AA20" s="50"/>
      <c r="AB20" s="50"/>
      <c r="AC20" s="50"/>
      <c r="AD20" s="50"/>
      <c r="AF20" s="42"/>
      <c r="AG20" s="42"/>
      <c r="AH20" s="45" t="s">
        <v>587</v>
      </c>
      <c r="AI20" s="186">
        <f xml:space="preserve"> AI6 * AI10 + AI11 * (AI10 - 1) + AI14 * (AI13 - AI11)</f>
        <v>97196</v>
      </c>
      <c r="AJ20" s="48" t="s">
        <v>0</v>
      </c>
      <c r="AK20" s="42"/>
      <c r="AL20" s="217">
        <v>15</v>
      </c>
      <c r="AM20" s="181">
        <f xml:space="preserve"> AN20 - G19</f>
        <v>88829</v>
      </c>
      <c r="AN20" s="181">
        <f xml:space="preserve"> AI21</f>
        <v>97496</v>
      </c>
      <c r="AO20" s="187" t="s">
        <v>648</v>
      </c>
      <c r="AP20" s="187" t="s">
        <v>648</v>
      </c>
      <c r="AQ20" s="181">
        <f xml:space="preserve"> AM20 - AI39</f>
        <v>88763</v>
      </c>
      <c r="AR20" s="181">
        <f xml:space="preserve"> AM20 - $AI$16 / 2</f>
        <v>88806</v>
      </c>
      <c r="AS20" s="181">
        <f xml:space="preserve"> IFERROR(MATCH(AQ20, $D$6:$D$9, 0), 0)</f>
        <v>0</v>
      </c>
      <c r="AT20" s="181">
        <f t="shared" si="16"/>
        <v>88656</v>
      </c>
      <c r="AU20" s="181">
        <f t="shared" si="17"/>
        <v>88956</v>
      </c>
      <c r="AV20" s="50"/>
      <c r="AW20" s="46"/>
      <c r="AX20" s="46"/>
      <c r="AY20" s="46">
        <v>15</v>
      </c>
      <c r="AZ20" s="46">
        <f t="shared" si="18"/>
        <v>0</v>
      </c>
      <c r="BA20" s="46">
        <f t="shared" si="19"/>
        <v>16161</v>
      </c>
      <c r="BB20" s="46">
        <v>15</v>
      </c>
      <c r="BC20" s="46">
        <v>13</v>
      </c>
      <c r="BD20" s="46">
        <f t="shared" si="36"/>
        <v>5</v>
      </c>
      <c r="BE20" s="46">
        <f t="shared" ca="1" si="37"/>
        <v>5865</v>
      </c>
      <c r="BF20" s="46">
        <f t="shared" ca="1" si="20"/>
        <v>5860</v>
      </c>
      <c r="BG20" s="46">
        <f t="shared" ca="1" si="21"/>
        <v>1574.6708841029067</v>
      </c>
      <c r="BH20" s="46">
        <v>13</v>
      </c>
      <c r="BI20" s="46">
        <f t="shared" si="38"/>
        <v>21</v>
      </c>
      <c r="BJ20" s="46">
        <f t="shared" ca="1" si="39"/>
        <v>23395</v>
      </c>
      <c r="BK20" s="46">
        <f t="shared" ca="1" si="22"/>
        <v>23390</v>
      </c>
      <c r="BL20" s="46">
        <f t="shared" ca="1" si="23"/>
        <v>1574.6708841029067</v>
      </c>
      <c r="BM20" s="46">
        <v>13</v>
      </c>
      <c r="BN20" s="46" t="e">
        <f t="shared" si="40"/>
        <v>#N/A</v>
      </c>
      <c r="BO20" s="46" t="e">
        <f t="shared" ca="1" si="41"/>
        <v>#N/A</v>
      </c>
      <c r="BP20" s="46" t="e">
        <f t="shared" ca="1" si="24"/>
        <v>#N/A</v>
      </c>
      <c r="BQ20" s="46" t="e">
        <f t="shared" ca="1" si="25"/>
        <v>#N/A</v>
      </c>
      <c r="BR20" s="46">
        <v>13</v>
      </c>
      <c r="BS20" s="46">
        <f t="shared" si="42"/>
        <v>49</v>
      </c>
      <c r="BT20" s="46">
        <f t="shared" ca="1" si="43"/>
        <v>54653</v>
      </c>
      <c r="BU20" s="46">
        <f t="shared" ca="1" si="26"/>
        <v>54648</v>
      </c>
      <c r="BV20" s="46">
        <f t="shared" ca="1" si="27"/>
        <v>1574.6708841029067</v>
      </c>
      <c r="BW20" s="46">
        <v>13</v>
      </c>
      <c r="BX20" s="46">
        <f t="shared" si="44"/>
        <v>77</v>
      </c>
      <c r="BY20" s="46">
        <f t="shared" ca="1" si="45"/>
        <v>85911</v>
      </c>
      <c r="BZ20" s="46">
        <f t="shared" ca="1" si="28"/>
        <v>85906</v>
      </c>
      <c r="CA20" s="46">
        <f t="shared" ca="1" si="29"/>
        <v>1574.6708841029067</v>
      </c>
      <c r="CC20" s="51"/>
      <c r="CD20" s="52"/>
      <c r="CE20" s="52"/>
      <c r="CF20" s="52"/>
      <c r="CG20" s="52"/>
      <c r="CH20" s="53"/>
      <c r="CI20" s="325"/>
      <c r="CJ20" s="52">
        <v>5</v>
      </c>
      <c r="CK20" s="59" t="str">
        <f t="shared" si="48"/>
        <v/>
      </c>
      <c r="CL20" s="59" t="str">
        <f t="shared" si="49"/>
        <v/>
      </c>
      <c r="CM20" s="52" t="e">
        <f t="shared" si="2"/>
        <v>#N/A</v>
      </c>
      <c r="CN20" s="52" t="e">
        <f t="shared" si="3"/>
        <v>#N/A</v>
      </c>
      <c r="CO20" s="52" t="e">
        <f t="shared" si="4"/>
        <v>#N/A</v>
      </c>
      <c r="CP20" s="52" t="e">
        <f t="shared" si="5"/>
        <v>#N/A</v>
      </c>
      <c r="CQ20" s="54" t="e">
        <f t="shared" si="6"/>
        <v>#N/A</v>
      </c>
      <c r="CR20" s="55" t="e">
        <f t="shared" si="31"/>
        <v>#N/A</v>
      </c>
      <c r="CS20" s="56" t="e">
        <f t="shared" si="32"/>
        <v>#N/A</v>
      </c>
      <c r="CT20" s="56" t="e">
        <f t="shared" si="33"/>
        <v>#N/A</v>
      </c>
      <c r="CU20" s="56" t="e">
        <f t="shared" si="46"/>
        <v>#N/A</v>
      </c>
      <c r="CV20" s="56" t="e">
        <f t="shared" si="47"/>
        <v>#N/A</v>
      </c>
      <c r="CW20" s="56" t="e">
        <f t="shared" si="7"/>
        <v>#N/A</v>
      </c>
      <c r="CX20" s="57" t="e">
        <f t="shared" si="8"/>
        <v>#N/A</v>
      </c>
      <c r="CY20" s="42">
        <f t="shared" si="9"/>
        <v>714.83544205145336</v>
      </c>
    </row>
    <row r="21" spans="1:103" x14ac:dyDescent="0.25">
      <c r="AA21" s="50"/>
      <c r="AB21" s="50"/>
      <c r="AC21" s="50"/>
      <c r="AD21" s="50"/>
      <c r="AF21" s="42"/>
      <c r="AG21" s="42"/>
      <c r="AH21" s="45" t="s">
        <v>588</v>
      </c>
      <c r="AI21" s="186">
        <f>AI20 + AI18 + AI19</f>
        <v>97496</v>
      </c>
      <c r="AJ21" s="48" t="s">
        <v>0</v>
      </c>
      <c r="AK21" s="42"/>
      <c r="AV21" s="43"/>
      <c r="AW21" s="46"/>
      <c r="AX21" s="46"/>
      <c r="AY21" s="46">
        <v>16</v>
      </c>
      <c r="AZ21" s="46">
        <f t="shared" si="18"/>
        <v>0</v>
      </c>
      <c r="BA21" s="46">
        <f t="shared" si="19"/>
        <v>17305</v>
      </c>
      <c r="BB21" s="46">
        <v>16</v>
      </c>
      <c r="BC21" s="46">
        <v>14</v>
      </c>
      <c r="BD21" s="46">
        <f t="shared" si="36"/>
        <v>5</v>
      </c>
      <c r="BE21" s="46">
        <f t="shared" ca="1" si="37"/>
        <v>5865</v>
      </c>
      <c r="BF21" s="46">
        <f t="shared" ca="1" si="20"/>
        <v>5865</v>
      </c>
      <c r="BG21" s="46">
        <f t="shared" ca="1" si="21"/>
        <v>1429.6708841029067</v>
      </c>
      <c r="BH21" s="46">
        <v>14</v>
      </c>
      <c r="BI21" s="46">
        <f t="shared" si="38"/>
        <v>21</v>
      </c>
      <c r="BJ21" s="46">
        <f t="shared" ca="1" si="39"/>
        <v>23395</v>
      </c>
      <c r="BK21" s="46">
        <f t="shared" ca="1" si="22"/>
        <v>23395</v>
      </c>
      <c r="BL21" s="46">
        <f t="shared" ca="1" si="23"/>
        <v>1429.6708841029067</v>
      </c>
      <c r="BM21" s="46">
        <v>14</v>
      </c>
      <c r="BN21" s="46" t="e">
        <f t="shared" si="40"/>
        <v>#N/A</v>
      </c>
      <c r="BO21" s="46" t="e">
        <f t="shared" ca="1" si="41"/>
        <v>#N/A</v>
      </c>
      <c r="BP21" s="46" t="e">
        <f t="shared" ca="1" si="24"/>
        <v>#N/A</v>
      </c>
      <c r="BQ21" s="46" t="e">
        <f t="shared" ca="1" si="25"/>
        <v>#N/A</v>
      </c>
      <c r="BR21" s="46">
        <v>14</v>
      </c>
      <c r="BS21" s="46">
        <f t="shared" si="42"/>
        <v>49</v>
      </c>
      <c r="BT21" s="46">
        <f t="shared" ca="1" si="43"/>
        <v>54653</v>
      </c>
      <c r="BU21" s="46">
        <f t="shared" ca="1" si="26"/>
        <v>54653</v>
      </c>
      <c r="BV21" s="46">
        <f t="shared" ca="1" si="27"/>
        <v>1429.6708841029067</v>
      </c>
      <c r="BW21" s="46">
        <v>14</v>
      </c>
      <c r="BX21" s="46">
        <f t="shared" si="44"/>
        <v>77</v>
      </c>
      <c r="BY21" s="46">
        <f t="shared" ca="1" si="45"/>
        <v>85911</v>
      </c>
      <c r="BZ21" s="46">
        <f t="shared" ca="1" si="28"/>
        <v>85911</v>
      </c>
      <c r="CA21" s="46">
        <f t="shared" ca="1" si="29"/>
        <v>1429.6708841029067</v>
      </c>
      <c r="CC21" s="51"/>
      <c r="CD21" s="52"/>
      <c r="CE21" s="52"/>
      <c r="CF21" s="52"/>
      <c r="CG21" s="52"/>
      <c r="CH21" s="53"/>
      <c r="CI21" s="325"/>
      <c r="CJ21" s="52">
        <v>6</v>
      </c>
      <c r="CK21" s="59" t="str">
        <f t="shared" si="48"/>
        <v/>
      </c>
      <c r="CL21" s="59" t="str">
        <f t="shared" si="49"/>
        <v/>
      </c>
      <c r="CM21" s="52" t="e">
        <f t="shared" si="2"/>
        <v>#N/A</v>
      </c>
      <c r="CN21" s="52" t="e">
        <f t="shared" si="3"/>
        <v>#N/A</v>
      </c>
      <c r="CO21" s="52" t="e">
        <f t="shared" si="4"/>
        <v>#N/A</v>
      </c>
      <c r="CP21" s="52" t="e">
        <f t="shared" si="5"/>
        <v>#N/A</v>
      </c>
      <c r="CQ21" s="54" t="e">
        <f t="shared" si="6"/>
        <v>#N/A</v>
      </c>
      <c r="CR21" s="55" t="e">
        <f t="shared" si="31"/>
        <v>#N/A</v>
      </c>
      <c r="CS21" s="56" t="e">
        <f t="shared" si="32"/>
        <v>#N/A</v>
      </c>
      <c r="CT21" s="56" t="e">
        <f t="shared" si="33"/>
        <v>#N/A</v>
      </c>
      <c r="CU21" s="56" t="e">
        <f t="shared" si="46"/>
        <v>#N/A</v>
      </c>
      <c r="CV21" s="56" t="e">
        <f t="shared" si="47"/>
        <v>#N/A</v>
      </c>
      <c r="CW21" s="56" t="e">
        <f t="shared" si="7"/>
        <v>#N/A</v>
      </c>
      <c r="CX21" s="57" t="e">
        <f t="shared" si="8"/>
        <v>#N/A</v>
      </c>
      <c r="CY21" s="42">
        <f t="shared" si="9"/>
        <v>714.83544205145336</v>
      </c>
    </row>
    <row r="22" spans="1:103" ht="17" thickBot="1" x14ac:dyDescent="0.3">
      <c r="AA22" s="50"/>
      <c r="AB22" s="50"/>
      <c r="AC22" s="50"/>
      <c r="AD22" s="50"/>
      <c r="AF22" s="42"/>
      <c r="AG22" s="42"/>
      <c r="AH22" s="45" t="s">
        <v>589</v>
      </c>
      <c r="AI22" s="186">
        <f>基本参数输入!H10</f>
        <v>1429.6708841029067</v>
      </c>
      <c r="AJ22" s="48" t="s">
        <v>0</v>
      </c>
      <c r="AK22" s="42"/>
      <c r="AL22" s="42"/>
      <c r="AM22" s="42"/>
      <c r="AN22" s="43"/>
      <c r="AO22" s="43"/>
      <c r="AP22" s="43"/>
      <c r="AQ22" s="43"/>
      <c r="AR22" s="43"/>
      <c r="AS22" s="43"/>
      <c r="AT22" s="43"/>
      <c r="AU22" s="43"/>
      <c r="AV22" s="43"/>
      <c r="AW22" s="46"/>
      <c r="AX22" s="46"/>
      <c r="AY22" s="46">
        <v>17</v>
      </c>
      <c r="AZ22" s="46">
        <f t="shared" si="18"/>
        <v>1</v>
      </c>
      <c r="BA22" s="46">
        <f t="shared" si="19"/>
        <v>17675</v>
      </c>
      <c r="BB22" s="46">
        <v>17</v>
      </c>
      <c r="BC22" s="46">
        <v>15</v>
      </c>
      <c r="BD22" s="46">
        <f t="shared" si="36"/>
        <v>6</v>
      </c>
      <c r="BE22" s="46">
        <f t="shared" ca="1" si="37"/>
        <v>7009</v>
      </c>
      <c r="BF22" s="46">
        <f t="shared" ca="1" si="20"/>
        <v>5870</v>
      </c>
      <c r="BG22" s="46">
        <f t="shared" ca="1" si="21"/>
        <v>1574.6708841029067</v>
      </c>
      <c r="BH22" s="46">
        <v>15</v>
      </c>
      <c r="BI22" s="46">
        <f t="shared" si="38"/>
        <v>22</v>
      </c>
      <c r="BJ22" s="46">
        <f t="shared" ca="1" si="39"/>
        <v>24539</v>
      </c>
      <c r="BK22" s="46">
        <f t="shared" ca="1" si="22"/>
        <v>23400</v>
      </c>
      <c r="BL22" s="46">
        <f t="shared" ca="1" si="23"/>
        <v>1574.6708841029067</v>
      </c>
      <c r="BM22" s="46">
        <v>15</v>
      </c>
      <c r="BN22" s="46" t="e">
        <f t="shared" si="40"/>
        <v>#N/A</v>
      </c>
      <c r="BO22" s="46" t="e">
        <f t="shared" ca="1" si="41"/>
        <v>#N/A</v>
      </c>
      <c r="BP22" s="46" t="e">
        <f t="shared" ca="1" si="24"/>
        <v>#N/A</v>
      </c>
      <c r="BQ22" s="46" t="e">
        <f t="shared" ca="1" si="25"/>
        <v>#N/A</v>
      </c>
      <c r="BR22" s="46">
        <v>15</v>
      </c>
      <c r="BS22" s="46">
        <f t="shared" si="42"/>
        <v>50</v>
      </c>
      <c r="BT22" s="46">
        <f t="shared" ca="1" si="43"/>
        <v>55797</v>
      </c>
      <c r="BU22" s="46">
        <f t="shared" ca="1" si="26"/>
        <v>54658</v>
      </c>
      <c r="BV22" s="46">
        <f t="shared" ca="1" si="27"/>
        <v>1574.6708841029067</v>
      </c>
      <c r="BW22" s="46">
        <v>15</v>
      </c>
      <c r="BX22" s="46">
        <f t="shared" si="44"/>
        <v>78</v>
      </c>
      <c r="BY22" s="46">
        <f t="shared" ca="1" si="45"/>
        <v>87055</v>
      </c>
      <c r="BZ22" s="46">
        <f t="shared" ca="1" si="28"/>
        <v>85916</v>
      </c>
      <c r="CA22" s="46">
        <f t="shared" ca="1" si="29"/>
        <v>1574.6708841029067</v>
      </c>
      <c r="CC22" s="51"/>
      <c r="CD22" s="52"/>
      <c r="CE22" s="52"/>
      <c r="CF22" s="52"/>
      <c r="CG22" s="52"/>
      <c r="CH22" s="53"/>
      <c r="CI22" s="325"/>
      <c r="CJ22" s="52">
        <v>7</v>
      </c>
      <c r="CK22" s="59" t="str">
        <f t="shared" si="48"/>
        <v/>
      </c>
      <c r="CL22" s="59" t="str">
        <f t="shared" si="49"/>
        <v/>
      </c>
      <c r="CM22" s="52" t="e">
        <f t="shared" si="2"/>
        <v>#N/A</v>
      </c>
      <c r="CN22" s="52" t="e">
        <f t="shared" si="3"/>
        <v>#N/A</v>
      </c>
      <c r="CO22" s="52" t="e">
        <f t="shared" si="4"/>
        <v>#N/A</v>
      </c>
      <c r="CP22" s="52" t="e">
        <f t="shared" si="5"/>
        <v>#N/A</v>
      </c>
      <c r="CQ22" s="54" t="e">
        <f t="shared" si="6"/>
        <v>#N/A</v>
      </c>
      <c r="CR22" s="55" t="e">
        <f t="shared" si="31"/>
        <v>#N/A</v>
      </c>
      <c r="CS22" s="56" t="e">
        <f t="shared" si="32"/>
        <v>#N/A</v>
      </c>
      <c r="CT22" s="56" t="e">
        <f t="shared" si="33"/>
        <v>#N/A</v>
      </c>
      <c r="CU22" s="56" t="e">
        <f t="shared" si="46"/>
        <v>#N/A</v>
      </c>
      <c r="CV22" s="56" t="e">
        <f t="shared" si="47"/>
        <v>#N/A</v>
      </c>
      <c r="CW22" s="56" t="e">
        <f t="shared" si="7"/>
        <v>#N/A</v>
      </c>
      <c r="CX22" s="57" t="e">
        <f t="shared" si="8"/>
        <v>#N/A</v>
      </c>
      <c r="CY22" s="42">
        <f t="shared" si="9"/>
        <v>714.83544205145336</v>
      </c>
    </row>
    <row r="23" spans="1:103" ht="25.5" thickTop="1" x14ac:dyDescent="0.25">
      <c r="A23" s="329" t="s">
        <v>643</v>
      </c>
      <c r="B23" s="330"/>
      <c r="C23" s="330"/>
      <c r="D23" s="331"/>
      <c r="F23" s="338" t="s">
        <v>645</v>
      </c>
      <c r="G23" s="339"/>
      <c r="H23" s="339"/>
      <c r="I23" s="340"/>
      <c r="K23" s="341" t="s">
        <v>646</v>
      </c>
      <c r="L23" s="342"/>
      <c r="M23" s="342"/>
      <c r="N23" s="343"/>
      <c r="P23" s="344" t="s">
        <v>647</v>
      </c>
      <c r="Q23" s="345"/>
      <c r="R23" s="345"/>
      <c r="S23" s="346"/>
      <c r="U23" s="335" t="s">
        <v>644</v>
      </c>
      <c r="V23" s="336"/>
      <c r="W23" s="336"/>
      <c r="X23" s="337"/>
      <c r="AA23" s="50"/>
      <c r="AB23" s="50"/>
      <c r="AC23" s="50"/>
      <c r="AD23" s="50"/>
      <c r="AF23" s="42"/>
      <c r="AG23" s="42"/>
      <c r="AH23" s="45" t="s">
        <v>590</v>
      </c>
      <c r="AI23" s="186">
        <f>基本参数输入!B18</f>
        <v>300</v>
      </c>
      <c r="AJ23" s="48" t="s">
        <v>0</v>
      </c>
      <c r="AK23" s="42"/>
      <c r="AL23" s="42"/>
      <c r="AM23" s="42"/>
      <c r="AN23" s="43"/>
      <c r="AO23" s="43"/>
      <c r="AP23" s="43"/>
      <c r="AQ23" s="43"/>
      <c r="AR23" s="43"/>
      <c r="AS23" s="43"/>
      <c r="AT23" s="43"/>
      <c r="AU23" s="43"/>
      <c r="AV23" s="43"/>
      <c r="AW23" s="46"/>
      <c r="AX23" s="46"/>
      <c r="AY23" s="46">
        <v>18</v>
      </c>
      <c r="AZ23" s="46">
        <f t="shared" si="18"/>
        <v>0</v>
      </c>
      <c r="BA23" s="46">
        <f t="shared" si="19"/>
        <v>18819</v>
      </c>
      <c r="BB23" s="46">
        <v>18</v>
      </c>
      <c r="BC23" s="46">
        <v>16</v>
      </c>
      <c r="BD23" s="46">
        <f t="shared" si="36"/>
        <v>6</v>
      </c>
      <c r="BE23" s="46">
        <f t="shared" ca="1" si="37"/>
        <v>7009</v>
      </c>
      <c r="BF23" s="46">
        <f t="shared" ca="1" si="20"/>
        <v>7004</v>
      </c>
      <c r="BG23" s="46">
        <f t="shared" ca="1" si="21"/>
        <v>1574.6708841029067</v>
      </c>
      <c r="BH23" s="46">
        <v>16</v>
      </c>
      <c r="BI23" s="46">
        <f t="shared" si="38"/>
        <v>22</v>
      </c>
      <c r="BJ23" s="46">
        <f t="shared" ca="1" si="39"/>
        <v>24539</v>
      </c>
      <c r="BK23" s="46">
        <f t="shared" ca="1" si="22"/>
        <v>24534</v>
      </c>
      <c r="BL23" s="46">
        <f t="shared" ca="1" si="23"/>
        <v>1574.6708841029067</v>
      </c>
      <c r="BM23" s="46">
        <v>16</v>
      </c>
      <c r="BN23" s="46" t="e">
        <f t="shared" si="40"/>
        <v>#N/A</v>
      </c>
      <c r="BO23" s="46" t="e">
        <f t="shared" ca="1" si="41"/>
        <v>#N/A</v>
      </c>
      <c r="BP23" s="46" t="e">
        <f t="shared" ca="1" si="24"/>
        <v>#N/A</v>
      </c>
      <c r="BQ23" s="46" t="e">
        <f t="shared" ca="1" si="25"/>
        <v>#N/A</v>
      </c>
      <c r="BR23" s="46">
        <v>16</v>
      </c>
      <c r="BS23" s="46">
        <f t="shared" si="42"/>
        <v>50</v>
      </c>
      <c r="BT23" s="46">
        <f t="shared" ca="1" si="43"/>
        <v>55797</v>
      </c>
      <c r="BU23" s="46">
        <f t="shared" ca="1" si="26"/>
        <v>55792</v>
      </c>
      <c r="BV23" s="46">
        <f t="shared" ca="1" si="27"/>
        <v>1574.6708841029067</v>
      </c>
      <c r="BW23" s="46">
        <v>16</v>
      </c>
      <c r="BX23" s="46">
        <f t="shared" si="44"/>
        <v>78</v>
      </c>
      <c r="BY23" s="46">
        <f t="shared" ca="1" si="45"/>
        <v>87055</v>
      </c>
      <c r="BZ23" s="46">
        <f t="shared" ca="1" si="28"/>
        <v>87050</v>
      </c>
      <c r="CA23" s="46">
        <f t="shared" ca="1" si="29"/>
        <v>1574.6708841029067</v>
      </c>
      <c r="CC23" s="51"/>
      <c r="CD23" s="52"/>
      <c r="CE23" s="52"/>
      <c r="CF23" s="52"/>
      <c r="CG23" s="52"/>
      <c r="CH23" s="53"/>
      <c r="CI23" s="325"/>
      <c r="CJ23" s="52">
        <v>8</v>
      </c>
      <c r="CK23" s="59" t="str">
        <f t="shared" si="48"/>
        <v/>
      </c>
      <c r="CL23" s="59" t="str">
        <f t="shared" si="49"/>
        <v/>
      </c>
      <c r="CM23" s="52" t="e">
        <f t="shared" si="2"/>
        <v>#N/A</v>
      </c>
      <c r="CN23" s="52" t="e">
        <f t="shared" si="3"/>
        <v>#N/A</v>
      </c>
      <c r="CO23" s="52" t="e">
        <f t="shared" si="4"/>
        <v>#N/A</v>
      </c>
      <c r="CP23" s="52" t="e">
        <f t="shared" si="5"/>
        <v>#N/A</v>
      </c>
      <c r="CQ23" s="54" t="e">
        <f t="shared" si="6"/>
        <v>#N/A</v>
      </c>
      <c r="CR23" s="55" t="e">
        <f t="shared" si="31"/>
        <v>#N/A</v>
      </c>
      <c r="CS23" s="56" t="e">
        <f t="shared" si="32"/>
        <v>#N/A</v>
      </c>
      <c r="CT23" s="56" t="e">
        <f t="shared" si="33"/>
        <v>#N/A</v>
      </c>
      <c r="CU23" s="56" t="e">
        <f t="shared" si="46"/>
        <v>#N/A</v>
      </c>
      <c r="CV23" s="56" t="e">
        <f t="shared" si="47"/>
        <v>#N/A</v>
      </c>
      <c r="CW23" s="56" t="e">
        <f t="shared" si="7"/>
        <v>#N/A</v>
      </c>
      <c r="CX23" s="57" t="e">
        <f t="shared" si="8"/>
        <v>#N/A</v>
      </c>
      <c r="CY23" s="42">
        <f t="shared" si="9"/>
        <v>714.83544205145336</v>
      </c>
    </row>
    <row r="24" spans="1:103" x14ac:dyDescent="0.25">
      <c r="A24" s="136" t="s">
        <v>617</v>
      </c>
      <c r="B24" s="137">
        <v>0</v>
      </c>
      <c r="C24" s="137" t="s">
        <v>618</v>
      </c>
      <c r="D24" s="138">
        <f>D6</f>
        <v>17490</v>
      </c>
      <c r="F24" s="133" t="s">
        <v>617</v>
      </c>
      <c r="G24" s="146">
        <f>IF(OR(AI14 = 1, AI14 = 2), "",  D24)</f>
        <v>17490</v>
      </c>
      <c r="H24" s="147" t="s">
        <v>637</v>
      </c>
      <c r="I24" s="135">
        <f>IF(OR(AI14 = 1, AI14 = 2), "",  SMALL(CD6:CD9, 2))</f>
        <v>48748</v>
      </c>
      <c r="K24" s="120" t="s">
        <v>617</v>
      </c>
      <c r="L24" s="121" t="str">
        <f>IF(OR(AI14 = 1, AI14 = 3), "", LARGE(CD6:CD9, AI14 / 2 + 1))</f>
        <v/>
      </c>
      <c r="M24" s="121" t="s">
        <v>678</v>
      </c>
      <c r="N24" s="122" t="str">
        <f>IF(OR(AI14 = 1, AI14 = 3), "", LARGE(CD6:CD9, AI14 / 2))</f>
        <v/>
      </c>
      <c r="P24" s="105" t="s">
        <v>617</v>
      </c>
      <c r="Q24" s="107">
        <f>IF(OR(AI14 = 1, AI14 = 2), "",  LARGE(CD6:CD9, 2))</f>
        <v>48748</v>
      </c>
      <c r="R24" s="107" t="s">
        <v>678</v>
      </c>
      <c r="S24" s="108">
        <f>IF(OR(AI14 = 1, AI14 = 2), "", V24)</f>
        <v>80006</v>
      </c>
      <c r="U24" s="95" t="s">
        <v>619</v>
      </c>
      <c r="V24" s="97">
        <f>LARGE(CD6:CD9, 1)</f>
        <v>80006</v>
      </c>
      <c r="W24" s="208" t="s">
        <v>618</v>
      </c>
      <c r="X24" s="209">
        <f>AI21</f>
        <v>97496</v>
      </c>
      <c r="AA24" s="50"/>
      <c r="AB24" s="50"/>
      <c r="AC24" s="50"/>
      <c r="AD24" s="50"/>
      <c r="AF24" s="42"/>
      <c r="AG24" s="42"/>
      <c r="AH24" s="45" t="s">
        <v>591</v>
      </c>
      <c r="AI24" s="186">
        <f>基本参数输入!B14</f>
        <v>60</v>
      </c>
      <c r="AJ24" s="48" t="s">
        <v>12</v>
      </c>
      <c r="AK24" s="42"/>
      <c r="AL24" s="42"/>
      <c r="AM24" s="42"/>
      <c r="AN24" s="43"/>
      <c r="AO24" s="43"/>
      <c r="AP24" s="43"/>
      <c r="AQ24" s="43"/>
      <c r="AR24" s="43"/>
      <c r="AS24" s="43"/>
      <c r="AT24" s="43"/>
      <c r="AU24" s="43"/>
      <c r="AV24" s="43"/>
      <c r="AW24" s="46"/>
      <c r="AX24" s="46"/>
      <c r="AY24" s="46">
        <v>19</v>
      </c>
      <c r="AZ24" s="46">
        <f t="shared" si="18"/>
        <v>0</v>
      </c>
      <c r="BA24" s="46">
        <f t="shared" si="19"/>
        <v>19963</v>
      </c>
      <c r="BB24" s="46">
        <v>19</v>
      </c>
      <c r="BC24" s="46">
        <v>17</v>
      </c>
      <c r="BD24" s="46">
        <f t="shared" si="36"/>
        <v>6</v>
      </c>
      <c r="BE24" s="46">
        <f t="shared" ca="1" si="37"/>
        <v>7009</v>
      </c>
      <c r="BF24" s="46">
        <f t="shared" ca="1" si="20"/>
        <v>7009</v>
      </c>
      <c r="BG24" s="46">
        <f t="shared" ca="1" si="21"/>
        <v>1429.6708841029067</v>
      </c>
      <c r="BH24" s="46">
        <v>17</v>
      </c>
      <c r="BI24" s="46">
        <f t="shared" si="38"/>
        <v>22</v>
      </c>
      <c r="BJ24" s="46">
        <f t="shared" ca="1" si="39"/>
        <v>24539</v>
      </c>
      <c r="BK24" s="46">
        <f t="shared" ca="1" si="22"/>
        <v>24539</v>
      </c>
      <c r="BL24" s="46">
        <f t="shared" ca="1" si="23"/>
        <v>1429.6708841029067</v>
      </c>
      <c r="BM24" s="46">
        <v>17</v>
      </c>
      <c r="BN24" s="46" t="e">
        <f t="shared" si="40"/>
        <v>#N/A</v>
      </c>
      <c r="BO24" s="46" t="e">
        <f t="shared" ca="1" si="41"/>
        <v>#N/A</v>
      </c>
      <c r="BP24" s="46" t="e">
        <f t="shared" ca="1" si="24"/>
        <v>#N/A</v>
      </c>
      <c r="BQ24" s="46" t="e">
        <f t="shared" ca="1" si="25"/>
        <v>#N/A</v>
      </c>
      <c r="BR24" s="46">
        <v>17</v>
      </c>
      <c r="BS24" s="46">
        <f t="shared" si="42"/>
        <v>50</v>
      </c>
      <c r="BT24" s="46">
        <f t="shared" ca="1" si="43"/>
        <v>55797</v>
      </c>
      <c r="BU24" s="46">
        <f t="shared" ca="1" si="26"/>
        <v>55797</v>
      </c>
      <c r="BV24" s="46">
        <f t="shared" ca="1" si="27"/>
        <v>1429.6708841029067</v>
      </c>
      <c r="BW24" s="46">
        <v>17</v>
      </c>
      <c r="BX24" s="46">
        <f t="shared" si="44"/>
        <v>78</v>
      </c>
      <c r="BY24" s="46">
        <f t="shared" ca="1" si="45"/>
        <v>87055</v>
      </c>
      <c r="BZ24" s="46">
        <f t="shared" ca="1" si="28"/>
        <v>87055</v>
      </c>
      <c r="CA24" s="46">
        <f t="shared" ca="1" si="29"/>
        <v>1429.6708841029067</v>
      </c>
      <c r="CC24" s="51"/>
      <c r="CD24" s="52"/>
      <c r="CE24" s="52"/>
      <c r="CF24" s="52"/>
      <c r="CG24" s="52"/>
      <c r="CH24" s="53"/>
      <c r="CI24" s="325"/>
      <c r="CJ24" s="52">
        <v>9</v>
      </c>
      <c r="CK24" s="59" t="str">
        <f t="shared" si="48"/>
        <v/>
      </c>
      <c r="CL24" s="59" t="str">
        <f t="shared" si="49"/>
        <v/>
      </c>
      <c r="CM24" s="52" t="e">
        <f t="shared" si="2"/>
        <v>#N/A</v>
      </c>
      <c r="CN24" s="52" t="e">
        <f t="shared" si="3"/>
        <v>#N/A</v>
      </c>
      <c r="CO24" s="52" t="e">
        <f t="shared" si="4"/>
        <v>#N/A</v>
      </c>
      <c r="CP24" s="52" t="e">
        <f t="shared" si="5"/>
        <v>#N/A</v>
      </c>
      <c r="CQ24" s="54" t="e">
        <f t="shared" si="6"/>
        <v>#N/A</v>
      </c>
      <c r="CR24" s="55" t="e">
        <f t="shared" si="31"/>
        <v>#N/A</v>
      </c>
      <c r="CS24" s="56" t="e">
        <f t="shared" si="32"/>
        <v>#N/A</v>
      </c>
      <c r="CT24" s="56" t="e">
        <f t="shared" si="33"/>
        <v>#N/A</v>
      </c>
      <c r="CU24" s="56" t="e">
        <f t="shared" si="46"/>
        <v>#N/A</v>
      </c>
      <c r="CV24" s="56" t="e">
        <f t="shared" si="47"/>
        <v>#N/A</v>
      </c>
      <c r="CW24" s="56" t="e">
        <f t="shared" si="7"/>
        <v>#N/A</v>
      </c>
      <c r="CX24" s="57" t="e">
        <f t="shared" si="8"/>
        <v>#N/A</v>
      </c>
    </row>
    <row r="25" spans="1:103" ht="17" thickBot="1" x14ac:dyDescent="0.3">
      <c r="A25" s="130" t="s">
        <v>563</v>
      </c>
      <c r="B25" s="139" t="s">
        <v>571</v>
      </c>
      <c r="C25" s="139" t="s">
        <v>620</v>
      </c>
      <c r="D25" s="138" t="s">
        <v>612</v>
      </c>
      <c r="E25" s="43"/>
      <c r="F25" s="133" t="s">
        <v>563</v>
      </c>
      <c r="G25" s="146" t="s">
        <v>571</v>
      </c>
      <c r="H25" s="146" t="s">
        <v>620</v>
      </c>
      <c r="I25" s="135" t="s">
        <v>638</v>
      </c>
      <c r="K25" s="120" t="s">
        <v>563</v>
      </c>
      <c r="L25" s="121" t="s">
        <v>571</v>
      </c>
      <c r="M25" s="121" t="s">
        <v>620</v>
      </c>
      <c r="N25" s="122" t="s">
        <v>638</v>
      </c>
      <c r="P25" s="105" t="s">
        <v>563</v>
      </c>
      <c r="Q25" s="107" t="s">
        <v>571</v>
      </c>
      <c r="R25" s="107" t="s">
        <v>620</v>
      </c>
      <c r="S25" s="108" t="s">
        <v>638</v>
      </c>
      <c r="U25" s="95" t="s">
        <v>563</v>
      </c>
      <c r="V25" s="97" t="s">
        <v>571</v>
      </c>
      <c r="W25" s="97" t="s">
        <v>620</v>
      </c>
      <c r="X25" s="98" t="s">
        <v>638</v>
      </c>
      <c r="AA25" s="50"/>
      <c r="AB25" s="50"/>
      <c r="AC25" s="50"/>
      <c r="AD25" s="50"/>
      <c r="AF25" s="42"/>
      <c r="AG25" s="42"/>
      <c r="AH25" s="45" t="s">
        <v>592</v>
      </c>
      <c r="AI25" s="186">
        <v>0</v>
      </c>
      <c r="AJ25" s="48" t="s">
        <v>13</v>
      </c>
      <c r="AK25" s="42"/>
      <c r="AL25" s="42"/>
      <c r="AM25" s="42"/>
      <c r="AN25" s="43"/>
      <c r="AO25" s="43"/>
      <c r="AP25" s="43"/>
      <c r="AQ25" s="43"/>
      <c r="AR25" s="43"/>
      <c r="AS25" s="43"/>
      <c r="AT25" s="43"/>
      <c r="AU25" s="43"/>
      <c r="AV25" s="43"/>
      <c r="AW25" s="46"/>
      <c r="AX25" s="46"/>
      <c r="AY25" s="46">
        <v>20</v>
      </c>
      <c r="AZ25" s="46">
        <f t="shared" si="18"/>
        <v>0</v>
      </c>
      <c r="BA25" s="46">
        <f t="shared" si="19"/>
        <v>21107</v>
      </c>
      <c r="BB25" s="46">
        <v>20</v>
      </c>
      <c r="BC25" s="46">
        <v>18</v>
      </c>
      <c r="BD25" s="46">
        <f t="shared" si="36"/>
        <v>7</v>
      </c>
      <c r="BE25" s="46">
        <f t="shared" ca="1" si="37"/>
        <v>8153</v>
      </c>
      <c r="BF25" s="46">
        <f t="shared" ca="1" si="20"/>
        <v>7014</v>
      </c>
      <c r="BG25" s="46">
        <f t="shared" ca="1" si="21"/>
        <v>1574.6708841029067</v>
      </c>
      <c r="BH25" s="46">
        <v>18</v>
      </c>
      <c r="BI25" s="46">
        <f t="shared" si="38"/>
        <v>23</v>
      </c>
      <c r="BJ25" s="46">
        <f t="shared" ca="1" si="39"/>
        <v>25683</v>
      </c>
      <c r="BK25" s="46">
        <f t="shared" ca="1" si="22"/>
        <v>24544</v>
      </c>
      <c r="BL25" s="46">
        <f t="shared" ca="1" si="23"/>
        <v>1574.6708841029067</v>
      </c>
      <c r="BM25" s="46">
        <v>18</v>
      </c>
      <c r="BN25" s="46" t="e">
        <f t="shared" si="40"/>
        <v>#N/A</v>
      </c>
      <c r="BO25" s="46" t="e">
        <f t="shared" ca="1" si="41"/>
        <v>#N/A</v>
      </c>
      <c r="BP25" s="46" t="e">
        <f t="shared" ca="1" si="24"/>
        <v>#N/A</v>
      </c>
      <c r="BQ25" s="46" t="e">
        <f t="shared" ca="1" si="25"/>
        <v>#N/A</v>
      </c>
      <c r="BR25" s="46">
        <v>18</v>
      </c>
      <c r="BS25" s="46">
        <f t="shared" si="42"/>
        <v>51</v>
      </c>
      <c r="BT25" s="46">
        <f t="shared" ca="1" si="43"/>
        <v>56941</v>
      </c>
      <c r="BU25" s="46">
        <f t="shared" ca="1" si="26"/>
        <v>55802</v>
      </c>
      <c r="BV25" s="46">
        <f t="shared" ca="1" si="27"/>
        <v>1574.6708841029067</v>
      </c>
      <c r="BW25" s="46">
        <v>18</v>
      </c>
      <c r="BX25" s="46">
        <f t="shared" si="44"/>
        <v>79</v>
      </c>
      <c r="BY25" s="46">
        <f t="shared" ca="1" si="45"/>
        <v>88199</v>
      </c>
      <c r="BZ25" s="46">
        <f t="shared" ca="1" si="28"/>
        <v>87060</v>
      </c>
      <c r="CA25" s="46">
        <f t="shared" ca="1" si="29"/>
        <v>1574.6708841029067</v>
      </c>
      <c r="CC25" s="51"/>
      <c r="CD25" s="52"/>
      <c r="CE25" s="52"/>
      <c r="CF25" s="52"/>
      <c r="CG25" s="52"/>
      <c r="CH25" s="53"/>
      <c r="CI25" s="326"/>
      <c r="CJ25" s="198">
        <v>10</v>
      </c>
      <c r="CK25" s="199" t="str">
        <f t="shared" si="48"/>
        <v/>
      </c>
      <c r="CL25" s="199" t="str">
        <f t="shared" si="49"/>
        <v/>
      </c>
      <c r="CM25" s="198" t="e">
        <f t="shared" si="2"/>
        <v>#N/A</v>
      </c>
      <c r="CN25" s="198" t="e">
        <f t="shared" si="3"/>
        <v>#N/A</v>
      </c>
      <c r="CO25" s="198" t="e">
        <f t="shared" si="4"/>
        <v>#N/A</v>
      </c>
      <c r="CP25" s="198" t="e">
        <f t="shared" si="5"/>
        <v>#N/A</v>
      </c>
      <c r="CQ25" s="200" t="e">
        <f t="shared" si="6"/>
        <v>#N/A</v>
      </c>
      <c r="CR25" s="55" t="e">
        <f t="shared" si="31"/>
        <v>#N/A</v>
      </c>
      <c r="CS25" s="56" t="e">
        <f t="shared" si="32"/>
        <v>#N/A</v>
      </c>
      <c r="CT25" s="56" t="e">
        <f t="shared" si="33"/>
        <v>#N/A</v>
      </c>
      <c r="CU25" s="56" t="e">
        <f t="shared" si="46"/>
        <v>#N/A</v>
      </c>
      <c r="CV25" s="56" t="e">
        <f t="shared" si="47"/>
        <v>#N/A</v>
      </c>
      <c r="CW25" s="56" t="e">
        <f t="shared" si="7"/>
        <v>#N/A</v>
      </c>
      <c r="CX25" s="57" t="e">
        <f t="shared" si="8"/>
        <v>#N/A</v>
      </c>
    </row>
    <row r="26" spans="1:103" x14ac:dyDescent="0.25">
      <c r="A26" s="130">
        <v>1</v>
      </c>
      <c r="B26" s="131">
        <v>2085</v>
      </c>
      <c r="C26" s="131" t="s">
        <v>488</v>
      </c>
      <c r="D26" s="132">
        <f xml:space="preserve"> IF(B26 = "", "", B24 + B26)</f>
        <v>2085</v>
      </c>
      <c r="E26" s="43"/>
      <c r="F26" s="133">
        <v>1</v>
      </c>
      <c r="G26" s="134">
        <v>7800</v>
      </c>
      <c r="H26" s="134" t="s">
        <v>488</v>
      </c>
      <c r="I26" s="135">
        <f xml:space="preserve"> IF(G$24 = "", "", IF(G26 = "", "", G$24 + G26))</f>
        <v>25290</v>
      </c>
      <c r="K26" s="120">
        <v>1</v>
      </c>
      <c r="L26" s="123">
        <v>6600</v>
      </c>
      <c r="M26" s="123" t="s">
        <v>488</v>
      </c>
      <c r="N26" s="122" t="str">
        <f xml:space="preserve"> IF(L$24 = "", "", IF(L26 = "", "", L$24 + L26))</f>
        <v/>
      </c>
      <c r="P26" s="105">
        <v>1</v>
      </c>
      <c r="Q26" s="106">
        <v>7800</v>
      </c>
      <c r="R26" s="106" t="s">
        <v>488</v>
      </c>
      <c r="S26" s="108">
        <f xml:space="preserve"> IF(Q$24 = "", "", IF(Q26 = "", "", Q$24 + Q26))</f>
        <v>56548</v>
      </c>
      <c r="U26" s="95">
        <v>1</v>
      </c>
      <c r="V26" s="96">
        <v>7756</v>
      </c>
      <c r="W26" s="96" t="s">
        <v>488</v>
      </c>
      <c r="X26" s="98">
        <f xml:space="preserve"> IF(V26 = "", "", V24 + V26)</f>
        <v>87762</v>
      </c>
      <c r="AA26" s="50"/>
      <c r="AB26" s="50"/>
      <c r="AC26" s="50"/>
      <c r="AD26" s="50"/>
      <c r="AF26" s="42"/>
      <c r="AG26" s="42"/>
      <c r="AH26" s="75" t="s">
        <v>594</v>
      </c>
      <c r="AI26" s="76">
        <f>基本参数输入!B19</f>
        <v>200</v>
      </c>
      <c r="AJ26" s="94" t="s">
        <v>5</v>
      </c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46"/>
      <c r="AX26" s="46"/>
      <c r="AY26" s="46">
        <v>21</v>
      </c>
      <c r="AZ26" s="46">
        <f t="shared" si="18"/>
        <v>0</v>
      </c>
      <c r="BA26" s="46">
        <f t="shared" si="19"/>
        <v>22251</v>
      </c>
      <c r="BB26" s="46">
        <v>21</v>
      </c>
      <c r="BC26" s="46">
        <v>19</v>
      </c>
      <c r="BD26" s="46">
        <f t="shared" si="36"/>
        <v>7</v>
      </c>
      <c r="BE26" s="46">
        <f t="shared" ca="1" si="37"/>
        <v>8153</v>
      </c>
      <c r="BF26" s="46">
        <f t="shared" ca="1" si="20"/>
        <v>8148</v>
      </c>
      <c r="BG26" s="46">
        <f t="shared" ca="1" si="21"/>
        <v>1574.6708841029067</v>
      </c>
      <c r="BH26" s="46">
        <v>19</v>
      </c>
      <c r="BI26" s="46">
        <f t="shared" si="38"/>
        <v>23</v>
      </c>
      <c r="BJ26" s="46">
        <f t="shared" ca="1" si="39"/>
        <v>25683</v>
      </c>
      <c r="BK26" s="46">
        <f t="shared" ca="1" si="22"/>
        <v>25678</v>
      </c>
      <c r="BL26" s="46">
        <f t="shared" ca="1" si="23"/>
        <v>1574.6708841029067</v>
      </c>
      <c r="BM26" s="46">
        <v>19</v>
      </c>
      <c r="BN26" s="46" t="e">
        <f t="shared" si="40"/>
        <v>#N/A</v>
      </c>
      <c r="BO26" s="46" t="e">
        <f t="shared" ca="1" si="41"/>
        <v>#N/A</v>
      </c>
      <c r="BP26" s="46" t="e">
        <f t="shared" ca="1" si="24"/>
        <v>#N/A</v>
      </c>
      <c r="BQ26" s="46" t="e">
        <f t="shared" ca="1" si="25"/>
        <v>#N/A</v>
      </c>
      <c r="BR26" s="46">
        <v>19</v>
      </c>
      <c r="BS26" s="46">
        <f t="shared" si="42"/>
        <v>51</v>
      </c>
      <c r="BT26" s="46">
        <f t="shared" ca="1" si="43"/>
        <v>56941</v>
      </c>
      <c r="BU26" s="46">
        <f t="shared" ca="1" si="26"/>
        <v>56936</v>
      </c>
      <c r="BV26" s="46">
        <f t="shared" ca="1" si="27"/>
        <v>1574.6708841029067</v>
      </c>
      <c r="BW26" s="46">
        <v>19</v>
      </c>
      <c r="BX26" s="46">
        <f t="shared" si="44"/>
        <v>79</v>
      </c>
      <c r="BY26" s="46">
        <f t="shared" ca="1" si="45"/>
        <v>88199</v>
      </c>
      <c r="BZ26" s="46">
        <f t="shared" ca="1" si="28"/>
        <v>88194</v>
      </c>
      <c r="CA26" s="46">
        <f t="shared" ca="1" si="29"/>
        <v>1574.6708841029067</v>
      </c>
      <c r="CC26" s="51"/>
      <c r="CD26" s="52"/>
      <c r="CE26" s="52"/>
      <c r="CF26" s="52"/>
      <c r="CG26" s="52"/>
      <c r="CH26" s="53"/>
      <c r="CI26" s="327" t="s">
        <v>623</v>
      </c>
      <c r="CJ26" s="192">
        <v>1</v>
      </c>
      <c r="CK26" s="193" t="str">
        <f t="shared" ref="CK26:CK35" si="50">IF(N26 = "", "", N26)</f>
        <v/>
      </c>
      <c r="CL26" s="193" t="str">
        <f t="shared" ref="CL26:CL35" si="51">IF(N26 = "", "", M26)</f>
        <v/>
      </c>
      <c r="CM26" s="192" t="e">
        <f t="shared" si="2"/>
        <v>#N/A</v>
      </c>
      <c r="CN26" s="192" t="e">
        <f t="shared" si="3"/>
        <v>#N/A</v>
      </c>
      <c r="CO26" s="192" t="e">
        <f t="shared" si="4"/>
        <v>#N/A</v>
      </c>
      <c r="CP26" s="192" t="e">
        <f t="shared" si="5"/>
        <v>#N/A</v>
      </c>
      <c r="CQ26" s="194" t="e">
        <f t="shared" si="6"/>
        <v>#N/A</v>
      </c>
      <c r="CR26" s="55" t="e">
        <f t="shared" si="31"/>
        <v>#N/A</v>
      </c>
      <c r="CS26" s="56" t="e">
        <f t="shared" si="32"/>
        <v>#N/A</v>
      </c>
      <c r="CT26" s="56" t="e">
        <f t="shared" si="33"/>
        <v>#N/A</v>
      </c>
      <c r="CU26" s="56" t="e">
        <f t="shared" si="46"/>
        <v>#N/A</v>
      </c>
      <c r="CV26" s="56" t="e">
        <f t="shared" si="47"/>
        <v>#N/A</v>
      </c>
      <c r="CW26" s="56" t="e">
        <f t="shared" si="7"/>
        <v>#N/A</v>
      </c>
      <c r="CX26" s="57" t="e">
        <f t="shared" si="8"/>
        <v>#N/A</v>
      </c>
    </row>
    <row r="27" spans="1:103" x14ac:dyDescent="0.25">
      <c r="A27" s="130">
        <v>2</v>
      </c>
      <c r="B27" s="131">
        <v>7700</v>
      </c>
      <c r="C27" s="131" t="s">
        <v>488</v>
      </c>
      <c r="D27" s="132">
        <f t="shared" ref="D27:D35" si="52" xml:space="preserve"> IF(B27 = "", "", D26 + B27)</f>
        <v>9785</v>
      </c>
      <c r="F27" s="133">
        <v>2</v>
      </c>
      <c r="G27" s="134">
        <v>7848</v>
      </c>
      <c r="H27" s="134" t="s">
        <v>488</v>
      </c>
      <c r="I27" s="135">
        <f t="shared" ref="I27:I35" si="53" xml:space="preserve"> IF(G$24 = "", "", IF(G27 = "", "", I26 + G27))</f>
        <v>33138</v>
      </c>
      <c r="K27" s="120">
        <v>2</v>
      </c>
      <c r="L27" s="123">
        <v>6600</v>
      </c>
      <c r="M27" s="123"/>
      <c r="N27" s="122" t="str">
        <f t="shared" ref="N27:N35" si="54" xml:space="preserve"> IF(L$24 = "", "", IF(L27 = "", "", N26 + L27))</f>
        <v/>
      </c>
      <c r="P27" s="105">
        <v>2</v>
      </c>
      <c r="Q27" s="106">
        <v>7800</v>
      </c>
      <c r="R27" s="106" t="s">
        <v>488</v>
      </c>
      <c r="S27" s="108">
        <f t="shared" ref="S27:S35" si="55" xml:space="preserve"> IF(Q$24 = "", "", IF(Q27 = "", "", S26 + Q27))</f>
        <v>64348</v>
      </c>
      <c r="U27" s="95">
        <v>2</v>
      </c>
      <c r="V27" s="96">
        <v>7700</v>
      </c>
      <c r="W27" s="96" t="s">
        <v>488</v>
      </c>
      <c r="X27" s="98">
        <f t="shared" ref="X27:X35" si="56" xml:space="preserve"> IF(V27 = "", "", X26 + V27)</f>
        <v>95462</v>
      </c>
      <c r="AA27" s="50"/>
      <c r="AB27" s="50"/>
      <c r="AC27" s="50"/>
      <c r="AD27" s="50"/>
      <c r="AF27" s="42"/>
      <c r="AG27" s="42"/>
      <c r="AH27" s="45" t="s">
        <v>537</v>
      </c>
      <c r="AI27" s="186">
        <f>基本参数输入!B15</f>
        <v>500</v>
      </c>
      <c r="AJ27" s="48" t="s">
        <v>13</v>
      </c>
      <c r="AK27" s="42"/>
      <c r="AL27" s="42"/>
      <c r="AM27" s="42"/>
      <c r="AN27" s="43"/>
      <c r="AO27" s="43"/>
      <c r="AP27" s="43"/>
      <c r="AQ27" s="43"/>
      <c r="AR27" s="43"/>
      <c r="AS27" s="43"/>
      <c r="AT27" s="43"/>
      <c r="AU27" s="43"/>
      <c r="AV27" s="43"/>
      <c r="AW27" s="46"/>
      <c r="AX27" s="46"/>
      <c r="AY27" s="46">
        <v>22</v>
      </c>
      <c r="AZ27" s="46">
        <f t="shared" si="18"/>
        <v>0</v>
      </c>
      <c r="BA27" s="46">
        <f t="shared" si="19"/>
        <v>23395</v>
      </c>
      <c r="BB27" s="46">
        <v>22</v>
      </c>
      <c r="BC27" s="46">
        <v>20</v>
      </c>
      <c r="BD27" s="46">
        <f t="shared" si="36"/>
        <v>7</v>
      </c>
      <c r="BE27" s="46">
        <f t="shared" ca="1" si="37"/>
        <v>8153</v>
      </c>
      <c r="BF27" s="46">
        <f t="shared" ca="1" si="20"/>
        <v>8153</v>
      </c>
      <c r="BG27" s="46">
        <f t="shared" ca="1" si="21"/>
        <v>1429.6708841029067</v>
      </c>
      <c r="BH27" s="46">
        <v>20</v>
      </c>
      <c r="BI27" s="46">
        <f t="shared" si="38"/>
        <v>23</v>
      </c>
      <c r="BJ27" s="46">
        <f t="shared" ca="1" si="39"/>
        <v>25683</v>
      </c>
      <c r="BK27" s="46">
        <f t="shared" ca="1" si="22"/>
        <v>25683</v>
      </c>
      <c r="BL27" s="46">
        <f t="shared" ca="1" si="23"/>
        <v>1429.6708841029067</v>
      </c>
      <c r="BM27" s="46">
        <v>20</v>
      </c>
      <c r="BN27" s="46" t="e">
        <f t="shared" si="40"/>
        <v>#N/A</v>
      </c>
      <c r="BO27" s="46" t="e">
        <f t="shared" ca="1" si="41"/>
        <v>#N/A</v>
      </c>
      <c r="BP27" s="46" t="e">
        <f t="shared" ca="1" si="24"/>
        <v>#N/A</v>
      </c>
      <c r="BQ27" s="46" t="e">
        <f t="shared" ca="1" si="25"/>
        <v>#N/A</v>
      </c>
      <c r="BR27" s="46">
        <v>20</v>
      </c>
      <c r="BS27" s="46">
        <f t="shared" si="42"/>
        <v>51</v>
      </c>
      <c r="BT27" s="46">
        <f t="shared" ca="1" si="43"/>
        <v>56941</v>
      </c>
      <c r="BU27" s="46">
        <f t="shared" ca="1" si="26"/>
        <v>56941</v>
      </c>
      <c r="BV27" s="46">
        <f t="shared" ca="1" si="27"/>
        <v>1429.6708841029067</v>
      </c>
      <c r="BW27" s="46">
        <v>20</v>
      </c>
      <c r="BX27" s="46">
        <f t="shared" si="44"/>
        <v>79</v>
      </c>
      <c r="BY27" s="46">
        <f t="shared" ca="1" si="45"/>
        <v>88199</v>
      </c>
      <c r="BZ27" s="46">
        <f t="shared" ca="1" si="28"/>
        <v>88199</v>
      </c>
      <c r="CA27" s="46">
        <f t="shared" ca="1" si="29"/>
        <v>1429.6708841029067</v>
      </c>
      <c r="CC27" s="51"/>
      <c r="CD27" s="52"/>
      <c r="CE27" s="52"/>
      <c r="CF27" s="52"/>
      <c r="CG27" s="52"/>
      <c r="CH27" s="53"/>
      <c r="CI27" s="325"/>
      <c r="CJ27" s="52">
        <v>2</v>
      </c>
      <c r="CK27" s="59" t="str">
        <f t="shared" si="50"/>
        <v/>
      </c>
      <c r="CL27" s="59" t="str">
        <f t="shared" si="51"/>
        <v/>
      </c>
      <c r="CM27" s="52" t="e">
        <f t="shared" si="2"/>
        <v>#N/A</v>
      </c>
      <c r="CN27" s="52" t="e">
        <f t="shared" si="3"/>
        <v>#N/A</v>
      </c>
      <c r="CO27" s="52" t="e">
        <f t="shared" si="4"/>
        <v>#N/A</v>
      </c>
      <c r="CP27" s="52" t="e">
        <f t="shared" si="5"/>
        <v>#N/A</v>
      </c>
      <c r="CQ27" s="54" t="e">
        <f t="shared" si="6"/>
        <v>#N/A</v>
      </c>
      <c r="CR27" s="55" t="e">
        <f t="shared" si="31"/>
        <v>#N/A</v>
      </c>
      <c r="CS27" s="56" t="e">
        <f t="shared" si="32"/>
        <v>#N/A</v>
      </c>
      <c r="CT27" s="56" t="e">
        <f t="shared" si="33"/>
        <v>#N/A</v>
      </c>
      <c r="CU27" s="56" t="e">
        <f t="shared" si="46"/>
        <v>#N/A</v>
      </c>
      <c r="CV27" s="56" t="e">
        <f t="shared" si="47"/>
        <v>#N/A</v>
      </c>
      <c r="CW27" s="56" t="e">
        <f t="shared" si="7"/>
        <v>#N/A</v>
      </c>
      <c r="CX27" s="57" t="e">
        <f t="shared" si="8"/>
        <v>#N/A</v>
      </c>
    </row>
    <row r="28" spans="1:103" x14ac:dyDescent="0.25">
      <c r="A28" s="130">
        <v>3</v>
      </c>
      <c r="B28" s="131"/>
      <c r="C28" s="131"/>
      <c r="D28" s="132" t="str">
        <f t="shared" si="52"/>
        <v/>
      </c>
      <c r="F28" s="133">
        <v>3</v>
      </c>
      <c r="G28" s="134">
        <v>7800</v>
      </c>
      <c r="H28" s="134" t="s">
        <v>488</v>
      </c>
      <c r="I28" s="135">
        <f t="shared" si="53"/>
        <v>40938</v>
      </c>
      <c r="K28" s="120">
        <v>3</v>
      </c>
      <c r="L28" s="123">
        <v>5992</v>
      </c>
      <c r="M28" s="123"/>
      <c r="N28" s="122" t="str">
        <f t="shared" si="54"/>
        <v/>
      </c>
      <c r="P28" s="105">
        <v>3</v>
      </c>
      <c r="Q28" s="106">
        <v>7848</v>
      </c>
      <c r="R28" s="106" t="s">
        <v>488</v>
      </c>
      <c r="S28" s="108">
        <f t="shared" si="55"/>
        <v>72196</v>
      </c>
      <c r="U28" s="95">
        <v>3</v>
      </c>
      <c r="V28" s="96"/>
      <c r="W28" s="96"/>
      <c r="X28" s="98" t="str">
        <f t="shared" si="56"/>
        <v/>
      </c>
      <c r="AA28" s="50"/>
      <c r="AB28" s="50"/>
      <c r="AC28" s="50"/>
      <c r="AD28" s="50"/>
      <c r="AF28" s="42"/>
      <c r="AG28" s="42"/>
      <c r="AH28" s="45" t="s">
        <v>595</v>
      </c>
      <c r="AI28" s="186">
        <f>基本参数输入!B20</f>
        <v>1500</v>
      </c>
      <c r="AJ28" s="48" t="s">
        <v>5</v>
      </c>
      <c r="AK28" s="42"/>
      <c r="AL28" s="42"/>
      <c r="AM28" s="42"/>
      <c r="AN28" s="43"/>
      <c r="AO28" s="43"/>
      <c r="AP28" s="43"/>
      <c r="AQ28" s="43"/>
      <c r="AR28" s="43"/>
      <c r="AS28" s="43"/>
      <c r="AT28" s="43"/>
      <c r="AU28" s="43"/>
      <c r="AV28" s="43"/>
      <c r="AW28" s="46"/>
      <c r="AX28" s="46"/>
      <c r="AY28" s="46">
        <v>23</v>
      </c>
      <c r="AZ28" s="46">
        <f t="shared" si="18"/>
        <v>0</v>
      </c>
      <c r="BA28" s="46">
        <f t="shared" si="19"/>
        <v>24539</v>
      </c>
      <c r="BB28" s="46">
        <v>23</v>
      </c>
      <c r="BC28" s="46">
        <v>21</v>
      </c>
      <c r="BD28" s="46">
        <f t="shared" si="36"/>
        <v>8</v>
      </c>
      <c r="BE28" s="46">
        <f t="shared" ca="1" si="37"/>
        <v>9297</v>
      </c>
      <c r="BF28" s="46">
        <f t="shared" ca="1" si="20"/>
        <v>8158</v>
      </c>
      <c r="BG28" s="46">
        <f t="shared" ca="1" si="21"/>
        <v>1574.6708841029067</v>
      </c>
      <c r="BH28" s="46">
        <v>21</v>
      </c>
      <c r="BI28" s="46">
        <f t="shared" si="38"/>
        <v>24</v>
      </c>
      <c r="BJ28" s="46">
        <f t="shared" ca="1" si="39"/>
        <v>26827</v>
      </c>
      <c r="BK28" s="46">
        <f t="shared" ca="1" si="22"/>
        <v>25688</v>
      </c>
      <c r="BL28" s="46">
        <f t="shared" ca="1" si="23"/>
        <v>1574.6708841029067</v>
      </c>
      <c r="BM28" s="46">
        <v>21</v>
      </c>
      <c r="BN28" s="46" t="e">
        <f t="shared" si="40"/>
        <v>#N/A</v>
      </c>
      <c r="BO28" s="46" t="e">
        <f t="shared" ca="1" si="41"/>
        <v>#N/A</v>
      </c>
      <c r="BP28" s="46" t="e">
        <f t="shared" ca="1" si="24"/>
        <v>#N/A</v>
      </c>
      <c r="BQ28" s="46" t="e">
        <f t="shared" ca="1" si="25"/>
        <v>#N/A</v>
      </c>
      <c r="BR28" s="46">
        <v>21</v>
      </c>
      <c r="BS28" s="46">
        <f t="shared" si="42"/>
        <v>52</v>
      </c>
      <c r="BT28" s="46">
        <f t="shared" ca="1" si="43"/>
        <v>58085</v>
      </c>
      <c r="BU28" s="46">
        <f t="shared" ca="1" si="26"/>
        <v>56946</v>
      </c>
      <c r="BV28" s="46">
        <f t="shared" ca="1" si="27"/>
        <v>1574.6708841029067</v>
      </c>
      <c r="BW28" s="46">
        <v>21</v>
      </c>
      <c r="BX28" s="46">
        <f t="shared" si="44"/>
        <v>80</v>
      </c>
      <c r="BY28" s="46">
        <f t="shared" ca="1" si="45"/>
        <v>89343</v>
      </c>
      <c r="BZ28" s="46">
        <f t="shared" ca="1" si="28"/>
        <v>88204</v>
      </c>
      <c r="CA28" s="46">
        <f t="shared" ca="1" si="29"/>
        <v>1574.6708841029067</v>
      </c>
      <c r="CC28" s="51"/>
      <c r="CD28" s="52"/>
      <c r="CE28" s="52"/>
      <c r="CF28" s="52"/>
      <c r="CG28" s="52"/>
      <c r="CH28" s="53"/>
      <c r="CI28" s="325"/>
      <c r="CJ28" s="52">
        <v>3</v>
      </c>
      <c r="CK28" s="59" t="str">
        <f t="shared" si="50"/>
        <v/>
      </c>
      <c r="CL28" s="59" t="str">
        <f t="shared" si="51"/>
        <v/>
      </c>
      <c r="CM28" s="52" t="e">
        <f t="shared" si="2"/>
        <v>#N/A</v>
      </c>
      <c r="CN28" s="52" t="e">
        <f t="shared" si="3"/>
        <v>#N/A</v>
      </c>
      <c r="CO28" s="52" t="e">
        <f t="shared" si="4"/>
        <v>#N/A</v>
      </c>
      <c r="CP28" s="52" t="e">
        <f t="shared" si="5"/>
        <v>#N/A</v>
      </c>
      <c r="CQ28" s="54" t="e">
        <f t="shared" si="6"/>
        <v>#N/A</v>
      </c>
      <c r="CR28" s="55" t="e">
        <f t="shared" si="31"/>
        <v>#N/A</v>
      </c>
      <c r="CS28" s="56" t="e">
        <f t="shared" si="32"/>
        <v>#N/A</v>
      </c>
      <c r="CT28" s="56" t="e">
        <f t="shared" si="33"/>
        <v>#N/A</v>
      </c>
      <c r="CU28" s="56" t="e">
        <f t="shared" si="46"/>
        <v>#N/A</v>
      </c>
      <c r="CV28" s="56" t="e">
        <f t="shared" si="47"/>
        <v>#N/A</v>
      </c>
      <c r="CW28" s="56" t="e">
        <f t="shared" si="7"/>
        <v>#N/A</v>
      </c>
      <c r="CX28" s="57" t="e">
        <f t="shared" si="8"/>
        <v>#N/A</v>
      </c>
    </row>
    <row r="29" spans="1:103" x14ac:dyDescent="0.25">
      <c r="A29" s="130">
        <v>4</v>
      </c>
      <c r="B29" s="131"/>
      <c r="C29" s="131"/>
      <c r="D29" s="132" t="str">
        <f t="shared" si="52"/>
        <v/>
      </c>
      <c r="F29" s="133">
        <v>4</v>
      </c>
      <c r="G29" s="134"/>
      <c r="H29" s="134"/>
      <c r="I29" s="135" t="str">
        <f t="shared" si="53"/>
        <v/>
      </c>
      <c r="K29" s="120">
        <v>4</v>
      </c>
      <c r="L29" s="123">
        <v>6600</v>
      </c>
      <c r="M29" s="123"/>
      <c r="N29" s="122" t="str">
        <f t="shared" si="54"/>
        <v/>
      </c>
      <c r="P29" s="105">
        <v>4</v>
      </c>
      <c r="Q29" s="106"/>
      <c r="R29" s="106"/>
      <c r="S29" s="108" t="str">
        <f t="shared" si="55"/>
        <v/>
      </c>
      <c r="U29" s="95">
        <v>4</v>
      </c>
      <c r="V29" s="96"/>
      <c r="W29" s="96"/>
      <c r="X29" s="98" t="str">
        <f t="shared" si="56"/>
        <v/>
      </c>
      <c r="AA29" s="50"/>
      <c r="AB29" s="50"/>
      <c r="AC29" s="50"/>
      <c r="AD29" s="50"/>
      <c r="AF29" s="42"/>
      <c r="AG29" s="42"/>
      <c r="AH29" s="45" t="s">
        <v>631</v>
      </c>
      <c r="AI29" s="186">
        <f>基本参数输入!H6</f>
        <v>254.5</v>
      </c>
      <c r="AJ29" s="48" t="s">
        <v>0</v>
      </c>
      <c r="AK29" s="42"/>
      <c r="AL29" s="42"/>
      <c r="AM29" s="42"/>
      <c r="AN29" s="43"/>
      <c r="AO29" s="43"/>
      <c r="AP29" s="43"/>
      <c r="AQ29" s="43"/>
      <c r="AR29" s="43"/>
      <c r="AS29" s="43"/>
      <c r="AT29" s="43"/>
      <c r="AU29" s="43"/>
      <c r="AV29" s="43"/>
      <c r="AW29" s="46"/>
      <c r="AX29" s="46"/>
      <c r="AY29" s="46">
        <v>24</v>
      </c>
      <c r="AZ29" s="46">
        <f t="shared" si="18"/>
        <v>0</v>
      </c>
      <c r="BA29" s="46">
        <f t="shared" si="19"/>
        <v>25683</v>
      </c>
      <c r="BB29" s="46">
        <v>24</v>
      </c>
      <c r="BC29" s="46">
        <v>22</v>
      </c>
      <c r="BD29" s="46">
        <f t="shared" si="36"/>
        <v>8</v>
      </c>
      <c r="BE29" s="46">
        <f t="shared" ca="1" si="37"/>
        <v>9297</v>
      </c>
      <c r="BF29" s="46">
        <f t="shared" ca="1" si="20"/>
        <v>9292</v>
      </c>
      <c r="BG29" s="46">
        <f t="shared" ca="1" si="21"/>
        <v>1574.6708841029067</v>
      </c>
      <c r="BH29" s="46">
        <v>22</v>
      </c>
      <c r="BI29" s="46">
        <f t="shared" si="38"/>
        <v>24</v>
      </c>
      <c r="BJ29" s="46">
        <f t="shared" ca="1" si="39"/>
        <v>26827</v>
      </c>
      <c r="BK29" s="46">
        <f t="shared" ca="1" si="22"/>
        <v>26822</v>
      </c>
      <c r="BL29" s="46">
        <f t="shared" ca="1" si="23"/>
        <v>1574.6708841029067</v>
      </c>
      <c r="BM29" s="46">
        <v>22</v>
      </c>
      <c r="BN29" s="46" t="e">
        <f t="shared" si="40"/>
        <v>#N/A</v>
      </c>
      <c r="BO29" s="46" t="e">
        <f t="shared" ca="1" si="41"/>
        <v>#N/A</v>
      </c>
      <c r="BP29" s="46" t="e">
        <f t="shared" ca="1" si="24"/>
        <v>#N/A</v>
      </c>
      <c r="BQ29" s="46" t="e">
        <f t="shared" ca="1" si="25"/>
        <v>#N/A</v>
      </c>
      <c r="BR29" s="46">
        <v>22</v>
      </c>
      <c r="BS29" s="46">
        <f t="shared" si="42"/>
        <v>52</v>
      </c>
      <c r="BT29" s="46">
        <f t="shared" ca="1" si="43"/>
        <v>58085</v>
      </c>
      <c r="BU29" s="46">
        <f t="shared" ca="1" si="26"/>
        <v>58080</v>
      </c>
      <c r="BV29" s="46">
        <f t="shared" ca="1" si="27"/>
        <v>1574.6708841029067</v>
      </c>
      <c r="BW29" s="46">
        <v>22</v>
      </c>
      <c r="BX29" s="46">
        <f t="shared" si="44"/>
        <v>80</v>
      </c>
      <c r="BY29" s="46">
        <f t="shared" ca="1" si="45"/>
        <v>89343</v>
      </c>
      <c r="BZ29" s="46">
        <f t="shared" ca="1" si="28"/>
        <v>89338</v>
      </c>
      <c r="CA29" s="46">
        <f t="shared" ca="1" si="29"/>
        <v>1574.6708841029067</v>
      </c>
      <c r="CC29" s="51"/>
      <c r="CD29" s="52"/>
      <c r="CE29" s="52"/>
      <c r="CF29" s="52"/>
      <c r="CG29" s="52"/>
      <c r="CH29" s="53"/>
      <c r="CI29" s="325"/>
      <c r="CJ29" s="52">
        <v>4</v>
      </c>
      <c r="CK29" s="59" t="str">
        <f t="shared" si="50"/>
        <v/>
      </c>
      <c r="CL29" s="59" t="str">
        <f t="shared" si="51"/>
        <v/>
      </c>
      <c r="CM29" s="52" t="e">
        <f t="shared" si="2"/>
        <v>#N/A</v>
      </c>
      <c r="CN29" s="52" t="e">
        <f t="shared" si="3"/>
        <v>#N/A</v>
      </c>
      <c r="CO29" s="52" t="e">
        <f t="shared" si="4"/>
        <v>#N/A</v>
      </c>
      <c r="CP29" s="52" t="e">
        <f t="shared" si="5"/>
        <v>#N/A</v>
      </c>
      <c r="CQ29" s="54" t="e">
        <f t="shared" si="6"/>
        <v>#N/A</v>
      </c>
      <c r="CR29" s="55" t="e">
        <f t="shared" si="31"/>
        <v>#N/A</v>
      </c>
      <c r="CS29" s="56" t="e">
        <f t="shared" si="32"/>
        <v>#N/A</v>
      </c>
      <c r="CT29" s="56" t="e">
        <f t="shared" si="33"/>
        <v>#N/A</v>
      </c>
      <c r="CU29" s="56" t="e">
        <f t="shared" si="46"/>
        <v>#N/A</v>
      </c>
      <c r="CV29" s="56" t="e">
        <f t="shared" si="47"/>
        <v>#N/A</v>
      </c>
      <c r="CW29" s="56" t="e">
        <f t="shared" si="7"/>
        <v>#N/A</v>
      </c>
      <c r="CX29" s="57" t="e">
        <f t="shared" si="8"/>
        <v>#N/A</v>
      </c>
    </row>
    <row r="30" spans="1:103" x14ac:dyDescent="0.25">
      <c r="A30" s="130">
        <v>5</v>
      </c>
      <c r="B30" s="131"/>
      <c r="C30" s="131"/>
      <c r="D30" s="132" t="str">
        <f t="shared" si="52"/>
        <v/>
      </c>
      <c r="F30" s="133">
        <v>5</v>
      </c>
      <c r="G30" s="134"/>
      <c r="H30" s="134"/>
      <c r="I30" s="135" t="str">
        <f t="shared" si="53"/>
        <v/>
      </c>
      <c r="K30" s="120">
        <v>5</v>
      </c>
      <c r="L30" s="123"/>
      <c r="M30" s="123"/>
      <c r="N30" s="122" t="str">
        <f t="shared" si="54"/>
        <v/>
      </c>
      <c r="P30" s="105">
        <v>5</v>
      </c>
      <c r="Q30" s="106"/>
      <c r="R30" s="106"/>
      <c r="S30" s="108" t="str">
        <f t="shared" si="55"/>
        <v/>
      </c>
      <c r="U30" s="95">
        <v>5</v>
      </c>
      <c r="V30" s="96"/>
      <c r="W30" s="96"/>
      <c r="X30" s="98" t="str">
        <f t="shared" si="56"/>
        <v/>
      </c>
      <c r="AA30" s="50"/>
      <c r="AB30" s="50"/>
      <c r="AC30" s="50"/>
      <c r="AD30" s="50"/>
      <c r="AF30" s="42"/>
      <c r="AG30" s="42"/>
      <c r="AH30" s="45" t="s">
        <v>632</v>
      </c>
      <c r="AI30" s="186">
        <f>基本参数输入!H7</f>
        <v>192.5</v>
      </c>
      <c r="AJ30" s="48" t="s">
        <v>0</v>
      </c>
      <c r="AK30" s="42"/>
      <c r="AL30" s="42"/>
      <c r="AM30" s="42"/>
      <c r="AN30" s="43"/>
      <c r="AO30" s="43"/>
      <c r="AP30" s="43"/>
      <c r="AQ30" s="43"/>
      <c r="AR30" s="43"/>
      <c r="AS30" s="43"/>
      <c r="AT30" s="43"/>
      <c r="AU30" s="43"/>
      <c r="AV30" s="43"/>
      <c r="AW30" s="46"/>
      <c r="AX30" s="46"/>
      <c r="AY30" s="46">
        <v>25</v>
      </c>
      <c r="AZ30" s="46">
        <f t="shared" si="18"/>
        <v>0</v>
      </c>
      <c r="BA30" s="46">
        <f t="shared" si="19"/>
        <v>26827</v>
      </c>
      <c r="BB30" s="46">
        <v>25</v>
      </c>
      <c r="BC30" s="46">
        <v>23</v>
      </c>
      <c r="BD30" s="46">
        <f t="shared" si="36"/>
        <v>8</v>
      </c>
      <c r="BE30" s="46">
        <f t="shared" ca="1" si="37"/>
        <v>9297</v>
      </c>
      <c r="BF30" s="46">
        <f t="shared" ca="1" si="20"/>
        <v>9297</v>
      </c>
      <c r="BG30" s="46">
        <f t="shared" ca="1" si="21"/>
        <v>1429.6708841029067</v>
      </c>
      <c r="BH30" s="46">
        <v>23</v>
      </c>
      <c r="BI30" s="46">
        <f t="shared" si="38"/>
        <v>24</v>
      </c>
      <c r="BJ30" s="46">
        <f t="shared" ca="1" si="39"/>
        <v>26827</v>
      </c>
      <c r="BK30" s="46">
        <f t="shared" ca="1" si="22"/>
        <v>26827</v>
      </c>
      <c r="BL30" s="46">
        <f t="shared" ca="1" si="23"/>
        <v>1429.6708841029067</v>
      </c>
      <c r="BM30" s="46">
        <v>23</v>
      </c>
      <c r="BN30" s="46" t="e">
        <f t="shared" si="40"/>
        <v>#N/A</v>
      </c>
      <c r="BO30" s="46" t="e">
        <f t="shared" ca="1" si="41"/>
        <v>#N/A</v>
      </c>
      <c r="BP30" s="46" t="e">
        <f t="shared" ca="1" si="24"/>
        <v>#N/A</v>
      </c>
      <c r="BQ30" s="46" t="e">
        <f t="shared" ca="1" si="25"/>
        <v>#N/A</v>
      </c>
      <c r="BR30" s="46">
        <v>23</v>
      </c>
      <c r="BS30" s="46">
        <f t="shared" si="42"/>
        <v>52</v>
      </c>
      <c r="BT30" s="46">
        <f t="shared" ca="1" si="43"/>
        <v>58085</v>
      </c>
      <c r="BU30" s="46">
        <f t="shared" ca="1" si="26"/>
        <v>58085</v>
      </c>
      <c r="BV30" s="46">
        <f t="shared" ca="1" si="27"/>
        <v>1429.6708841029067</v>
      </c>
      <c r="BW30" s="46">
        <v>23</v>
      </c>
      <c r="BX30" s="46">
        <f t="shared" si="44"/>
        <v>80</v>
      </c>
      <c r="BY30" s="46">
        <f t="shared" ca="1" si="45"/>
        <v>89343</v>
      </c>
      <c r="BZ30" s="46">
        <f t="shared" ca="1" si="28"/>
        <v>89343</v>
      </c>
      <c r="CA30" s="46">
        <f t="shared" ca="1" si="29"/>
        <v>1429.6708841029067</v>
      </c>
      <c r="CC30" s="51"/>
      <c r="CD30" s="52"/>
      <c r="CE30" s="52"/>
      <c r="CF30" s="52"/>
      <c r="CG30" s="52"/>
      <c r="CH30" s="53"/>
      <c r="CI30" s="325"/>
      <c r="CJ30" s="52">
        <v>5</v>
      </c>
      <c r="CK30" s="59" t="str">
        <f t="shared" si="50"/>
        <v/>
      </c>
      <c r="CL30" s="59" t="str">
        <f t="shared" si="51"/>
        <v/>
      </c>
      <c r="CM30" s="52" t="e">
        <f t="shared" si="2"/>
        <v>#N/A</v>
      </c>
      <c r="CN30" s="52" t="e">
        <f t="shared" si="3"/>
        <v>#N/A</v>
      </c>
      <c r="CO30" s="52" t="e">
        <f t="shared" si="4"/>
        <v>#N/A</v>
      </c>
      <c r="CP30" s="52" t="e">
        <f t="shared" si="5"/>
        <v>#N/A</v>
      </c>
      <c r="CQ30" s="54" t="e">
        <f t="shared" si="6"/>
        <v>#N/A</v>
      </c>
      <c r="CR30" s="55" t="e">
        <f t="shared" si="31"/>
        <v>#N/A</v>
      </c>
      <c r="CS30" s="56" t="e">
        <f t="shared" si="32"/>
        <v>#N/A</v>
      </c>
      <c r="CT30" s="56" t="e">
        <f t="shared" si="33"/>
        <v>#N/A</v>
      </c>
      <c r="CU30" s="56" t="e">
        <f t="shared" si="46"/>
        <v>#N/A</v>
      </c>
      <c r="CV30" s="56" t="e">
        <f t="shared" si="47"/>
        <v>#N/A</v>
      </c>
      <c r="CW30" s="56" t="e">
        <f t="shared" si="7"/>
        <v>#N/A</v>
      </c>
      <c r="CX30" s="57" t="e">
        <f t="shared" si="8"/>
        <v>#N/A</v>
      </c>
    </row>
    <row r="31" spans="1:103" x14ac:dyDescent="0.25">
      <c r="A31" s="130">
        <v>6</v>
      </c>
      <c r="B31" s="131"/>
      <c r="C31" s="131"/>
      <c r="D31" s="132" t="str">
        <f t="shared" si="52"/>
        <v/>
      </c>
      <c r="F31" s="133">
        <v>6</v>
      </c>
      <c r="G31" s="134"/>
      <c r="H31" s="134"/>
      <c r="I31" s="135" t="str">
        <f t="shared" si="53"/>
        <v/>
      </c>
      <c r="K31" s="120">
        <v>6</v>
      </c>
      <c r="L31" s="123"/>
      <c r="M31" s="123"/>
      <c r="N31" s="122" t="str">
        <f t="shared" si="54"/>
        <v/>
      </c>
      <c r="P31" s="105">
        <v>6</v>
      </c>
      <c r="Q31" s="106"/>
      <c r="R31" s="106"/>
      <c r="S31" s="108" t="str">
        <f t="shared" si="55"/>
        <v/>
      </c>
      <c r="U31" s="95">
        <v>6</v>
      </c>
      <c r="V31" s="96"/>
      <c r="W31" s="96"/>
      <c r="X31" s="98" t="str">
        <f t="shared" si="56"/>
        <v/>
      </c>
      <c r="AA31" s="50"/>
      <c r="AB31" s="50"/>
      <c r="AC31" s="50"/>
      <c r="AD31" s="50"/>
      <c r="AF31" s="42"/>
      <c r="AG31" s="42"/>
      <c r="AH31" s="45" t="s">
        <v>531</v>
      </c>
      <c r="AI31" s="186">
        <f>基本参数输入!B6</f>
        <v>1049</v>
      </c>
      <c r="AJ31" s="48" t="s">
        <v>0</v>
      </c>
      <c r="AK31" s="42"/>
      <c r="AL31" s="42"/>
      <c r="AM31" s="42"/>
      <c r="AN31" s="43"/>
      <c r="AO31" s="43"/>
      <c r="AP31" s="43"/>
      <c r="AQ31" s="43"/>
      <c r="AR31" s="43"/>
      <c r="AS31" s="43"/>
      <c r="AT31" s="43"/>
      <c r="AU31" s="43"/>
      <c r="AV31" s="43"/>
      <c r="AW31" s="46"/>
      <c r="AX31" s="46"/>
      <c r="AY31" s="46">
        <v>26</v>
      </c>
      <c r="AZ31" s="46">
        <f t="shared" si="18"/>
        <v>0</v>
      </c>
      <c r="BA31" s="46">
        <f t="shared" si="19"/>
        <v>27971</v>
      </c>
      <c r="BB31" s="46">
        <v>26</v>
      </c>
      <c r="BC31" s="46">
        <v>24</v>
      </c>
      <c r="BD31" s="46">
        <f t="shared" si="36"/>
        <v>9</v>
      </c>
      <c r="BE31" s="46">
        <f t="shared" ca="1" si="37"/>
        <v>10441</v>
      </c>
      <c r="BF31" s="46">
        <f t="shared" ca="1" si="20"/>
        <v>9302</v>
      </c>
      <c r="BG31" s="46">
        <f t="shared" ca="1" si="21"/>
        <v>1574.6708841029067</v>
      </c>
      <c r="BH31" s="46">
        <v>24</v>
      </c>
      <c r="BI31" s="46">
        <f t="shared" si="38"/>
        <v>25</v>
      </c>
      <c r="BJ31" s="46">
        <f t="shared" ca="1" si="39"/>
        <v>27971</v>
      </c>
      <c r="BK31" s="46">
        <f t="shared" ca="1" si="22"/>
        <v>26832</v>
      </c>
      <c r="BL31" s="46">
        <f t="shared" ca="1" si="23"/>
        <v>1574.6708841029067</v>
      </c>
      <c r="BM31" s="46">
        <v>24</v>
      </c>
      <c r="BN31" s="46" t="e">
        <f t="shared" si="40"/>
        <v>#N/A</v>
      </c>
      <c r="BO31" s="46" t="e">
        <f t="shared" ca="1" si="41"/>
        <v>#N/A</v>
      </c>
      <c r="BP31" s="46" t="e">
        <f t="shared" ca="1" si="24"/>
        <v>#N/A</v>
      </c>
      <c r="BQ31" s="46" t="e">
        <f t="shared" ca="1" si="25"/>
        <v>#N/A</v>
      </c>
      <c r="BR31" s="46">
        <v>24</v>
      </c>
      <c r="BS31" s="46">
        <f t="shared" si="42"/>
        <v>53</v>
      </c>
      <c r="BT31" s="46">
        <f t="shared" ca="1" si="43"/>
        <v>59229</v>
      </c>
      <c r="BU31" s="46">
        <f t="shared" ca="1" si="26"/>
        <v>58090</v>
      </c>
      <c r="BV31" s="46">
        <f t="shared" ca="1" si="27"/>
        <v>1574.6708841029067</v>
      </c>
      <c r="BW31" s="46">
        <v>24</v>
      </c>
      <c r="BX31" s="46">
        <f t="shared" si="44"/>
        <v>81</v>
      </c>
      <c r="BY31" s="46">
        <f t="shared" ca="1" si="45"/>
        <v>90487</v>
      </c>
      <c r="BZ31" s="46">
        <f t="shared" ca="1" si="28"/>
        <v>89348</v>
      </c>
      <c r="CA31" s="46">
        <f t="shared" ca="1" si="29"/>
        <v>1574.6708841029067</v>
      </c>
      <c r="CC31" s="51"/>
      <c r="CD31" s="52"/>
      <c r="CE31" s="52"/>
      <c r="CF31" s="52"/>
      <c r="CG31" s="52"/>
      <c r="CH31" s="53"/>
      <c r="CI31" s="325"/>
      <c r="CJ31" s="52">
        <v>6</v>
      </c>
      <c r="CK31" s="59" t="str">
        <f t="shared" si="50"/>
        <v/>
      </c>
      <c r="CL31" s="59" t="str">
        <f t="shared" si="51"/>
        <v/>
      </c>
      <c r="CM31" s="52" t="e">
        <f t="shared" si="2"/>
        <v>#N/A</v>
      </c>
      <c r="CN31" s="52" t="e">
        <f t="shared" si="3"/>
        <v>#N/A</v>
      </c>
      <c r="CO31" s="52" t="e">
        <f t="shared" si="4"/>
        <v>#N/A</v>
      </c>
      <c r="CP31" s="52" t="e">
        <f t="shared" si="5"/>
        <v>#N/A</v>
      </c>
      <c r="CQ31" s="54" t="e">
        <f t="shared" si="6"/>
        <v>#N/A</v>
      </c>
      <c r="CR31" s="55" t="e">
        <f t="shared" si="31"/>
        <v>#N/A</v>
      </c>
      <c r="CS31" s="56" t="e">
        <f t="shared" si="32"/>
        <v>#N/A</v>
      </c>
      <c r="CT31" s="56" t="e">
        <f t="shared" si="33"/>
        <v>#N/A</v>
      </c>
      <c r="CU31" s="56" t="e">
        <f t="shared" si="46"/>
        <v>#N/A</v>
      </c>
      <c r="CV31" s="56" t="e">
        <f t="shared" si="47"/>
        <v>#N/A</v>
      </c>
      <c r="CW31" s="56" t="e">
        <f t="shared" si="7"/>
        <v>#N/A</v>
      </c>
      <c r="CX31" s="57" t="e">
        <f t="shared" si="8"/>
        <v>#N/A</v>
      </c>
    </row>
    <row r="32" spans="1:103" x14ac:dyDescent="0.25">
      <c r="A32" s="130">
        <v>7</v>
      </c>
      <c r="B32" s="131"/>
      <c r="C32" s="131"/>
      <c r="D32" s="132" t="str">
        <f t="shared" si="52"/>
        <v/>
      </c>
      <c r="F32" s="133">
        <v>7</v>
      </c>
      <c r="G32" s="134"/>
      <c r="H32" s="134"/>
      <c r="I32" s="135" t="str">
        <f t="shared" si="53"/>
        <v/>
      </c>
      <c r="K32" s="120">
        <v>7</v>
      </c>
      <c r="L32" s="123"/>
      <c r="M32" s="123"/>
      <c r="N32" s="122" t="str">
        <f t="shared" si="54"/>
        <v/>
      </c>
      <c r="P32" s="105">
        <v>7</v>
      </c>
      <c r="Q32" s="106"/>
      <c r="R32" s="106"/>
      <c r="S32" s="108" t="str">
        <f t="shared" si="55"/>
        <v/>
      </c>
      <c r="U32" s="95">
        <v>7</v>
      </c>
      <c r="V32" s="96"/>
      <c r="W32" s="96"/>
      <c r="X32" s="98" t="str">
        <f t="shared" si="56"/>
        <v/>
      </c>
      <c r="AC32" s="43"/>
      <c r="AD32" s="43"/>
      <c r="AF32" s="42"/>
      <c r="AG32" s="42"/>
      <c r="AH32" s="45" t="s">
        <v>624</v>
      </c>
      <c r="AI32" s="186" t="e">
        <f>基本参数输入!#REF!</f>
        <v>#REF!</v>
      </c>
      <c r="AJ32" s="48" t="s">
        <v>0</v>
      </c>
      <c r="AK32" s="42"/>
      <c r="AL32" s="42"/>
      <c r="AM32" s="42"/>
      <c r="AN32" s="43"/>
      <c r="AO32" s="43"/>
      <c r="AP32" s="43"/>
      <c r="AQ32" s="43"/>
      <c r="AR32" s="43"/>
      <c r="AS32" s="43"/>
      <c r="AT32" s="43"/>
      <c r="AU32" s="43"/>
      <c r="AV32" s="43"/>
      <c r="AW32" s="46"/>
      <c r="AX32" s="46"/>
      <c r="AY32" s="46">
        <v>27</v>
      </c>
      <c r="AZ32" s="46">
        <f t="shared" si="18"/>
        <v>0</v>
      </c>
      <c r="BA32" s="46">
        <f t="shared" si="19"/>
        <v>29115</v>
      </c>
      <c r="BB32" s="46">
        <v>27</v>
      </c>
      <c r="BC32" s="46">
        <v>25</v>
      </c>
      <c r="BD32" s="46">
        <f t="shared" si="36"/>
        <v>9</v>
      </c>
      <c r="BE32" s="46">
        <f t="shared" ca="1" si="37"/>
        <v>10441</v>
      </c>
      <c r="BF32" s="46">
        <f t="shared" ca="1" si="20"/>
        <v>10436</v>
      </c>
      <c r="BG32" s="46">
        <f t="shared" ca="1" si="21"/>
        <v>1574.6708841029067</v>
      </c>
      <c r="BH32" s="46">
        <v>25</v>
      </c>
      <c r="BI32" s="46">
        <f t="shared" si="38"/>
        <v>25</v>
      </c>
      <c r="BJ32" s="46">
        <f t="shared" ca="1" si="39"/>
        <v>27971</v>
      </c>
      <c r="BK32" s="46">
        <f t="shared" ca="1" si="22"/>
        <v>27966</v>
      </c>
      <c r="BL32" s="46">
        <f t="shared" ca="1" si="23"/>
        <v>1574.6708841029067</v>
      </c>
      <c r="BM32" s="46">
        <v>25</v>
      </c>
      <c r="BN32" s="46" t="e">
        <f t="shared" si="40"/>
        <v>#N/A</v>
      </c>
      <c r="BO32" s="46" t="e">
        <f t="shared" ca="1" si="41"/>
        <v>#N/A</v>
      </c>
      <c r="BP32" s="46" t="e">
        <f t="shared" ca="1" si="24"/>
        <v>#N/A</v>
      </c>
      <c r="BQ32" s="46" t="e">
        <f t="shared" ca="1" si="25"/>
        <v>#N/A</v>
      </c>
      <c r="BR32" s="46">
        <v>25</v>
      </c>
      <c r="BS32" s="46">
        <f t="shared" si="42"/>
        <v>53</v>
      </c>
      <c r="BT32" s="46">
        <f t="shared" ca="1" si="43"/>
        <v>59229</v>
      </c>
      <c r="BU32" s="46">
        <f t="shared" ca="1" si="26"/>
        <v>59224</v>
      </c>
      <c r="BV32" s="46">
        <f t="shared" ca="1" si="27"/>
        <v>1574.6708841029067</v>
      </c>
      <c r="BW32" s="46">
        <v>25</v>
      </c>
      <c r="BX32" s="46">
        <f t="shared" si="44"/>
        <v>81</v>
      </c>
      <c r="BY32" s="46">
        <f t="shared" ca="1" si="45"/>
        <v>90487</v>
      </c>
      <c r="BZ32" s="46">
        <f t="shared" ca="1" si="28"/>
        <v>90482</v>
      </c>
      <c r="CA32" s="46">
        <f t="shared" ca="1" si="29"/>
        <v>1574.6708841029067</v>
      </c>
      <c r="CC32" s="51"/>
      <c r="CD32" s="52"/>
      <c r="CE32" s="52"/>
      <c r="CF32" s="52"/>
      <c r="CG32" s="52"/>
      <c r="CH32" s="53"/>
      <c r="CI32" s="325"/>
      <c r="CJ32" s="52">
        <v>7</v>
      </c>
      <c r="CK32" s="59" t="str">
        <f t="shared" si="50"/>
        <v/>
      </c>
      <c r="CL32" s="59" t="str">
        <f t="shared" si="51"/>
        <v/>
      </c>
      <c r="CM32" s="52" t="e">
        <f t="shared" si="2"/>
        <v>#N/A</v>
      </c>
      <c r="CN32" s="52" t="e">
        <f t="shared" si="3"/>
        <v>#N/A</v>
      </c>
      <c r="CO32" s="52" t="e">
        <f t="shared" si="4"/>
        <v>#N/A</v>
      </c>
      <c r="CP32" s="52" t="e">
        <f t="shared" si="5"/>
        <v>#N/A</v>
      </c>
      <c r="CQ32" s="54" t="e">
        <f t="shared" si="6"/>
        <v>#N/A</v>
      </c>
      <c r="CR32" s="55" t="e">
        <f t="shared" si="31"/>
        <v>#N/A</v>
      </c>
      <c r="CS32" s="56" t="e">
        <f t="shared" si="32"/>
        <v>#N/A</v>
      </c>
      <c r="CT32" s="56" t="e">
        <f t="shared" si="33"/>
        <v>#N/A</v>
      </c>
      <c r="CU32" s="56" t="e">
        <f t="shared" si="46"/>
        <v>#N/A</v>
      </c>
      <c r="CV32" s="56" t="e">
        <f t="shared" si="47"/>
        <v>#N/A</v>
      </c>
      <c r="CW32" s="56" t="e">
        <f t="shared" si="7"/>
        <v>#N/A</v>
      </c>
      <c r="CX32" s="57" t="e">
        <f t="shared" si="8"/>
        <v>#N/A</v>
      </c>
    </row>
    <row r="33" spans="1:102" x14ac:dyDescent="0.25">
      <c r="A33" s="130">
        <v>8</v>
      </c>
      <c r="B33" s="131"/>
      <c r="C33" s="131"/>
      <c r="D33" s="132" t="str">
        <f t="shared" si="52"/>
        <v/>
      </c>
      <c r="F33" s="133">
        <v>8</v>
      </c>
      <c r="G33" s="134"/>
      <c r="H33" s="134"/>
      <c r="I33" s="135" t="str">
        <f t="shared" si="53"/>
        <v/>
      </c>
      <c r="K33" s="120">
        <v>8</v>
      </c>
      <c r="L33" s="123"/>
      <c r="M33" s="123"/>
      <c r="N33" s="122" t="str">
        <f t="shared" si="54"/>
        <v/>
      </c>
      <c r="P33" s="105">
        <v>8</v>
      </c>
      <c r="Q33" s="106"/>
      <c r="R33" s="106"/>
      <c r="S33" s="108" t="str">
        <f t="shared" si="55"/>
        <v/>
      </c>
      <c r="U33" s="95">
        <v>8</v>
      </c>
      <c r="V33" s="96"/>
      <c r="W33" s="96"/>
      <c r="X33" s="98" t="str">
        <f t="shared" si="56"/>
        <v/>
      </c>
      <c r="AC33" s="43"/>
      <c r="AD33" s="43"/>
      <c r="AF33" s="42"/>
      <c r="AG33" s="42"/>
      <c r="AH33" s="45" t="s">
        <v>545</v>
      </c>
      <c r="AI33" s="186" t="e">
        <f>基本参数输入!#REF!</f>
        <v>#REF!</v>
      </c>
      <c r="AJ33" s="48" t="s">
        <v>0</v>
      </c>
      <c r="AK33" s="42"/>
      <c r="AL33" s="42"/>
      <c r="AM33" s="42"/>
      <c r="AN33" s="43"/>
      <c r="AO33" s="43"/>
      <c r="AP33" s="43"/>
      <c r="AQ33" s="43"/>
      <c r="AR33" s="43"/>
      <c r="AS33" s="43"/>
      <c r="AT33" s="43"/>
      <c r="AU33" s="43"/>
      <c r="AV33" s="43"/>
      <c r="AW33" s="46"/>
      <c r="AX33" s="46"/>
      <c r="AY33" s="46">
        <v>28</v>
      </c>
      <c r="AZ33" s="46">
        <f t="shared" si="18"/>
        <v>0</v>
      </c>
      <c r="BA33" s="46">
        <f t="shared" si="19"/>
        <v>30259</v>
      </c>
      <c r="BB33" s="46">
        <v>28</v>
      </c>
      <c r="BC33" s="46">
        <v>26</v>
      </c>
      <c r="BD33" s="46">
        <f t="shared" si="36"/>
        <v>9</v>
      </c>
      <c r="BE33" s="46">
        <f t="shared" ca="1" si="37"/>
        <v>10441</v>
      </c>
      <c r="BF33" s="46">
        <f t="shared" ca="1" si="20"/>
        <v>10441</v>
      </c>
      <c r="BG33" s="46">
        <f t="shared" ca="1" si="21"/>
        <v>1429.6708841029067</v>
      </c>
      <c r="BH33" s="46">
        <v>26</v>
      </c>
      <c r="BI33" s="46">
        <f t="shared" si="38"/>
        <v>25</v>
      </c>
      <c r="BJ33" s="46">
        <f t="shared" ca="1" si="39"/>
        <v>27971</v>
      </c>
      <c r="BK33" s="46">
        <f t="shared" ca="1" si="22"/>
        <v>27971</v>
      </c>
      <c r="BL33" s="46">
        <f t="shared" ca="1" si="23"/>
        <v>1429.6708841029067</v>
      </c>
      <c r="BM33" s="46">
        <v>26</v>
      </c>
      <c r="BN33" s="46" t="e">
        <f t="shared" si="40"/>
        <v>#N/A</v>
      </c>
      <c r="BO33" s="46" t="e">
        <f t="shared" ca="1" si="41"/>
        <v>#N/A</v>
      </c>
      <c r="BP33" s="46" t="e">
        <f t="shared" ca="1" si="24"/>
        <v>#N/A</v>
      </c>
      <c r="BQ33" s="46" t="e">
        <f t="shared" ca="1" si="25"/>
        <v>#N/A</v>
      </c>
      <c r="BR33" s="46">
        <v>26</v>
      </c>
      <c r="BS33" s="46">
        <f t="shared" si="42"/>
        <v>53</v>
      </c>
      <c r="BT33" s="46">
        <f t="shared" ca="1" si="43"/>
        <v>59229</v>
      </c>
      <c r="BU33" s="46">
        <f t="shared" ca="1" si="26"/>
        <v>59229</v>
      </c>
      <c r="BV33" s="46">
        <f t="shared" ca="1" si="27"/>
        <v>1429.6708841029067</v>
      </c>
      <c r="BW33" s="46">
        <v>26</v>
      </c>
      <c r="BX33" s="46">
        <f t="shared" si="44"/>
        <v>81</v>
      </c>
      <c r="BY33" s="46">
        <f t="shared" ca="1" si="45"/>
        <v>90487</v>
      </c>
      <c r="BZ33" s="46">
        <f t="shared" ca="1" si="28"/>
        <v>90487</v>
      </c>
      <c r="CA33" s="46">
        <f t="shared" ca="1" si="29"/>
        <v>1429.6708841029067</v>
      </c>
      <c r="CC33" s="51"/>
      <c r="CD33" s="52"/>
      <c r="CE33" s="52"/>
      <c r="CF33" s="52"/>
      <c r="CG33" s="52"/>
      <c r="CH33" s="53"/>
      <c r="CI33" s="325"/>
      <c r="CJ33" s="52">
        <v>8</v>
      </c>
      <c r="CK33" s="59" t="str">
        <f t="shared" si="50"/>
        <v/>
      </c>
      <c r="CL33" s="59" t="str">
        <f t="shared" si="51"/>
        <v/>
      </c>
      <c r="CM33" s="52" t="e">
        <f t="shared" si="2"/>
        <v>#N/A</v>
      </c>
      <c r="CN33" s="52" t="e">
        <f t="shared" si="3"/>
        <v>#N/A</v>
      </c>
      <c r="CO33" s="52" t="e">
        <f t="shared" si="4"/>
        <v>#N/A</v>
      </c>
      <c r="CP33" s="52" t="e">
        <f t="shared" si="5"/>
        <v>#N/A</v>
      </c>
      <c r="CQ33" s="54" t="e">
        <f t="shared" si="6"/>
        <v>#N/A</v>
      </c>
      <c r="CR33" s="55" t="e">
        <f t="shared" si="31"/>
        <v>#N/A</v>
      </c>
      <c r="CS33" s="56" t="e">
        <f t="shared" si="32"/>
        <v>#N/A</v>
      </c>
      <c r="CT33" s="56" t="e">
        <f t="shared" si="33"/>
        <v>#N/A</v>
      </c>
      <c r="CU33" s="56" t="e">
        <f t="shared" si="46"/>
        <v>#N/A</v>
      </c>
      <c r="CV33" s="56" t="e">
        <f t="shared" si="47"/>
        <v>#N/A</v>
      </c>
      <c r="CW33" s="56" t="e">
        <f t="shared" si="7"/>
        <v>#N/A</v>
      </c>
      <c r="CX33" s="57" t="e">
        <f t="shared" si="8"/>
        <v>#N/A</v>
      </c>
    </row>
    <row r="34" spans="1:102" x14ac:dyDescent="0.25">
      <c r="A34" s="130">
        <v>9</v>
      </c>
      <c r="B34" s="131"/>
      <c r="C34" s="131"/>
      <c r="D34" s="132" t="str">
        <f t="shared" si="52"/>
        <v/>
      </c>
      <c r="E34" s="43"/>
      <c r="F34" s="133">
        <v>9</v>
      </c>
      <c r="G34" s="134"/>
      <c r="H34" s="134"/>
      <c r="I34" s="135" t="str">
        <f t="shared" si="53"/>
        <v/>
      </c>
      <c r="K34" s="120">
        <v>9</v>
      </c>
      <c r="L34" s="123"/>
      <c r="M34" s="123"/>
      <c r="N34" s="122" t="str">
        <f t="shared" si="54"/>
        <v/>
      </c>
      <c r="P34" s="105">
        <v>9</v>
      </c>
      <c r="Q34" s="106"/>
      <c r="R34" s="106"/>
      <c r="S34" s="108" t="str">
        <f t="shared" si="55"/>
        <v/>
      </c>
      <c r="U34" s="95">
        <v>9</v>
      </c>
      <c r="V34" s="96"/>
      <c r="W34" s="96"/>
      <c r="X34" s="98" t="str">
        <f t="shared" si="56"/>
        <v/>
      </c>
      <c r="AC34" s="43"/>
      <c r="AD34" s="43"/>
      <c r="AF34" s="42"/>
      <c r="AG34" s="42"/>
      <c r="AH34" s="45" t="s">
        <v>532</v>
      </c>
      <c r="AI34" s="186">
        <f>基本参数输入!B7</f>
        <v>50</v>
      </c>
      <c r="AJ34" s="48" t="s">
        <v>0</v>
      </c>
      <c r="AK34" s="42"/>
      <c r="AL34" s="42"/>
      <c r="AM34" s="42"/>
      <c r="AN34" s="43"/>
      <c r="AO34" s="43"/>
      <c r="AP34" s="43"/>
      <c r="AQ34" s="43"/>
      <c r="AR34" s="43"/>
      <c r="AS34" s="43"/>
      <c r="AT34" s="43"/>
      <c r="AU34" s="43"/>
      <c r="AV34" s="43"/>
      <c r="AW34" s="46"/>
      <c r="AX34" s="46"/>
      <c r="AY34" s="46">
        <v>29</v>
      </c>
      <c r="AZ34" s="46">
        <f t="shared" si="18"/>
        <v>0</v>
      </c>
      <c r="BA34" s="46">
        <f t="shared" si="19"/>
        <v>31403</v>
      </c>
      <c r="BB34" s="46">
        <v>29</v>
      </c>
      <c r="BC34" s="46">
        <v>27</v>
      </c>
      <c r="BD34" s="46">
        <f t="shared" si="36"/>
        <v>10</v>
      </c>
      <c r="BE34" s="46">
        <f t="shared" ca="1" si="37"/>
        <v>11585</v>
      </c>
      <c r="BF34" s="46">
        <f t="shared" ca="1" si="20"/>
        <v>10446</v>
      </c>
      <c r="BG34" s="46">
        <f t="shared" ca="1" si="21"/>
        <v>1574.6708841029067</v>
      </c>
      <c r="BH34" s="46">
        <v>27</v>
      </c>
      <c r="BI34" s="46">
        <f t="shared" si="38"/>
        <v>26</v>
      </c>
      <c r="BJ34" s="46">
        <f t="shared" ca="1" si="39"/>
        <v>29115</v>
      </c>
      <c r="BK34" s="46">
        <f t="shared" ca="1" si="22"/>
        <v>27976</v>
      </c>
      <c r="BL34" s="46">
        <f t="shared" ca="1" si="23"/>
        <v>1574.6708841029067</v>
      </c>
      <c r="BM34" s="46">
        <v>27</v>
      </c>
      <c r="BN34" s="46" t="e">
        <f t="shared" si="40"/>
        <v>#N/A</v>
      </c>
      <c r="BO34" s="46" t="e">
        <f t="shared" ca="1" si="41"/>
        <v>#N/A</v>
      </c>
      <c r="BP34" s="46" t="e">
        <f t="shared" ca="1" si="24"/>
        <v>#N/A</v>
      </c>
      <c r="BQ34" s="46" t="e">
        <f t="shared" ca="1" si="25"/>
        <v>#N/A</v>
      </c>
      <c r="BR34" s="46">
        <v>27</v>
      </c>
      <c r="BS34" s="46">
        <f t="shared" si="42"/>
        <v>54</v>
      </c>
      <c r="BT34" s="46">
        <f t="shared" ca="1" si="43"/>
        <v>60373</v>
      </c>
      <c r="BU34" s="46">
        <f t="shared" ca="1" si="26"/>
        <v>59234</v>
      </c>
      <c r="BV34" s="46">
        <f t="shared" ca="1" si="27"/>
        <v>1574.6708841029067</v>
      </c>
      <c r="BW34" s="46">
        <v>27</v>
      </c>
      <c r="BX34" s="46">
        <f t="shared" si="44"/>
        <v>82</v>
      </c>
      <c r="BY34" s="46">
        <f t="shared" ca="1" si="45"/>
        <v>91631</v>
      </c>
      <c r="BZ34" s="46">
        <f t="shared" ca="1" si="28"/>
        <v>90492</v>
      </c>
      <c r="CA34" s="46">
        <f t="shared" ca="1" si="29"/>
        <v>1574.6708841029067</v>
      </c>
      <c r="CC34" s="51"/>
      <c r="CD34" s="52"/>
      <c r="CE34" s="52"/>
      <c r="CF34" s="52"/>
      <c r="CG34" s="52"/>
      <c r="CH34" s="53"/>
      <c r="CI34" s="325"/>
      <c r="CJ34" s="52">
        <v>9</v>
      </c>
      <c r="CK34" s="59" t="str">
        <f t="shared" si="50"/>
        <v/>
      </c>
      <c r="CL34" s="59" t="str">
        <f t="shared" si="51"/>
        <v/>
      </c>
      <c r="CM34" s="52" t="e">
        <f t="shared" si="2"/>
        <v>#N/A</v>
      </c>
      <c r="CN34" s="52" t="e">
        <f t="shared" si="3"/>
        <v>#N/A</v>
      </c>
      <c r="CO34" s="52" t="e">
        <f t="shared" si="4"/>
        <v>#N/A</v>
      </c>
      <c r="CP34" s="52" t="e">
        <f t="shared" si="5"/>
        <v>#N/A</v>
      </c>
      <c r="CQ34" s="54" t="e">
        <f t="shared" si="6"/>
        <v>#N/A</v>
      </c>
      <c r="CR34" s="55" t="e">
        <f t="shared" si="31"/>
        <v>#N/A</v>
      </c>
      <c r="CS34" s="56" t="e">
        <f t="shared" si="32"/>
        <v>#N/A</v>
      </c>
      <c r="CT34" s="56" t="e">
        <f t="shared" si="33"/>
        <v>#N/A</v>
      </c>
      <c r="CU34" s="56" t="e">
        <f t="shared" si="46"/>
        <v>#N/A</v>
      </c>
      <c r="CV34" s="56" t="e">
        <f t="shared" si="47"/>
        <v>#N/A</v>
      </c>
      <c r="CW34" s="56" t="e">
        <f t="shared" si="7"/>
        <v>#N/A</v>
      </c>
      <c r="CX34" s="57" t="e">
        <f t="shared" si="8"/>
        <v>#N/A</v>
      </c>
    </row>
    <row r="35" spans="1:102" ht="17" thickBot="1" x14ac:dyDescent="0.3">
      <c r="A35" s="140">
        <v>10</v>
      </c>
      <c r="B35" s="141"/>
      <c r="C35" s="141"/>
      <c r="D35" s="142" t="str">
        <f t="shared" si="52"/>
        <v/>
      </c>
      <c r="E35" s="43"/>
      <c r="F35" s="148">
        <v>10</v>
      </c>
      <c r="G35" s="149"/>
      <c r="H35" s="149"/>
      <c r="I35" s="150" t="str">
        <f t="shared" si="53"/>
        <v/>
      </c>
      <c r="K35" s="109">
        <v>10</v>
      </c>
      <c r="L35" s="124"/>
      <c r="M35" s="124"/>
      <c r="N35" s="110" t="str">
        <f t="shared" si="54"/>
        <v/>
      </c>
      <c r="P35" s="99">
        <v>10</v>
      </c>
      <c r="Q35" s="100"/>
      <c r="R35" s="100"/>
      <c r="S35" s="101" t="str">
        <f t="shared" si="55"/>
        <v/>
      </c>
      <c r="U35" s="111">
        <v>10</v>
      </c>
      <c r="V35" s="112"/>
      <c r="W35" s="112"/>
      <c r="X35" s="113" t="str">
        <f t="shared" si="56"/>
        <v/>
      </c>
      <c r="AC35" s="43"/>
      <c r="AD35" s="43"/>
      <c r="AF35" s="42"/>
      <c r="AG35" s="42"/>
      <c r="AH35" s="45" t="s">
        <v>625</v>
      </c>
      <c r="AI35" s="186">
        <f>基本参数输入!B21</f>
        <v>0</v>
      </c>
      <c r="AJ35" s="48" t="s">
        <v>6</v>
      </c>
      <c r="AK35" s="42"/>
      <c r="AL35" s="42"/>
      <c r="AM35" s="42"/>
      <c r="AN35" s="43"/>
      <c r="AO35" s="43"/>
      <c r="AP35" s="43"/>
      <c r="AQ35" s="43"/>
      <c r="AR35" s="43"/>
      <c r="AS35" s="43"/>
      <c r="AT35" s="43"/>
      <c r="AU35" s="43"/>
      <c r="AV35" s="43"/>
      <c r="AW35" s="46"/>
      <c r="AX35" s="46"/>
      <c r="AY35" s="46">
        <v>30</v>
      </c>
      <c r="AZ35" s="46">
        <f t="shared" si="18"/>
        <v>0</v>
      </c>
      <c r="BA35" s="46">
        <f t="shared" si="19"/>
        <v>32547</v>
      </c>
      <c r="BB35" s="46">
        <v>30</v>
      </c>
      <c r="BC35" s="46">
        <v>28</v>
      </c>
      <c r="BD35" s="46">
        <f t="shared" si="36"/>
        <v>10</v>
      </c>
      <c r="BE35" s="46">
        <f t="shared" ca="1" si="37"/>
        <v>11585</v>
      </c>
      <c r="BF35" s="46">
        <f t="shared" ca="1" si="20"/>
        <v>11580</v>
      </c>
      <c r="BG35" s="46">
        <f t="shared" ca="1" si="21"/>
        <v>1574.6708841029067</v>
      </c>
      <c r="BH35" s="46">
        <v>28</v>
      </c>
      <c r="BI35" s="46">
        <f t="shared" si="38"/>
        <v>26</v>
      </c>
      <c r="BJ35" s="46">
        <f t="shared" ca="1" si="39"/>
        <v>29115</v>
      </c>
      <c r="BK35" s="46">
        <f t="shared" ca="1" si="22"/>
        <v>29110</v>
      </c>
      <c r="BL35" s="46">
        <f t="shared" ca="1" si="23"/>
        <v>1574.6708841029067</v>
      </c>
      <c r="BM35" s="46">
        <v>28</v>
      </c>
      <c r="BN35" s="46" t="e">
        <f t="shared" si="40"/>
        <v>#N/A</v>
      </c>
      <c r="BO35" s="46" t="e">
        <f t="shared" ca="1" si="41"/>
        <v>#N/A</v>
      </c>
      <c r="BP35" s="46" t="e">
        <f t="shared" ca="1" si="24"/>
        <v>#N/A</v>
      </c>
      <c r="BQ35" s="46" t="e">
        <f t="shared" ca="1" si="25"/>
        <v>#N/A</v>
      </c>
      <c r="BR35" s="46">
        <v>28</v>
      </c>
      <c r="BS35" s="46">
        <f t="shared" si="42"/>
        <v>54</v>
      </c>
      <c r="BT35" s="46">
        <f t="shared" ca="1" si="43"/>
        <v>60373</v>
      </c>
      <c r="BU35" s="46">
        <f t="shared" ca="1" si="26"/>
        <v>60368</v>
      </c>
      <c r="BV35" s="46">
        <f t="shared" ca="1" si="27"/>
        <v>1574.6708841029067</v>
      </c>
      <c r="BW35" s="46">
        <v>28</v>
      </c>
      <c r="BX35" s="46">
        <f t="shared" si="44"/>
        <v>82</v>
      </c>
      <c r="BY35" s="46">
        <f t="shared" ca="1" si="45"/>
        <v>91631</v>
      </c>
      <c r="BZ35" s="46">
        <f t="shared" ca="1" si="28"/>
        <v>91626</v>
      </c>
      <c r="CA35" s="46">
        <f t="shared" ca="1" si="29"/>
        <v>1574.6708841029067</v>
      </c>
      <c r="CC35" s="51"/>
      <c r="CD35" s="52"/>
      <c r="CE35" s="52"/>
      <c r="CF35" s="52"/>
      <c r="CG35" s="52"/>
      <c r="CH35" s="53"/>
      <c r="CI35" s="328"/>
      <c r="CJ35" s="189">
        <v>10</v>
      </c>
      <c r="CK35" s="190" t="str">
        <f t="shared" si="50"/>
        <v/>
      </c>
      <c r="CL35" s="190" t="str">
        <f t="shared" si="51"/>
        <v/>
      </c>
      <c r="CM35" s="189" t="e">
        <f t="shared" si="2"/>
        <v>#N/A</v>
      </c>
      <c r="CN35" s="189" t="e">
        <f t="shared" si="3"/>
        <v>#N/A</v>
      </c>
      <c r="CO35" s="189" t="e">
        <f t="shared" si="4"/>
        <v>#N/A</v>
      </c>
      <c r="CP35" s="189" t="e">
        <f t="shared" si="5"/>
        <v>#N/A</v>
      </c>
      <c r="CQ35" s="191" t="e">
        <f t="shared" si="6"/>
        <v>#N/A</v>
      </c>
      <c r="CR35" s="55" t="e">
        <f t="shared" si="31"/>
        <v>#N/A</v>
      </c>
      <c r="CS35" s="56" t="e">
        <f t="shared" si="32"/>
        <v>#N/A</v>
      </c>
      <c r="CT35" s="56" t="e">
        <f t="shared" si="33"/>
        <v>#N/A</v>
      </c>
      <c r="CU35" s="56" t="e">
        <f t="shared" si="46"/>
        <v>#N/A</v>
      </c>
      <c r="CV35" s="56" t="e">
        <f t="shared" si="47"/>
        <v>#N/A</v>
      </c>
      <c r="CW35" s="56" t="e">
        <f t="shared" si="7"/>
        <v>#N/A</v>
      </c>
      <c r="CX35" s="57" t="e">
        <f t="shared" si="8"/>
        <v>#N/A</v>
      </c>
    </row>
    <row r="36" spans="1:102" ht="17.5" thickTop="1" thickBot="1" x14ac:dyDescent="0.3">
      <c r="A36" s="143" t="s">
        <v>622</v>
      </c>
      <c r="B36" s="144">
        <f>D24 - B24 - SUM(B26:B35)</f>
        <v>7705</v>
      </c>
      <c r="C36" s="144"/>
      <c r="D36" s="145"/>
      <c r="E36" s="43"/>
      <c r="F36" s="151" t="s">
        <v>622</v>
      </c>
      <c r="G36" s="152">
        <f>I24 - G24 - SUM(G26:G35)</f>
        <v>7810</v>
      </c>
      <c r="H36" s="152"/>
      <c r="I36" s="153"/>
      <c r="K36" s="102" t="s">
        <v>622</v>
      </c>
      <c r="L36" s="103" t="e">
        <f>N24 - L24 - SUM(L26:L35)</f>
        <v>#VALUE!</v>
      </c>
      <c r="M36" s="103"/>
      <c r="N36" s="104"/>
      <c r="P36" s="117" t="s">
        <v>622</v>
      </c>
      <c r="Q36" s="118">
        <f>S24 - Q24 - SUM(Q26:Q35)</f>
        <v>7810</v>
      </c>
      <c r="R36" s="118"/>
      <c r="S36" s="119"/>
      <c r="U36" s="114" t="s">
        <v>622</v>
      </c>
      <c r="V36" s="115">
        <f>X24- V24 - SUM(V26:V35)</f>
        <v>2034</v>
      </c>
      <c r="W36" s="115"/>
      <c r="X36" s="116"/>
      <c r="AC36" s="43"/>
      <c r="AD36" s="43"/>
      <c r="AF36" s="42"/>
      <c r="AG36" s="42"/>
      <c r="AH36" s="45" t="s">
        <v>514</v>
      </c>
      <c r="AI36" s="186">
        <f>基本参数输入!B8</f>
        <v>1400</v>
      </c>
      <c r="AJ36" s="48" t="s">
        <v>515</v>
      </c>
      <c r="AK36" s="42"/>
      <c r="AL36" s="42"/>
      <c r="AM36" s="42"/>
      <c r="AN36" s="43"/>
      <c r="AO36" s="43"/>
      <c r="AP36" s="43"/>
      <c r="AQ36" s="43"/>
      <c r="AR36" s="43"/>
      <c r="AS36" s="43"/>
      <c r="AT36" s="43"/>
      <c r="AU36" s="43"/>
      <c r="AV36" s="43"/>
      <c r="AW36" s="46"/>
      <c r="AX36" s="46"/>
      <c r="AY36" s="46">
        <v>31</v>
      </c>
      <c r="AZ36" s="46">
        <f t="shared" si="18"/>
        <v>0</v>
      </c>
      <c r="BA36" s="46">
        <f t="shared" si="19"/>
        <v>33691</v>
      </c>
      <c r="BB36" s="46">
        <v>31</v>
      </c>
      <c r="BC36" s="46">
        <v>29</v>
      </c>
      <c r="BD36" s="46">
        <f t="shared" si="36"/>
        <v>10</v>
      </c>
      <c r="BE36" s="46">
        <f t="shared" ca="1" si="37"/>
        <v>11585</v>
      </c>
      <c r="BF36" s="46">
        <f t="shared" ca="1" si="20"/>
        <v>11585</v>
      </c>
      <c r="BG36" s="46">
        <f t="shared" ca="1" si="21"/>
        <v>1429.6708841029067</v>
      </c>
      <c r="BH36" s="46">
        <v>29</v>
      </c>
      <c r="BI36" s="46">
        <f t="shared" si="38"/>
        <v>26</v>
      </c>
      <c r="BJ36" s="46">
        <f t="shared" ca="1" si="39"/>
        <v>29115</v>
      </c>
      <c r="BK36" s="46">
        <f t="shared" ca="1" si="22"/>
        <v>29115</v>
      </c>
      <c r="BL36" s="46">
        <f t="shared" ca="1" si="23"/>
        <v>1429.6708841029067</v>
      </c>
      <c r="BM36" s="46">
        <v>29</v>
      </c>
      <c r="BN36" s="46" t="e">
        <f t="shared" si="40"/>
        <v>#N/A</v>
      </c>
      <c r="BO36" s="46" t="e">
        <f t="shared" ca="1" si="41"/>
        <v>#N/A</v>
      </c>
      <c r="BP36" s="46" t="e">
        <f t="shared" ca="1" si="24"/>
        <v>#N/A</v>
      </c>
      <c r="BQ36" s="46" t="e">
        <f t="shared" ca="1" si="25"/>
        <v>#N/A</v>
      </c>
      <c r="BR36" s="46">
        <v>29</v>
      </c>
      <c r="BS36" s="46">
        <f t="shared" si="42"/>
        <v>54</v>
      </c>
      <c r="BT36" s="46">
        <f t="shared" ca="1" si="43"/>
        <v>60373</v>
      </c>
      <c r="BU36" s="46">
        <f t="shared" ca="1" si="26"/>
        <v>60373</v>
      </c>
      <c r="BV36" s="46">
        <f t="shared" ca="1" si="27"/>
        <v>1429.6708841029067</v>
      </c>
      <c r="BW36" s="46">
        <v>29</v>
      </c>
      <c r="BX36" s="46">
        <f t="shared" si="44"/>
        <v>82</v>
      </c>
      <c r="BY36" s="46">
        <f t="shared" ca="1" si="45"/>
        <v>91631</v>
      </c>
      <c r="BZ36" s="46">
        <f t="shared" ca="1" si="28"/>
        <v>91631</v>
      </c>
      <c r="CA36" s="46">
        <f t="shared" ca="1" si="29"/>
        <v>1429.6708841029067</v>
      </c>
      <c r="CC36" s="51"/>
      <c r="CD36" s="52"/>
      <c r="CE36" s="52"/>
      <c r="CF36" s="52"/>
      <c r="CG36" s="52"/>
      <c r="CH36" s="53"/>
      <c r="CI36" s="324" t="s">
        <v>626</v>
      </c>
      <c r="CJ36" s="195">
        <v>1</v>
      </c>
      <c r="CK36" s="196">
        <f t="shared" ref="CK36:CK45" si="57">IF(S26 = "", "", S26)</f>
        <v>56548</v>
      </c>
      <c r="CL36" s="196" t="str">
        <f t="shared" ref="CL36:CL45" si="58">IF(S26 = "", "",R26)</f>
        <v>H200x100x4.3x5.2-Q235</v>
      </c>
      <c r="CM36" s="195" t="e">
        <f t="shared" si="2"/>
        <v>#N/A</v>
      </c>
      <c r="CN36" s="195" t="e">
        <f t="shared" si="3"/>
        <v>#N/A</v>
      </c>
      <c r="CO36" s="195" t="e">
        <f t="shared" si="4"/>
        <v>#N/A</v>
      </c>
      <c r="CP36" s="195" t="e">
        <f t="shared" si="5"/>
        <v>#N/A</v>
      </c>
      <c r="CQ36" s="197" t="e">
        <f t="shared" si="6"/>
        <v>#N/A</v>
      </c>
      <c r="CR36" s="55" t="e">
        <f t="shared" si="31"/>
        <v>#N/A</v>
      </c>
      <c r="CS36" s="56" t="e">
        <f t="shared" si="32"/>
        <v>#N/A</v>
      </c>
      <c r="CT36" s="56" t="e">
        <f t="shared" si="33"/>
        <v>#N/A</v>
      </c>
      <c r="CU36" s="56" t="e">
        <f t="shared" si="46"/>
        <v>#N/A</v>
      </c>
      <c r="CV36" s="56" t="e">
        <f t="shared" si="47"/>
        <v>#N/A</v>
      </c>
      <c r="CW36" s="56">
        <f t="shared" si="7"/>
        <v>56548</v>
      </c>
      <c r="CX36" s="57">
        <f t="shared" si="8"/>
        <v>1</v>
      </c>
    </row>
    <row r="37" spans="1:102" ht="17" thickTop="1" x14ac:dyDescent="0.25">
      <c r="B37" s="42"/>
      <c r="C37" s="12"/>
      <c r="D37" s="12"/>
      <c r="E37" s="12"/>
      <c r="F37" s="12"/>
      <c r="G37" s="12"/>
      <c r="H37" s="12"/>
      <c r="V37" s="43"/>
      <c r="AC37" s="43"/>
      <c r="AD37" s="43"/>
      <c r="AF37" s="42"/>
      <c r="AG37" s="42"/>
      <c r="AH37" s="93" t="s">
        <v>636</v>
      </c>
      <c r="AI37" s="186" t="str">
        <f>基本参数输入!M2</f>
        <v>中文</v>
      </c>
      <c r="AJ37" s="48"/>
      <c r="AK37" s="42"/>
      <c r="AL37" s="42"/>
      <c r="AM37" s="42"/>
      <c r="AN37" s="43"/>
      <c r="AO37" s="43"/>
      <c r="AP37" s="43"/>
      <c r="AQ37" s="43"/>
      <c r="AR37" s="43"/>
      <c r="AS37" s="43"/>
      <c r="AT37" s="43"/>
      <c r="AU37" s="43"/>
      <c r="AV37" s="43"/>
      <c r="AW37" s="46"/>
      <c r="AX37" s="46"/>
      <c r="AY37" s="46">
        <v>32</v>
      </c>
      <c r="AZ37" s="46">
        <f t="shared" si="18"/>
        <v>0</v>
      </c>
      <c r="BA37" s="46">
        <f t="shared" si="19"/>
        <v>34835</v>
      </c>
      <c r="BB37" s="46">
        <v>32</v>
      </c>
      <c r="BC37" s="46">
        <v>30</v>
      </c>
      <c r="BD37" s="46">
        <f t="shared" si="36"/>
        <v>11</v>
      </c>
      <c r="BE37" s="46">
        <f t="shared" ca="1" si="37"/>
        <v>12729</v>
      </c>
      <c r="BF37" s="46">
        <f t="shared" ca="1" si="20"/>
        <v>11590</v>
      </c>
      <c r="BG37" s="46">
        <f t="shared" ca="1" si="21"/>
        <v>1574.6708841029067</v>
      </c>
      <c r="BH37" s="46">
        <v>30</v>
      </c>
      <c r="BI37" s="46">
        <f t="shared" si="38"/>
        <v>27</v>
      </c>
      <c r="BJ37" s="46">
        <f t="shared" ca="1" si="39"/>
        <v>30259</v>
      </c>
      <c r="BK37" s="46">
        <f t="shared" ca="1" si="22"/>
        <v>29120</v>
      </c>
      <c r="BL37" s="46">
        <f t="shared" ca="1" si="23"/>
        <v>1574.6708841029067</v>
      </c>
      <c r="BM37" s="46">
        <v>30</v>
      </c>
      <c r="BN37" s="46" t="e">
        <f t="shared" si="40"/>
        <v>#N/A</v>
      </c>
      <c r="BO37" s="46" t="e">
        <f t="shared" ca="1" si="41"/>
        <v>#N/A</v>
      </c>
      <c r="BP37" s="46" t="e">
        <f t="shared" ca="1" si="24"/>
        <v>#N/A</v>
      </c>
      <c r="BQ37" s="46" t="e">
        <f t="shared" ca="1" si="25"/>
        <v>#N/A</v>
      </c>
      <c r="BR37" s="46">
        <v>30</v>
      </c>
      <c r="BS37" s="46">
        <f t="shared" si="42"/>
        <v>55</v>
      </c>
      <c r="BT37" s="46">
        <f t="shared" ca="1" si="43"/>
        <v>61517</v>
      </c>
      <c r="BU37" s="46">
        <f t="shared" ca="1" si="26"/>
        <v>60378</v>
      </c>
      <c r="BV37" s="46">
        <f t="shared" ca="1" si="27"/>
        <v>1574.6708841029067</v>
      </c>
      <c r="BW37" s="46">
        <v>30</v>
      </c>
      <c r="BX37" s="46">
        <f t="shared" si="44"/>
        <v>83</v>
      </c>
      <c r="BY37" s="46">
        <f t="shared" ca="1" si="45"/>
        <v>92775</v>
      </c>
      <c r="BZ37" s="46">
        <f t="shared" ca="1" si="28"/>
        <v>91636</v>
      </c>
      <c r="CA37" s="46">
        <f t="shared" ca="1" si="29"/>
        <v>1574.6708841029067</v>
      </c>
      <c r="CC37" s="51"/>
      <c r="CD37" s="52"/>
      <c r="CE37" s="52"/>
      <c r="CF37" s="52"/>
      <c r="CG37" s="52"/>
      <c r="CH37" s="53"/>
      <c r="CI37" s="325"/>
      <c r="CJ37" s="52">
        <v>2</v>
      </c>
      <c r="CK37" s="59">
        <f t="shared" si="57"/>
        <v>64348</v>
      </c>
      <c r="CL37" s="59" t="str">
        <f t="shared" si="58"/>
        <v>H200x100x4.3x5.2-Q235</v>
      </c>
      <c r="CM37" s="52" t="e">
        <f t="shared" si="2"/>
        <v>#N/A</v>
      </c>
      <c r="CN37" s="52" t="e">
        <f t="shared" si="3"/>
        <v>#N/A</v>
      </c>
      <c r="CO37" s="52" t="e">
        <f t="shared" si="4"/>
        <v>#N/A</v>
      </c>
      <c r="CP37" s="52" t="e">
        <f t="shared" si="5"/>
        <v>#N/A</v>
      </c>
      <c r="CQ37" s="54" t="e">
        <f t="shared" si="6"/>
        <v>#N/A</v>
      </c>
      <c r="CR37" s="55" t="e">
        <f t="shared" si="31"/>
        <v>#N/A</v>
      </c>
      <c r="CS37" s="56" t="e">
        <f t="shared" si="32"/>
        <v>#N/A</v>
      </c>
      <c r="CT37" s="56" t="e">
        <f t="shared" si="33"/>
        <v>#N/A</v>
      </c>
      <c r="CU37" s="56" t="e">
        <f t="shared" si="46"/>
        <v>#N/A</v>
      </c>
      <c r="CV37" s="56" t="e">
        <f t="shared" si="47"/>
        <v>#N/A</v>
      </c>
      <c r="CW37" s="56">
        <f t="shared" si="7"/>
        <v>64348</v>
      </c>
      <c r="CX37" s="57">
        <f t="shared" si="8"/>
        <v>2</v>
      </c>
    </row>
    <row r="38" spans="1:102" x14ac:dyDescent="0.25">
      <c r="A38" s="43"/>
      <c r="C38" s="42"/>
      <c r="D38" s="43"/>
      <c r="E38" s="43"/>
      <c r="F38" s="43"/>
      <c r="G38" s="43"/>
      <c r="H38" s="43"/>
      <c r="V38" s="43"/>
      <c r="AC38" s="43"/>
      <c r="AD38" s="43"/>
      <c r="AF38" s="42"/>
      <c r="AG38" s="42"/>
      <c r="AH38" s="160" t="s">
        <v>675</v>
      </c>
      <c r="AI38" s="163">
        <f>IF(AI4 = "S3", 84, 75)</f>
        <v>84</v>
      </c>
      <c r="AJ38" s="162" t="s">
        <v>0</v>
      </c>
      <c r="AK38" s="42"/>
      <c r="AL38" s="42"/>
      <c r="AM38" s="42"/>
      <c r="AN38" s="43"/>
      <c r="AO38" s="43"/>
      <c r="AP38" s="43"/>
      <c r="AQ38" s="43"/>
      <c r="AR38" s="43"/>
      <c r="AS38" s="43"/>
      <c r="AT38" s="43"/>
      <c r="AU38" s="43"/>
      <c r="AV38" s="43"/>
      <c r="AW38" s="46"/>
      <c r="AX38" s="46"/>
      <c r="AY38" s="46">
        <v>33</v>
      </c>
      <c r="AZ38" s="46">
        <f t="shared" si="18"/>
        <v>0</v>
      </c>
      <c r="BA38" s="46">
        <f t="shared" si="19"/>
        <v>35979</v>
      </c>
      <c r="BB38" s="46">
        <v>33</v>
      </c>
      <c r="BC38" s="46">
        <v>31</v>
      </c>
      <c r="BD38" s="46">
        <f t="shared" si="36"/>
        <v>11</v>
      </c>
      <c r="BE38" s="46">
        <f t="shared" ca="1" si="37"/>
        <v>12729</v>
      </c>
      <c r="BF38" s="46">
        <f t="shared" ca="1" si="20"/>
        <v>12724</v>
      </c>
      <c r="BG38" s="46">
        <f t="shared" ca="1" si="21"/>
        <v>1574.6708841029067</v>
      </c>
      <c r="BH38" s="46">
        <v>31</v>
      </c>
      <c r="BI38" s="46">
        <f t="shared" si="38"/>
        <v>27</v>
      </c>
      <c r="BJ38" s="46">
        <f t="shared" ca="1" si="39"/>
        <v>30259</v>
      </c>
      <c r="BK38" s="46">
        <f t="shared" ca="1" si="22"/>
        <v>30254</v>
      </c>
      <c r="BL38" s="46">
        <f t="shared" ca="1" si="23"/>
        <v>1574.6708841029067</v>
      </c>
      <c r="BM38" s="46">
        <v>31</v>
      </c>
      <c r="BN38" s="46" t="e">
        <f t="shared" si="40"/>
        <v>#N/A</v>
      </c>
      <c r="BO38" s="46" t="e">
        <f t="shared" ca="1" si="41"/>
        <v>#N/A</v>
      </c>
      <c r="BP38" s="46" t="e">
        <f t="shared" ca="1" si="24"/>
        <v>#N/A</v>
      </c>
      <c r="BQ38" s="46" t="e">
        <f t="shared" ca="1" si="25"/>
        <v>#N/A</v>
      </c>
      <c r="BR38" s="46">
        <v>31</v>
      </c>
      <c r="BS38" s="46">
        <f t="shared" si="42"/>
        <v>55</v>
      </c>
      <c r="BT38" s="46">
        <f t="shared" ca="1" si="43"/>
        <v>61517</v>
      </c>
      <c r="BU38" s="46">
        <f t="shared" ca="1" si="26"/>
        <v>61512</v>
      </c>
      <c r="BV38" s="46">
        <f t="shared" ca="1" si="27"/>
        <v>1574.6708841029067</v>
      </c>
      <c r="BW38" s="46">
        <v>31</v>
      </c>
      <c r="BX38" s="46">
        <f t="shared" si="44"/>
        <v>83</v>
      </c>
      <c r="BY38" s="46">
        <f t="shared" ca="1" si="45"/>
        <v>92775</v>
      </c>
      <c r="BZ38" s="46">
        <f t="shared" ca="1" si="28"/>
        <v>92770</v>
      </c>
      <c r="CA38" s="46">
        <f t="shared" ca="1" si="29"/>
        <v>1574.6708841029067</v>
      </c>
      <c r="CC38" s="51"/>
      <c r="CD38" s="52"/>
      <c r="CE38" s="52"/>
      <c r="CF38" s="52"/>
      <c r="CG38" s="52"/>
      <c r="CH38" s="53"/>
      <c r="CI38" s="325"/>
      <c r="CJ38" s="52">
        <v>3</v>
      </c>
      <c r="CK38" s="59">
        <f t="shared" si="57"/>
        <v>72196</v>
      </c>
      <c r="CL38" s="59" t="str">
        <f t="shared" si="58"/>
        <v>H200x100x4.3x5.2-Q235</v>
      </c>
      <c r="CM38" s="52" t="e">
        <f t="shared" ref="CM38:CM55" si="59">IF(ROW(A33) &lt;= $AI$15, ROW(A33), NA())</f>
        <v>#N/A</v>
      </c>
      <c r="CN38" s="52" t="e">
        <f t="shared" ref="CN38:CN55" si="60">IF(ROW(A33) &lt;= $AI$15, SMALL($CK$6:$CK$55, ROW(A33)), NA())</f>
        <v>#N/A</v>
      </c>
      <c r="CO38" s="52" t="e">
        <f t="shared" ref="CO38:CO55" si="61">IF(ROW(A33) &lt;= $AI$15, $AI$25, NA())</f>
        <v>#N/A</v>
      </c>
      <c r="CP38" s="52" t="e">
        <f t="shared" ref="CP38:CP55" si="62">IF(ROW(A33) &lt;= $AI$15, $AI$25 + $AI$26, NA())</f>
        <v>#N/A</v>
      </c>
      <c r="CQ38" s="54" t="e">
        <f t="shared" ref="CQ38:CQ55" si="63" xml:space="preserve"> IF(CN38, $AI$22, NA())</f>
        <v>#N/A</v>
      </c>
      <c r="CR38" s="55" t="e">
        <f t="shared" si="31"/>
        <v>#N/A</v>
      </c>
      <c r="CS38" s="56" t="e">
        <f t="shared" si="32"/>
        <v>#N/A</v>
      </c>
      <c r="CT38" s="56" t="e">
        <f t="shared" si="33"/>
        <v>#N/A</v>
      </c>
      <c r="CU38" s="56" t="e">
        <f t="shared" si="46"/>
        <v>#N/A</v>
      </c>
      <c r="CV38" s="56" t="e">
        <f t="shared" si="47"/>
        <v>#N/A</v>
      </c>
      <c r="CW38" s="56">
        <f t="shared" ref="CW38:CW55" si="64">IF(CK38 = "", NA(), CK38)</f>
        <v>72196</v>
      </c>
      <c r="CX38" s="57">
        <f t="shared" ref="CX38:CX55" si="65">IF(CK38 = "", NA(), CJ38)</f>
        <v>3</v>
      </c>
    </row>
    <row r="39" spans="1:102" x14ac:dyDescent="0.25">
      <c r="A39" s="43"/>
      <c r="C39" s="42"/>
      <c r="D39" s="43"/>
      <c r="E39" s="43"/>
      <c r="F39" s="43"/>
      <c r="G39" s="43"/>
      <c r="H39" s="43"/>
      <c r="V39" s="43"/>
      <c r="AC39" s="43"/>
      <c r="AD39" s="43"/>
      <c r="AF39" s="42"/>
      <c r="AG39" s="42"/>
      <c r="AH39" s="160" t="s">
        <v>682</v>
      </c>
      <c r="AI39" s="186">
        <f>IF(AI4 = "S3", 66, 75)</f>
        <v>66</v>
      </c>
      <c r="AJ39" s="162" t="s">
        <v>0</v>
      </c>
      <c r="AK39" s="42"/>
      <c r="AL39" s="42"/>
      <c r="AM39" s="42"/>
      <c r="AN39" s="43"/>
      <c r="AO39" s="43"/>
      <c r="AP39" s="43"/>
      <c r="AQ39" s="43"/>
      <c r="AR39" s="43"/>
      <c r="AS39" s="43"/>
      <c r="AT39" s="43"/>
      <c r="AU39" s="43"/>
      <c r="AV39" s="43"/>
      <c r="AW39" s="46"/>
      <c r="AX39" s="46"/>
      <c r="AY39" s="46">
        <v>34</v>
      </c>
      <c r="AZ39" s="46">
        <f t="shared" ref="AZ39:AZ70" si="66" xml:space="preserve"> IFERROR(MATCH(AY39, $AW$7:$AW$10, 0), 0)</f>
        <v>0</v>
      </c>
      <c r="BA39" s="46">
        <f t="shared" ref="BA39:BA70" si="67">IF(AY39 &lt;= $AX$11, IF(AZ39 = 0, BA38 + $AI$6 + $AI$11, BA38 + ($AI$13 - $AI$11)))</f>
        <v>37123</v>
      </c>
      <c r="BB39" s="46">
        <v>34</v>
      </c>
      <c r="BC39" s="46">
        <v>32</v>
      </c>
      <c r="BD39" s="46">
        <f t="shared" si="36"/>
        <v>11</v>
      </c>
      <c r="BE39" s="46">
        <f t="shared" ca="1" si="37"/>
        <v>12729</v>
      </c>
      <c r="BF39" s="46">
        <f t="shared" ref="BF39:BF70" ca="1" si="68" xml:space="preserve"> IF(BE39, IF(MOD(BC39, 3) = 0, BE39 - $AI$11 / 2 - $AI$6, IF(MOD(BC39, 3) = 1, BE39 - $AI$11 / 2, BE39)))</f>
        <v>12729</v>
      </c>
      <c r="BG39" s="46">
        <f t="shared" ref="BG39:BG70" ca="1" si="69" xml:space="preserve"> IF(BE39, IF(MOD(BC39, 3) = 2, $AI$22, $AI$22 + 60 + 50 + 35))</f>
        <v>1429.6708841029067</v>
      </c>
      <c r="BH39" s="46">
        <v>32</v>
      </c>
      <c r="BI39" s="46">
        <f t="shared" si="38"/>
        <v>27</v>
      </c>
      <c r="BJ39" s="46">
        <f t="shared" ca="1" si="39"/>
        <v>30259</v>
      </c>
      <c r="BK39" s="46">
        <f t="shared" ref="BK39:BK70" ca="1" si="70" xml:space="preserve"> IF(BJ39, IF(MOD(BH39, 3) = 0, BJ39 - $AI$11 / 2 - $AI$6, IF(MOD(BH39, 3) = 1, BJ39 - $AI$11 / 2, BJ39)))</f>
        <v>30259</v>
      </c>
      <c r="BL39" s="46">
        <f t="shared" ref="BL39:BL70" ca="1" si="71" xml:space="preserve"> IF(BJ39, IF(MOD(BH39, 3) = 2, $AI$22, $AI$22 + 60 + 50 + 35))</f>
        <v>1429.6708841029067</v>
      </c>
      <c r="BM39" s="46">
        <v>32</v>
      </c>
      <c r="BN39" s="46" t="e">
        <f t="shared" si="40"/>
        <v>#N/A</v>
      </c>
      <c r="BO39" s="46" t="e">
        <f t="shared" ca="1" si="41"/>
        <v>#N/A</v>
      </c>
      <c r="BP39" s="46" t="e">
        <f t="shared" ref="BP39:BP70" ca="1" si="72" xml:space="preserve"> IF(BO39, IF(MOD(BM39, 3) = 0, BO39 - $AI$11 / 2 - $AI$6, IF(MOD(BM39, 3) = 1, BO39 - $AI$11 / 2, BO39)))</f>
        <v>#N/A</v>
      </c>
      <c r="BQ39" s="46" t="e">
        <f t="shared" ref="BQ39:BQ70" ca="1" si="73" xml:space="preserve"> IF(BO39, IF(MOD(BM39, 3) = 2, $AI$22, $AI$22 + 60 + 50 + 35))</f>
        <v>#N/A</v>
      </c>
      <c r="BR39" s="46">
        <v>32</v>
      </c>
      <c r="BS39" s="46">
        <f t="shared" si="42"/>
        <v>55</v>
      </c>
      <c r="BT39" s="46">
        <f t="shared" ca="1" si="43"/>
        <v>61517</v>
      </c>
      <c r="BU39" s="46">
        <f t="shared" ref="BU39:BU70" ca="1" si="74" xml:space="preserve"> IF(BT39, IF(MOD(BR39, 3) = 0, BT39 - $AI$11 / 2 - $AI$6, IF(MOD(BR39, 3) = 1, BT39 - $AI$11 / 2, BT39)))</f>
        <v>61517</v>
      </c>
      <c r="BV39" s="46">
        <f t="shared" ref="BV39:BV70" ca="1" si="75" xml:space="preserve"> IF(BT39, IF(MOD(BR39, 3) = 2, $AI$22, $AI$22 + 60 + 50 + 35))</f>
        <v>1429.6708841029067</v>
      </c>
      <c r="BW39" s="46">
        <v>32</v>
      </c>
      <c r="BX39" s="46">
        <f t="shared" si="44"/>
        <v>83</v>
      </c>
      <c r="BY39" s="46">
        <f t="shared" ca="1" si="45"/>
        <v>92775</v>
      </c>
      <c r="BZ39" s="46">
        <f t="shared" ref="BZ39:BZ70" ca="1" si="76" xml:space="preserve"> IF(BY39, IF(MOD(BW39, 3) = 0, BY39 - $AI$11 / 2 - $AI$6, IF(MOD(BW39, 3) = 1, BY39 - $AI$11 / 2, BY39)))</f>
        <v>92775</v>
      </c>
      <c r="CA39" s="46">
        <f t="shared" ref="CA39:CA70" ca="1" si="77" xml:space="preserve"> IF(BY39, IF(MOD(BW39, 3) = 2, $AI$22, $AI$22 + 60 + 50 + 35))</f>
        <v>1429.6708841029067</v>
      </c>
      <c r="CC39" s="51"/>
      <c r="CD39" s="52"/>
      <c r="CE39" s="52"/>
      <c r="CF39" s="52"/>
      <c r="CG39" s="52"/>
      <c r="CH39" s="53"/>
      <c r="CI39" s="325"/>
      <c r="CJ39" s="52">
        <v>4</v>
      </c>
      <c r="CK39" s="59" t="str">
        <f t="shared" si="57"/>
        <v/>
      </c>
      <c r="CL39" s="59" t="str">
        <f t="shared" si="58"/>
        <v/>
      </c>
      <c r="CM39" s="52" t="e">
        <f t="shared" si="59"/>
        <v>#N/A</v>
      </c>
      <c r="CN39" s="52" t="e">
        <f t="shared" si="60"/>
        <v>#N/A</v>
      </c>
      <c r="CO39" s="52" t="e">
        <f t="shared" si="61"/>
        <v>#N/A</v>
      </c>
      <c r="CP39" s="52" t="e">
        <f t="shared" si="62"/>
        <v>#N/A</v>
      </c>
      <c r="CQ39" s="54" t="e">
        <f t="shared" si="63"/>
        <v>#N/A</v>
      </c>
      <c r="CR39" s="55" t="e">
        <f t="shared" si="31"/>
        <v>#N/A</v>
      </c>
      <c r="CS39" s="56" t="e">
        <f t="shared" si="32"/>
        <v>#N/A</v>
      </c>
      <c r="CT39" s="56" t="e">
        <f t="shared" si="33"/>
        <v>#N/A</v>
      </c>
      <c r="CU39" s="56" t="e">
        <f t="shared" si="46"/>
        <v>#N/A</v>
      </c>
      <c r="CV39" s="56" t="e">
        <f t="shared" si="47"/>
        <v>#N/A</v>
      </c>
      <c r="CW39" s="56" t="e">
        <f t="shared" si="64"/>
        <v>#N/A</v>
      </c>
      <c r="CX39" s="57" t="e">
        <f t="shared" si="65"/>
        <v>#N/A</v>
      </c>
    </row>
    <row r="40" spans="1:102" x14ac:dyDescent="0.25">
      <c r="A40" s="43"/>
      <c r="C40" s="42"/>
      <c r="D40" s="43"/>
      <c r="E40" s="43"/>
      <c r="F40" s="43"/>
      <c r="G40" s="43"/>
      <c r="H40" s="43"/>
      <c r="K40" s="42"/>
      <c r="V40" s="43"/>
      <c r="AC40" s="43"/>
      <c r="AD40" s="43"/>
      <c r="AF40" s="42"/>
      <c r="AG40" s="42"/>
      <c r="AH40" s="160" t="s">
        <v>684</v>
      </c>
      <c r="AI40" s="186">
        <f>基本参数输入!M3</f>
        <v>36</v>
      </c>
      <c r="AJ40" s="162" t="s">
        <v>685</v>
      </c>
      <c r="AK40" s="42"/>
      <c r="AL40" s="42"/>
      <c r="AM40" s="42"/>
      <c r="AN40" s="43"/>
      <c r="AO40" s="43"/>
      <c r="AP40" s="43"/>
      <c r="AQ40" s="43"/>
      <c r="AR40" s="43"/>
      <c r="AS40" s="43"/>
      <c r="AT40" s="43"/>
      <c r="AU40" s="43"/>
      <c r="AV40" s="43"/>
      <c r="AW40" s="46"/>
      <c r="AX40" s="46"/>
      <c r="AY40" s="46">
        <v>35</v>
      </c>
      <c r="AZ40" s="46">
        <f t="shared" si="66"/>
        <v>0</v>
      </c>
      <c r="BA40" s="46">
        <f t="shared" si="67"/>
        <v>38267</v>
      </c>
      <c r="BB40" s="46">
        <v>35</v>
      </c>
      <c r="BC40" s="46">
        <v>33</v>
      </c>
      <c r="BD40" s="46">
        <f t="shared" si="36"/>
        <v>12</v>
      </c>
      <c r="BE40" s="46">
        <f t="shared" ca="1" si="37"/>
        <v>13873</v>
      </c>
      <c r="BF40" s="46">
        <f t="shared" ca="1" si="68"/>
        <v>12734</v>
      </c>
      <c r="BG40" s="46">
        <f t="shared" ca="1" si="69"/>
        <v>1574.6708841029067</v>
      </c>
      <c r="BH40" s="46">
        <v>33</v>
      </c>
      <c r="BI40" s="46">
        <f t="shared" si="38"/>
        <v>28</v>
      </c>
      <c r="BJ40" s="46">
        <f t="shared" ca="1" si="39"/>
        <v>31403</v>
      </c>
      <c r="BK40" s="46">
        <f t="shared" ca="1" si="70"/>
        <v>30264</v>
      </c>
      <c r="BL40" s="46">
        <f t="shared" ca="1" si="71"/>
        <v>1574.6708841029067</v>
      </c>
      <c r="BM40" s="46">
        <v>33</v>
      </c>
      <c r="BN40" s="46" t="e">
        <f t="shared" si="40"/>
        <v>#N/A</v>
      </c>
      <c r="BO40" s="46" t="e">
        <f t="shared" ca="1" si="41"/>
        <v>#N/A</v>
      </c>
      <c r="BP40" s="46" t="e">
        <f t="shared" ca="1" si="72"/>
        <v>#N/A</v>
      </c>
      <c r="BQ40" s="46" t="e">
        <f t="shared" ca="1" si="73"/>
        <v>#N/A</v>
      </c>
      <c r="BR40" s="46">
        <v>33</v>
      </c>
      <c r="BS40" s="46">
        <f t="shared" si="42"/>
        <v>56</v>
      </c>
      <c r="BT40" s="46">
        <f t="shared" ca="1" si="43"/>
        <v>62661</v>
      </c>
      <c r="BU40" s="46">
        <f t="shared" ca="1" si="74"/>
        <v>61522</v>
      </c>
      <c r="BV40" s="46">
        <f t="shared" ca="1" si="75"/>
        <v>1574.6708841029067</v>
      </c>
      <c r="BW40" s="46">
        <v>33</v>
      </c>
      <c r="BX40" s="46">
        <f t="shared" si="44"/>
        <v>84</v>
      </c>
      <c r="BY40" s="46">
        <f t="shared" ca="1" si="45"/>
        <v>93919</v>
      </c>
      <c r="BZ40" s="46">
        <f t="shared" ca="1" si="76"/>
        <v>92780</v>
      </c>
      <c r="CA40" s="46">
        <f t="shared" ca="1" si="77"/>
        <v>1574.6708841029067</v>
      </c>
      <c r="CC40" s="51"/>
      <c r="CD40" s="52"/>
      <c r="CE40" s="52"/>
      <c r="CF40" s="52"/>
      <c r="CG40" s="52"/>
      <c r="CH40" s="53"/>
      <c r="CI40" s="325"/>
      <c r="CJ40" s="52">
        <v>5</v>
      </c>
      <c r="CK40" s="59" t="str">
        <f t="shared" si="57"/>
        <v/>
      </c>
      <c r="CL40" s="59" t="str">
        <f t="shared" si="58"/>
        <v/>
      </c>
      <c r="CM40" s="52" t="e">
        <f t="shared" si="59"/>
        <v>#N/A</v>
      </c>
      <c r="CN40" s="52" t="e">
        <f t="shared" si="60"/>
        <v>#N/A</v>
      </c>
      <c r="CO40" s="52" t="e">
        <f t="shared" si="61"/>
        <v>#N/A</v>
      </c>
      <c r="CP40" s="52" t="e">
        <f t="shared" si="62"/>
        <v>#N/A</v>
      </c>
      <c r="CQ40" s="54" t="e">
        <f t="shared" si="63"/>
        <v>#N/A</v>
      </c>
      <c r="CR40" s="55" t="e">
        <f t="shared" si="31"/>
        <v>#N/A</v>
      </c>
      <c r="CS40" s="56" t="e">
        <f t="shared" si="32"/>
        <v>#N/A</v>
      </c>
      <c r="CT40" s="56" t="e">
        <f t="shared" si="33"/>
        <v>#N/A</v>
      </c>
      <c r="CU40" s="56" t="e">
        <f t="shared" si="46"/>
        <v>#N/A</v>
      </c>
      <c r="CV40" s="56" t="e">
        <f t="shared" si="47"/>
        <v>#N/A</v>
      </c>
      <c r="CW40" s="56" t="e">
        <f t="shared" si="64"/>
        <v>#N/A</v>
      </c>
      <c r="CX40" s="57" t="e">
        <f t="shared" si="65"/>
        <v>#N/A</v>
      </c>
    </row>
    <row r="41" spans="1:102" x14ac:dyDescent="0.25">
      <c r="A41" s="43"/>
      <c r="C41" s="42"/>
      <c r="D41" s="43"/>
      <c r="E41" s="43"/>
      <c r="F41" s="43"/>
      <c r="G41" s="43"/>
      <c r="H41" s="43"/>
      <c r="V41" s="43"/>
      <c r="AC41" s="43"/>
      <c r="AD41" s="43"/>
      <c r="AF41" s="42"/>
      <c r="AG41" s="42"/>
      <c r="AH41" s="160" t="s">
        <v>686</v>
      </c>
      <c r="AI41" s="231" t="str">
        <f>基本参数输入!M4</f>
        <v>ASCE 7-05</v>
      </c>
      <c r="AJ41" s="48"/>
      <c r="AK41" s="42"/>
      <c r="AL41" s="42"/>
      <c r="AM41" s="42"/>
      <c r="AN41" s="43"/>
      <c r="AO41" s="43"/>
      <c r="AP41" s="43"/>
      <c r="AQ41" s="43"/>
      <c r="AR41" s="43"/>
      <c r="AS41" s="43"/>
      <c r="AT41" s="43"/>
      <c r="AU41" s="43"/>
      <c r="AV41" s="43"/>
      <c r="AW41" s="46"/>
      <c r="AX41" s="46"/>
      <c r="AY41" s="46">
        <v>36</v>
      </c>
      <c r="AZ41" s="46">
        <f t="shared" si="66"/>
        <v>0</v>
      </c>
      <c r="BA41" s="46">
        <f t="shared" si="67"/>
        <v>39411</v>
      </c>
      <c r="BB41" s="46">
        <v>36</v>
      </c>
      <c r="BC41" s="46">
        <v>34</v>
      </c>
      <c r="BD41" s="46">
        <f t="shared" si="36"/>
        <v>12</v>
      </c>
      <c r="BE41" s="46">
        <f t="shared" ca="1" si="37"/>
        <v>13873</v>
      </c>
      <c r="BF41" s="46">
        <f t="shared" ca="1" si="68"/>
        <v>13868</v>
      </c>
      <c r="BG41" s="46">
        <f t="shared" ca="1" si="69"/>
        <v>1574.6708841029067</v>
      </c>
      <c r="BH41" s="46">
        <v>34</v>
      </c>
      <c r="BI41" s="46">
        <f t="shared" si="38"/>
        <v>28</v>
      </c>
      <c r="BJ41" s="46">
        <f t="shared" ca="1" si="39"/>
        <v>31403</v>
      </c>
      <c r="BK41" s="46">
        <f t="shared" ca="1" si="70"/>
        <v>31398</v>
      </c>
      <c r="BL41" s="46">
        <f t="shared" ca="1" si="71"/>
        <v>1574.6708841029067</v>
      </c>
      <c r="BM41" s="46">
        <v>34</v>
      </c>
      <c r="BN41" s="46" t="e">
        <f t="shared" si="40"/>
        <v>#N/A</v>
      </c>
      <c r="BO41" s="46" t="e">
        <f t="shared" ca="1" si="41"/>
        <v>#N/A</v>
      </c>
      <c r="BP41" s="46" t="e">
        <f t="shared" ca="1" si="72"/>
        <v>#N/A</v>
      </c>
      <c r="BQ41" s="46" t="e">
        <f t="shared" ca="1" si="73"/>
        <v>#N/A</v>
      </c>
      <c r="BR41" s="46">
        <v>34</v>
      </c>
      <c r="BS41" s="46">
        <f t="shared" si="42"/>
        <v>56</v>
      </c>
      <c r="BT41" s="46">
        <f t="shared" ca="1" si="43"/>
        <v>62661</v>
      </c>
      <c r="BU41" s="46">
        <f t="shared" ca="1" si="74"/>
        <v>62656</v>
      </c>
      <c r="BV41" s="46">
        <f t="shared" ca="1" si="75"/>
        <v>1574.6708841029067</v>
      </c>
      <c r="BW41" s="46">
        <v>34</v>
      </c>
      <c r="BX41" s="46">
        <f t="shared" si="44"/>
        <v>84</v>
      </c>
      <c r="BY41" s="46">
        <f t="shared" ca="1" si="45"/>
        <v>93919</v>
      </c>
      <c r="BZ41" s="46">
        <f t="shared" ca="1" si="76"/>
        <v>93914</v>
      </c>
      <c r="CA41" s="46">
        <f t="shared" ca="1" si="77"/>
        <v>1574.6708841029067</v>
      </c>
      <c r="CC41" s="51"/>
      <c r="CD41" s="52"/>
      <c r="CE41" s="52"/>
      <c r="CF41" s="52"/>
      <c r="CG41" s="52"/>
      <c r="CH41" s="53"/>
      <c r="CI41" s="325"/>
      <c r="CJ41" s="52">
        <v>6</v>
      </c>
      <c r="CK41" s="59" t="str">
        <f t="shared" si="57"/>
        <v/>
      </c>
      <c r="CL41" s="59" t="str">
        <f t="shared" si="58"/>
        <v/>
      </c>
      <c r="CM41" s="52" t="e">
        <f t="shared" si="59"/>
        <v>#N/A</v>
      </c>
      <c r="CN41" s="52" t="e">
        <f t="shared" si="60"/>
        <v>#N/A</v>
      </c>
      <c r="CO41" s="52" t="e">
        <f t="shared" si="61"/>
        <v>#N/A</v>
      </c>
      <c r="CP41" s="52" t="e">
        <f t="shared" si="62"/>
        <v>#N/A</v>
      </c>
      <c r="CQ41" s="54" t="e">
        <f t="shared" si="63"/>
        <v>#N/A</v>
      </c>
      <c r="CR41" s="55" t="e">
        <f t="shared" si="31"/>
        <v>#N/A</v>
      </c>
      <c r="CS41" s="56" t="e">
        <f t="shared" si="32"/>
        <v>#N/A</v>
      </c>
      <c r="CT41" s="56" t="e">
        <f t="shared" si="33"/>
        <v>#N/A</v>
      </c>
      <c r="CU41" s="56" t="e">
        <f t="shared" si="46"/>
        <v>#N/A</v>
      </c>
      <c r="CV41" s="56" t="e">
        <f t="shared" si="47"/>
        <v>#N/A</v>
      </c>
      <c r="CW41" s="56" t="e">
        <f t="shared" si="64"/>
        <v>#N/A</v>
      </c>
      <c r="CX41" s="57" t="e">
        <f t="shared" si="65"/>
        <v>#N/A</v>
      </c>
    </row>
    <row r="42" spans="1:102" x14ac:dyDescent="0.25">
      <c r="A42" s="43"/>
      <c r="C42" s="42"/>
      <c r="D42" s="43"/>
      <c r="E42" s="43"/>
      <c r="F42" s="43"/>
      <c r="G42" s="43"/>
      <c r="H42" s="43"/>
      <c r="V42" s="43"/>
      <c r="AC42" s="43"/>
      <c r="AD42" s="43"/>
      <c r="AF42" s="42"/>
      <c r="AG42" s="42"/>
      <c r="AH42" s="160" t="s">
        <v>688</v>
      </c>
      <c r="AI42" s="186">
        <f>基本参数输入!M5</f>
        <v>530</v>
      </c>
      <c r="AJ42" s="162" t="s">
        <v>689</v>
      </c>
      <c r="AK42" s="42"/>
      <c r="AL42" s="42"/>
      <c r="AM42" s="42"/>
      <c r="AN42" s="43"/>
      <c r="AO42" s="43"/>
      <c r="AP42" s="43"/>
      <c r="AQ42" s="43"/>
      <c r="AR42" s="43"/>
      <c r="AS42" s="43"/>
      <c r="AT42" s="43"/>
      <c r="AU42" s="43"/>
      <c r="AV42" s="43"/>
      <c r="AW42" s="46"/>
      <c r="AX42" s="46"/>
      <c r="AY42" s="46">
        <v>37</v>
      </c>
      <c r="AZ42" s="46">
        <f t="shared" si="66"/>
        <v>0</v>
      </c>
      <c r="BA42" s="46">
        <f t="shared" si="67"/>
        <v>40555</v>
      </c>
      <c r="BB42" s="46">
        <v>37</v>
      </c>
      <c r="BC42" s="46">
        <v>35</v>
      </c>
      <c r="BD42" s="46">
        <f t="shared" si="36"/>
        <v>12</v>
      </c>
      <c r="BE42" s="46">
        <f t="shared" ca="1" si="37"/>
        <v>13873</v>
      </c>
      <c r="BF42" s="46">
        <f t="shared" ca="1" si="68"/>
        <v>13873</v>
      </c>
      <c r="BG42" s="46">
        <f t="shared" ca="1" si="69"/>
        <v>1429.6708841029067</v>
      </c>
      <c r="BH42" s="46">
        <v>35</v>
      </c>
      <c r="BI42" s="46">
        <f t="shared" si="38"/>
        <v>28</v>
      </c>
      <c r="BJ42" s="46">
        <f t="shared" ca="1" si="39"/>
        <v>31403</v>
      </c>
      <c r="BK42" s="46">
        <f t="shared" ca="1" si="70"/>
        <v>31403</v>
      </c>
      <c r="BL42" s="46">
        <f t="shared" ca="1" si="71"/>
        <v>1429.6708841029067</v>
      </c>
      <c r="BM42" s="46">
        <v>35</v>
      </c>
      <c r="BN42" s="46" t="e">
        <f t="shared" si="40"/>
        <v>#N/A</v>
      </c>
      <c r="BO42" s="46" t="e">
        <f t="shared" ca="1" si="41"/>
        <v>#N/A</v>
      </c>
      <c r="BP42" s="46" t="e">
        <f t="shared" ca="1" si="72"/>
        <v>#N/A</v>
      </c>
      <c r="BQ42" s="46" t="e">
        <f t="shared" ca="1" si="73"/>
        <v>#N/A</v>
      </c>
      <c r="BR42" s="46">
        <v>35</v>
      </c>
      <c r="BS42" s="46">
        <f t="shared" si="42"/>
        <v>56</v>
      </c>
      <c r="BT42" s="46">
        <f t="shared" ca="1" si="43"/>
        <v>62661</v>
      </c>
      <c r="BU42" s="46">
        <f t="shared" ca="1" si="74"/>
        <v>62661</v>
      </c>
      <c r="BV42" s="46">
        <f t="shared" ca="1" si="75"/>
        <v>1429.6708841029067</v>
      </c>
      <c r="BW42" s="46">
        <v>35</v>
      </c>
      <c r="BX42" s="46">
        <f t="shared" si="44"/>
        <v>84</v>
      </c>
      <c r="BY42" s="46">
        <f t="shared" ca="1" si="45"/>
        <v>93919</v>
      </c>
      <c r="BZ42" s="46">
        <f t="shared" ca="1" si="76"/>
        <v>93919</v>
      </c>
      <c r="CA42" s="46">
        <f t="shared" ca="1" si="77"/>
        <v>1429.6708841029067</v>
      </c>
      <c r="CC42" s="51"/>
      <c r="CD42" s="52"/>
      <c r="CE42" s="52"/>
      <c r="CF42" s="52"/>
      <c r="CG42" s="52"/>
      <c r="CH42" s="53"/>
      <c r="CI42" s="325"/>
      <c r="CJ42" s="52">
        <v>7</v>
      </c>
      <c r="CK42" s="59" t="str">
        <f t="shared" si="57"/>
        <v/>
      </c>
      <c r="CL42" s="59" t="str">
        <f t="shared" si="58"/>
        <v/>
      </c>
      <c r="CM42" s="52" t="e">
        <f t="shared" si="59"/>
        <v>#N/A</v>
      </c>
      <c r="CN42" s="52" t="e">
        <f t="shared" si="60"/>
        <v>#N/A</v>
      </c>
      <c r="CO42" s="52" t="e">
        <f t="shared" si="61"/>
        <v>#N/A</v>
      </c>
      <c r="CP42" s="52" t="e">
        <f t="shared" si="62"/>
        <v>#N/A</v>
      </c>
      <c r="CQ42" s="54" t="e">
        <f t="shared" si="63"/>
        <v>#N/A</v>
      </c>
      <c r="CR42" s="55" t="e">
        <f t="shared" si="31"/>
        <v>#N/A</v>
      </c>
      <c r="CS42" s="56" t="e">
        <f t="shared" si="32"/>
        <v>#N/A</v>
      </c>
      <c r="CT42" s="56" t="e">
        <f t="shared" si="33"/>
        <v>#N/A</v>
      </c>
      <c r="CU42" s="56" t="e">
        <f t="shared" si="46"/>
        <v>#N/A</v>
      </c>
      <c r="CV42" s="56" t="e">
        <f t="shared" si="47"/>
        <v>#N/A</v>
      </c>
      <c r="CW42" s="56" t="e">
        <f t="shared" si="64"/>
        <v>#N/A</v>
      </c>
      <c r="CX42" s="57" t="e">
        <f t="shared" si="65"/>
        <v>#N/A</v>
      </c>
    </row>
    <row r="43" spans="1:102" x14ac:dyDescent="0.25">
      <c r="A43" s="43"/>
      <c r="C43" s="42"/>
      <c r="D43" s="43"/>
      <c r="E43" s="43"/>
      <c r="F43" s="43"/>
      <c r="G43" s="43"/>
      <c r="H43" s="43"/>
      <c r="V43" s="43"/>
      <c r="AC43" s="43"/>
      <c r="AD43" s="43"/>
      <c r="AF43" s="42"/>
      <c r="AG43" s="42"/>
      <c r="AH43" s="45"/>
      <c r="AI43" s="186"/>
      <c r="AJ43" s="48"/>
      <c r="AK43" s="42"/>
      <c r="AL43" s="42"/>
      <c r="AM43" s="42"/>
      <c r="AN43" s="43"/>
      <c r="AO43" s="43"/>
      <c r="AP43" s="43"/>
      <c r="AQ43" s="43"/>
      <c r="AR43" s="43"/>
      <c r="AS43" s="43"/>
      <c r="AT43" s="43"/>
      <c r="AU43" s="43"/>
      <c r="AV43" s="43"/>
      <c r="AW43" s="46"/>
      <c r="AX43" s="46"/>
      <c r="AY43" s="46">
        <v>38</v>
      </c>
      <c r="AZ43" s="46">
        <f t="shared" si="66"/>
        <v>0</v>
      </c>
      <c r="BA43" s="46">
        <f t="shared" si="67"/>
        <v>41699</v>
      </c>
      <c r="BB43" s="46">
        <v>38</v>
      </c>
      <c r="BC43" s="46">
        <v>36</v>
      </c>
      <c r="BD43" s="46">
        <f t="shared" si="36"/>
        <v>13</v>
      </c>
      <c r="BE43" s="46">
        <f t="shared" ca="1" si="37"/>
        <v>15017</v>
      </c>
      <c r="BF43" s="46">
        <f t="shared" ca="1" si="68"/>
        <v>13878</v>
      </c>
      <c r="BG43" s="46">
        <f t="shared" ca="1" si="69"/>
        <v>1574.6708841029067</v>
      </c>
      <c r="BH43" s="46">
        <v>36</v>
      </c>
      <c r="BI43" s="46">
        <f t="shared" si="38"/>
        <v>29</v>
      </c>
      <c r="BJ43" s="46">
        <f t="shared" ca="1" si="39"/>
        <v>32547</v>
      </c>
      <c r="BK43" s="46">
        <f t="shared" ca="1" si="70"/>
        <v>31408</v>
      </c>
      <c r="BL43" s="46">
        <f t="shared" ca="1" si="71"/>
        <v>1574.6708841029067</v>
      </c>
      <c r="BM43" s="46">
        <v>36</v>
      </c>
      <c r="BN43" s="46" t="e">
        <f t="shared" si="40"/>
        <v>#N/A</v>
      </c>
      <c r="BO43" s="46" t="e">
        <f t="shared" ca="1" si="41"/>
        <v>#N/A</v>
      </c>
      <c r="BP43" s="46" t="e">
        <f t="shared" ca="1" si="72"/>
        <v>#N/A</v>
      </c>
      <c r="BQ43" s="46" t="e">
        <f t="shared" ca="1" si="73"/>
        <v>#N/A</v>
      </c>
      <c r="BR43" s="46">
        <v>36</v>
      </c>
      <c r="BS43" s="46">
        <f t="shared" si="42"/>
        <v>57</v>
      </c>
      <c r="BT43" s="46">
        <f t="shared" ca="1" si="43"/>
        <v>63805</v>
      </c>
      <c r="BU43" s="46">
        <f t="shared" ca="1" si="74"/>
        <v>62666</v>
      </c>
      <c r="BV43" s="46">
        <f t="shared" ca="1" si="75"/>
        <v>1574.6708841029067</v>
      </c>
      <c r="BW43" s="46">
        <v>36</v>
      </c>
      <c r="BX43" s="46">
        <f t="shared" si="44"/>
        <v>85</v>
      </c>
      <c r="BY43" s="46">
        <f t="shared" ca="1" si="45"/>
        <v>95063</v>
      </c>
      <c r="BZ43" s="46">
        <f t="shared" ca="1" si="76"/>
        <v>93924</v>
      </c>
      <c r="CA43" s="46">
        <f t="shared" ca="1" si="77"/>
        <v>1574.6708841029067</v>
      </c>
      <c r="CC43" s="51"/>
      <c r="CD43" s="52"/>
      <c r="CE43" s="52"/>
      <c r="CF43" s="52"/>
      <c r="CG43" s="52"/>
      <c r="CH43" s="53"/>
      <c r="CI43" s="325"/>
      <c r="CJ43" s="52">
        <v>8</v>
      </c>
      <c r="CK43" s="59" t="str">
        <f t="shared" si="57"/>
        <v/>
      </c>
      <c r="CL43" s="59" t="str">
        <f t="shared" si="58"/>
        <v/>
      </c>
      <c r="CM43" s="52" t="e">
        <f t="shared" si="59"/>
        <v>#N/A</v>
      </c>
      <c r="CN43" s="52" t="e">
        <f t="shared" si="60"/>
        <v>#N/A</v>
      </c>
      <c r="CO43" s="52" t="e">
        <f t="shared" si="61"/>
        <v>#N/A</v>
      </c>
      <c r="CP43" s="52" t="e">
        <f t="shared" si="62"/>
        <v>#N/A</v>
      </c>
      <c r="CQ43" s="54" t="e">
        <f t="shared" si="63"/>
        <v>#N/A</v>
      </c>
      <c r="CR43" s="55" t="e">
        <f t="shared" si="31"/>
        <v>#N/A</v>
      </c>
      <c r="CS43" s="56" t="e">
        <f t="shared" si="32"/>
        <v>#N/A</v>
      </c>
      <c r="CT43" s="56" t="e">
        <f t="shared" si="33"/>
        <v>#N/A</v>
      </c>
      <c r="CU43" s="56" t="e">
        <f t="shared" si="46"/>
        <v>#N/A</v>
      </c>
      <c r="CV43" s="56" t="e">
        <f t="shared" si="47"/>
        <v>#N/A</v>
      </c>
      <c r="CW43" s="56" t="e">
        <f t="shared" si="64"/>
        <v>#N/A</v>
      </c>
      <c r="CX43" s="57" t="e">
        <f t="shared" si="65"/>
        <v>#N/A</v>
      </c>
    </row>
    <row r="44" spans="1:102" x14ac:dyDescent="0.25">
      <c r="A44" s="43"/>
      <c r="C44" s="42"/>
      <c r="D44" s="43"/>
      <c r="E44" s="43"/>
      <c r="F44" s="43"/>
      <c r="G44" s="43"/>
      <c r="H44" s="43"/>
      <c r="V44" s="43"/>
      <c r="AC44" s="43"/>
      <c r="AD44" s="43"/>
      <c r="AF44" s="42"/>
      <c r="AG44" s="42"/>
      <c r="AH44" s="45"/>
      <c r="AI44" s="186"/>
      <c r="AJ44" s="48"/>
      <c r="AK44" s="42"/>
      <c r="AL44" s="42"/>
      <c r="AM44" s="42"/>
      <c r="AN44" s="43"/>
      <c r="AO44" s="43"/>
      <c r="AP44" s="43"/>
      <c r="AQ44" s="43"/>
      <c r="AR44" s="43"/>
      <c r="AS44" s="43"/>
      <c r="AT44" s="43"/>
      <c r="AU44" s="43"/>
      <c r="AV44" s="43"/>
      <c r="AW44" s="46"/>
      <c r="AX44" s="46"/>
      <c r="AY44" s="46">
        <v>39</v>
      </c>
      <c r="AZ44" s="46">
        <f t="shared" si="66"/>
        <v>0</v>
      </c>
      <c r="BA44" s="46">
        <f t="shared" si="67"/>
        <v>42843</v>
      </c>
      <c r="BB44" s="46">
        <v>39</v>
      </c>
      <c r="BC44" s="46">
        <v>37</v>
      </c>
      <c r="BD44" s="46">
        <f t="shared" si="36"/>
        <v>13</v>
      </c>
      <c r="BE44" s="46">
        <f t="shared" ca="1" si="37"/>
        <v>15017</v>
      </c>
      <c r="BF44" s="46">
        <f t="shared" ca="1" si="68"/>
        <v>15012</v>
      </c>
      <c r="BG44" s="46">
        <f t="shared" ca="1" si="69"/>
        <v>1574.6708841029067</v>
      </c>
      <c r="BH44" s="46">
        <v>37</v>
      </c>
      <c r="BI44" s="46">
        <f t="shared" si="38"/>
        <v>29</v>
      </c>
      <c r="BJ44" s="46">
        <f t="shared" ca="1" si="39"/>
        <v>32547</v>
      </c>
      <c r="BK44" s="46">
        <f t="shared" ca="1" si="70"/>
        <v>32542</v>
      </c>
      <c r="BL44" s="46">
        <f t="shared" ca="1" si="71"/>
        <v>1574.6708841029067</v>
      </c>
      <c r="BM44" s="46">
        <v>37</v>
      </c>
      <c r="BN44" s="46" t="e">
        <f t="shared" si="40"/>
        <v>#N/A</v>
      </c>
      <c r="BO44" s="46" t="e">
        <f t="shared" ca="1" si="41"/>
        <v>#N/A</v>
      </c>
      <c r="BP44" s="46" t="e">
        <f t="shared" ca="1" si="72"/>
        <v>#N/A</v>
      </c>
      <c r="BQ44" s="46" t="e">
        <f t="shared" ca="1" si="73"/>
        <v>#N/A</v>
      </c>
      <c r="BR44" s="46">
        <v>37</v>
      </c>
      <c r="BS44" s="46">
        <f t="shared" si="42"/>
        <v>57</v>
      </c>
      <c r="BT44" s="46">
        <f t="shared" ca="1" si="43"/>
        <v>63805</v>
      </c>
      <c r="BU44" s="46">
        <f t="shared" ca="1" si="74"/>
        <v>63800</v>
      </c>
      <c r="BV44" s="46">
        <f t="shared" ca="1" si="75"/>
        <v>1574.6708841029067</v>
      </c>
      <c r="BW44" s="46">
        <v>37</v>
      </c>
      <c r="BX44" s="46">
        <f t="shared" si="44"/>
        <v>85</v>
      </c>
      <c r="BY44" s="46">
        <f t="shared" ca="1" si="45"/>
        <v>95063</v>
      </c>
      <c r="BZ44" s="46">
        <f t="shared" ca="1" si="76"/>
        <v>95058</v>
      </c>
      <c r="CA44" s="46">
        <f t="shared" ca="1" si="77"/>
        <v>1574.6708841029067</v>
      </c>
      <c r="CC44" s="51"/>
      <c r="CD44" s="52"/>
      <c r="CE44" s="52"/>
      <c r="CF44" s="52"/>
      <c r="CG44" s="52"/>
      <c r="CH44" s="53"/>
      <c r="CI44" s="325"/>
      <c r="CJ44" s="52">
        <v>9</v>
      </c>
      <c r="CK44" s="59" t="str">
        <f t="shared" si="57"/>
        <v/>
      </c>
      <c r="CL44" s="59" t="str">
        <f t="shared" si="58"/>
        <v/>
      </c>
      <c r="CM44" s="52" t="e">
        <f t="shared" si="59"/>
        <v>#N/A</v>
      </c>
      <c r="CN44" s="52" t="e">
        <f t="shared" si="60"/>
        <v>#N/A</v>
      </c>
      <c r="CO44" s="52" t="e">
        <f t="shared" si="61"/>
        <v>#N/A</v>
      </c>
      <c r="CP44" s="52" t="e">
        <f t="shared" si="62"/>
        <v>#N/A</v>
      </c>
      <c r="CQ44" s="54" t="e">
        <f t="shared" si="63"/>
        <v>#N/A</v>
      </c>
      <c r="CR44" s="55" t="e">
        <f t="shared" si="31"/>
        <v>#N/A</v>
      </c>
      <c r="CS44" s="56" t="e">
        <f t="shared" si="32"/>
        <v>#N/A</v>
      </c>
      <c r="CT44" s="56" t="e">
        <f t="shared" si="33"/>
        <v>#N/A</v>
      </c>
      <c r="CU44" s="56" t="e">
        <f t="shared" si="46"/>
        <v>#N/A</v>
      </c>
      <c r="CV44" s="56" t="e">
        <f t="shared" si="47"/>
        <v>#N/A</v>
      </c>
      <c r="CW44" s="56" t="e">
        <f t="shared" si="64"/>
        <v>#N/A</v>
      </c>
      <c r="CX44" s="57" t="e">
        <f t="shared" si="65"/>
        <v>#N/A</v>
      </c>
    </row>
    <row r="45" spans="1:102" ht="17" thickBot="1" x14ac:dyDescent="0.3">
      <c r="A45" s="43"/>
      <c r="C45" s="42"/>
      <c r="D45" s="43"/>
      <c r="E45" s="43"/>
      <c r="F45" s="43"/>
      <c r="G45" s="43"/>
      <c r="H45" s="43"/>
      <c r="V45" s="43"/>
      <c r="AC45" s="43"/>
      <c r="AD45" s="43"/>
      <c r="AF45" s="42"/>
      <c r="AG45" s="42"/>
      <c r="AH45" s="45"/>
      <c r="AI45" s="186"/>
      <c r="AJ45" s="48"/>
      <c r="AK45" s="42"/>
      <c r="AL45" s="42"/>
      <c r="AM45" s="42"/>
      <c r="AN45" s="43"/>
      <c r="AO45" s="43"/>
      <c r="AP45" s="43"/>
      <c r="AQ45" s="43"/>
      <c r="AR45" s="43"/>
      <c r="AS45" s="43"/>
      <c r="AT45" s="43"/>
      <c r="AU45" s="43"/>
      <c r="AV45" s="43"/>
      <c r="AW45" s="46"/>
      <c r="AX45" s="46"/>
      <c r="AY45" s="46">
        <v>40</v>
      </c>
      <c r="AZ45" s="46">
        <f t="shared" si="66"/>
        <v>0</v>
      </c>
      <c r="BA45" s="46">
        <f t="shared" si="67"/>
        <v>43987</v>
      </c>
      <c r="BB45" s="46">
        <v>40</v>
      </c>
      <c r="BC45" s="46">
        <v>38</v>
      </c>
      <c r="BD45" s="46">
        <f t="shared" si="36"/>
        <v>13</v>
      </c>
      <c r="BE45" s="46">
        <f t="shared" ca="1" si="37"/>
        <v>15017</v>
      </c>
      <c r="BF45" s="46">
        <f t="shared" ca="1" si="68"/>
        <v>15017</v>
      </c>
      <c r="BG45" s="46">
        <f t="shared" ca="1" si="69"/>
        <v>1429.6708841029067</v>
      </c>
      <c r="BH45" s="46">
        <v>38</v>
      </c>
      <c r="BI45" s="46">
        <f t="shared" si="38"/>
        <v>29</v>
      </c>
      <c r="BJ45" s="46">
        <f t="shared" ca="1" si="39"/>
        <v>32547</v>
      </c>
      <c r="BK45" s="46">
        <f t="shared" ca="1" si="70"/>
        <v>32547</v>
      </c>
      <c r="BL45" s="46">
        <f t="shared" ca="1" si="71"/>
        <v>1429.6708841029067</v>
      </c>
      <c r="BM45" s="46">
        <v>38</v>
      </c>
      <c r="BN45" s="46" t="e">
        <f t="shared" si="40"/>
        <v>#N/A</v>
      </c>
      <c r="BO45" s="46" t="e">
        <f t="shared" ca="1" si="41"/>
        <v>#N/A</v>
      </c>
      <c r="BP45" s="46" t="e">
        <f t="shared" ca="1" si="72"/>
        <v>#N/A</v>
      </c>
      <c r="BQ45" s="46" t="e">
        <f t="shared" ca="1" si="73"/>
        <v>#N/A</v>
      </c>
      <c r="BR45" s="46">
        <v>38</v>
      </c>
      <c r="BS45" s="46">
        <f t="shared" si="42"/>
        <v>57</v>
      </c>
      <c r="BT45" s="46">
        <f t="shared" ca="1" si="43"/>
        <v>63805</v>
      </c>
      <c r="BU45" s="46">
        <f t="shared" ca="1" si="74"/>
        <v>63805</v>
      </c>
      <c r="BV45" s="46">
        <f t="shared" ca="1" si="75"/>
        <v>1429.6708841029067</v>
      </c>
      <c r="BW45" s="46">
        <v>38</v>
      </c>
      <c r="BX45" s="46">
        <f t="shared" si="44"/>
        <v>85</v>
      </c>
      <c r="BY45" s="46">
        <f t="shared" ca="1" si="45"/>
        <v>95063</v>
      </c>
      <c r="BZ45" s="46">
        <f t="shared" ca="1" si="76"/>
        <v>95063</v>
      </c>
      <c r="CA45" s="46">
        <f t="shared" ca="1" si="77"/>
        <v>1429.6708841029067</v>
      </c>
      <c r="CC45" s="51"/>
      <c r="CD45" s="52"/>
      <c r="CE45" s="52"/>
      <c r="CF45" s="52"/>
      <c r="CG45" s="52"/>
      <c r="CH45" s="53"/>
      <c r="CI45" s="326"/>
      <c r="CJ45" s="198">
        <v>10</v>
      </c>
      <c r="CK45" s="199" t="str">
        <f t="shared" si="57"/>
        <v/>
      </c>
      <c r="CL45" s="199" t="str">
        <f t="shared" si="58"/>
        <v/>
      </c>
      <c r="CM45" s="198" t="e">
        <f t="shared" si="59"/>
        <v>#N/A</v>
      </c>
      <c r="CN45" s="198" t="e">
        <f t="shared" si="60"/>
        <v>#N/A</v>
      </c>
      <c r="CO45" s="198" t="e">
        <f t="shared" si="61"/>
        <v>#N/A</v>
      </c>
      <c r="CP45" s="198" t="e">
        <f t="shared" si="62"/>
        <v>#N/A</v>
      </c>
      <c r="CQ45" s="200" t="e">
        <f t="shared" si="63"/>
        <v>#N/A</v>
      </c>
      <c r="CR45" s="55" t="e">
        <f t="shared" si="31"/>
        <v>#N/A</v>
      </c>
      <c r="CS45" s="56" t="e">
        <f t="shared" si="32"/>
        <v>#N/A</v>
      </c>
      <c r="CT45" s="56" t="e">
        <f t="shared" si="33"/>
        <v>#N/A</v>
      </c>
      <c r="CU45" s="56" t="e">
        <f t="shared" si="46"/>
        <v>#N/A</v>
      </c>
      <c r="CV45" s="56" t="e">
        <f t="shared" si="47"/>
        <v>#N/A</v>
      </c>
      <c r="CW45" s="56" t="e">
        <f t="shared" si="64"/>
        <v>#N/A</v>
      </c>
      <c r="CX45" s="57" t="e">
        <f t="shared" si="65"/>
        <v>#N/A</v>
      </c>
    </row>
    <row r="46" spans="1:102" x14ac:dyDescent="0.25">
      <c r="A46" s="43"/>
      <c r="C46" s="42"/>
      <c r="D46" s="43"/>
      <c r="E46" s="43"/>
      <c r="F46" s="43"/>
      <c r="G46" s="43"/>
      <c r="H46" s="43"/>
      <c r="V46" s="43"/>
      <c r="AC46" s="43"/>
      <c r="AD46" s="43"/>
      <c r="AF46" s="42"/>
      <c r="AG46" s="42"/>
      <c r="AH46" s="45"/>
      <c r="AI46" s="186"/>
      <c r="AJ46" s="48"/>
      <c r="AK46" s="42"/>
      <c r="AL46" s="42"/>
      <c r="AM46" s="42"/>
      <c r="AN46" s="43"/>
      <c r="AO46" s="43"/>
      <c r="AP46" s="43"/>
      <c r="AQ46" s="43"/>
      <c r="AR46" s="43"/>
      <c r="AS46" s="43"/>
      <c r="AT46" s="43"/>
      <c r="AU46" s="43"/>
      <c r="AV46" s="43"/>
      <c r="AW46" s="46"/>
      <c r="AX46" s="46"/>
      <c r="AY46" s="46">
        <v>41</v>
      </c>
      <c r="AZ46" s="46">
        <f t="shared" si="66"/>
        <v>0</v>
      </c>
      <c r="BA46" s="46">
        <f t="shared" si="67"/>
        <v>45131</v>
      </c>
      <c r="BB46" s="46">
        <v>41</v>
      </c>
      <c r="BC46" s="46">
        <v>39</v>
      </c>
      <c r="BD46" s="46">
        <f t="shared" si="36"/>
        <v>14</v>
      </c>
      <c r="BE46" s="46">
        <f t="shared" ca="1" si="37"/>
        <v>16161</v>
      </c>
      <c r="BF46" s="46">
        <f t="shared" ca="1" si="68"/>
        <v>15022</v>
      </c>
      <c r="BG46" s="46">
        <f t="shared" ca="1" si="69"/>
        <v>1574.6708841029067</v>
      </c>
      <c r="BH46" s="46">
        <v>39</v>
      </c>
      <c r="BI46" s="46">
        <f t="shared" si="38"/>
        <v>30</v>
      </c>
      <c r="BJ46" s="46">
        <f t="shared" ca="1" si="39"/>
        <v>33691</v>
      </c>
      <c r="BK46" s="46">
        <f t="shared" ca="1" si="70"/>
        <v>32552</v>
      </c>
      <c r="BL46" s="46">
        <f t="shared" ca="1" si="71"/>
        <v>1574.6708841029067</v>
      </c>
      <c r="BM46" s="46">
        <v>39</v>
      </c>
      <c r="BN46" s="46" t="e">
        <f t="shared" si="40"/>
        <v>#N/A</v>
      </c>
      <c r="BO46" s="46" t="e">
        <f t="shared" ca="1" si="41"/>
        <v>#N/A</v>
      </c>
      <c r="BP46" s="46" t="e">
        <f t="shared" ca="1" si="72"/>
        <v>#N/A</v>
      </c>
      <c r="BQ46" s="46" t="e">
        <f t="shared" ca="1" si="73"/>
        <v>#N/A</v>
      </c>
      <c r="BR46" s="46">
        <v>39</v>
      </c>
      <c r="BS46" s="46">
        <f t="shared" si="42"/>
        <v>58</v>
      </c>
      <c r="BT46" s="46">
        <f t="shared" ca="1" si="43"/>
        <v>64949</v>
      </c>
      <c r="BU46" s="46">
        <f t="shared" ca="1" si="74"/>
        <v>63810</v>
      </c>
      <c r="BV46" s="46">
        <f t="shared" ca="1" si="75"/>
        <v>1574.6708841029067</v>
      </c>
      <c r="BW46" s="46">
        <v>39</v>
      </c>
      <c r="BX46" s="46">
        <f t="shared" si="44"/>
        <v>86</v>
      </c>
      <c r="BY46" s="46">
        <f t="shared" ca="1" si="45"/>
        <v>96207</v>
      </c>
      <c r="BZ46" s="46">
        <f t="shared" ca="1" si="76"/>
        <v>95068</v>
      </c>
      <c r="CA46" s="46">
        <f t="shared" ca="1" si="77"/>
        <v>1574.6708841029067</v>
      </c>
      <c r="CC46" s="51"/>
      <c r="CD46" s="52"/>
      <c r="CE46" s="52"/>
      <c r="CF46" s="52"/>
      <c r="CG46" s="52"/>
      <c r="CH46" s="53"/>
      <c r="CI46" s="327" t="s">
        <v>627</v>
      </c>
      <c r="CJ46" s="192">
        <v>1</v>
      </c>
      <c r="CK46" s="193">
        <f t="shared" ref="CK46:CK54" si="78">IF(X26 = "", "", X26)</f>
        <v>87762</v>
      </c>
      <c r="CL46" s="193" t="str">
        <f t="shared" ref="CL46:CL55" si="79">IF(X26 = "", "", W26)</f>
        <v>H200x100x4.3x5.2-Q235</v>
      </c>
      <c r="CM46" s="192" t="e">
        <f t="shared" si="59"/>
        <v>#N/A</v>
      </c>
      <c r="CN46" s="192" t="e">
        <f t="shared" si="60"/>
        <v>#N/A</v>
      </c>
      <c r="CO46" s="192" t="e">
        <f t="shared" si="61"/>
        <v>#N/A</v>
      </c>
      <c r="CP46" s="192" t="e">
        <f t="shared" si="62"/>
        <v>#N/A</v>
      </c>
      <c r="CQ46" s="194" t="e">
        <f t="shared" si="63"/>
        <v>#N/A</v>
      </c>
      <c r="CR46" s="55" t="e">
        <f t="shared" si="31"/>
        <v>#N/A</v>
      </c>
      <c r="CS46" s="56" t="e">
        <f t="shared" si="32"/>
        <v>#N/A</v>
      </c>
      <c r="CT46" s="56" t="e">
        <f t="shared" si="33"/>
        <v>#N/A</v>
      </c>
      <c r="CU46" s="56" t="e">
        <f t="shared" si="46"/>
        <v>#N/A</v>
      </c>
      <c r="CV46" s="56" t="e">
        <f t="shared" si="47"/>
        <v>#N/A</v>
      </c>
      <c r="CW46" s="56">
        <f t="shared" si="64"/>
        <v>87762</v>
      </c>
      <c r="CX46" s="57">
        <f t="shared" si="65"/>
        <v>1</v>
      </c>
    </row>
    <row r="47" spans="1:102" x14ac:dyDescent="0.25">
      <c r="A47" s="43"/>
      <c r="C47" s="42"/>
      <c r="D47" s="43"/>
      <c r="E47" s="43"/>
      <c r="F47" s="43"/>
      <c r="G47" s="43"/>
      <c r="H47" s="43"/>
      <c r="Q47" s="43"/>
      <c r="R47" s="42"/>
      <c r="V47" s="43"/>
      <c r="AC47" s="43"/>
      <c r="AD47" s="43"/>
      <c r="AF47" s="42"/>
      <c r="AG47" s="42"/>
      <c r="AH47" s="45"/>
      <c r="AI47" s="186"/>
      <c r="AJ47" s="48"/>
      <c r="AK47" s="42"/>
      <c r="AL47" s="42"/>
      <c r="AM47" s="42"/>
      <c r="AN47" s="43"/>
      <c r="AO47" s="43"/>
      <c r="AP47" s="43"/>
      <c r="AQ47" s="43"/>
      <c r="AR47" s="43"/>
      <c r="AS47" s="43"/>
      <c r="AT47" s="43"/>
      <c r="AU47" s="43"/>
      <c r="AV47" s="43"/>
      <c r="AW47" s="46"/>
      <c r="AX47" s="46"/>
      <c r="AY47" s="46">
        <v>42</v>
      </c>
      <c r="AZ47" s="46">
        <f t="shared" si="66"/>
        <v>0</v>
      </c>
      <c r="BA47" s="46">
        <f t="shared" si="67"/>
        <v>46275</v>
      </c>
      <c r="BB47" s="46">
        <v>42</v>
      </c>
      <c r="BC47" s="46">
        <v>40</v>
      </c>
      <c r="BD47" s="46">
        <f t="shared" si="36"/>
        <v>14</v>
      </c>
      <c r="BE47" s="46">
        <f t="shared" ca="1" si="37"/>
        <v>16161</v>
      </c>
      <c r="BF47" s="46">
        <f t="shared" ca="1" si="68"/>
        <v>16156</v>
      </c>
      <c r="BG47" s="46">
        <f t="shared" ca="1" si="69"/>
        <v>1574.6708841029067</v>
      </c>
      <c r="BH47" s="46">
        <v>40</v>
      </c>
      <c r="BI47" s="46">
        <f t="shared" si="38"/>
        <v>30</v>
      </c>
      <c r="BJ47" s="46">
        <f t="shared" ca="1" si="39"/>
        <v>33691</v>
      </c>
      <c r="BK47" s="46">
        <f t="shared" ca="1" si="70"/>
        <v>33686</v>
      </c>
      <c r="BL47" s="46">
        <f t="shared" ca="1" si="71"/>
        <v>1574.6708841029067</v>
      </c>
      <c r="BM47" s="46">
        <v>40</v>
      </c>
      <c r="BN47" s="46" t="e">
        <f t="shared" si="40"/>
        <v>#N/A</v>
      </c>
      <c r="BO47" s="46" t="e">
        <f t="shared" ca="1" si="41"/>
        <v>#N/A</v>
      </c>
      <c r="BP47" s="46" t="e">
        <f t="shared" ca="1" si="72"/>
        <v>#N/A</v>
      </c>
      <c r="BQ47" s="46" t="e">
        <f t="shared" ca="1" si="73"/>
        <v>#N/A</v>
      </c>
      <c r="BR47" s="46">
        <v>40</v>
      </c>
      <c r="BS47" s="46">
        <f t="shared" si="42"/>
        <v>58</v>
      </c>
      <c r="BT47" s="46">
        <f t="shared" ca="1" si="43"/>
        <v>64949</v>
      </c>
      <c r="BU47" s="46">
        <f t="shared" ca="1" si="74"/>
        <v>64944</v>
      </c>
      <c r="BV47" s="46">
        <f t="shared" ca="1" si="75"/>
        <v>1574.6708841029067</v>
      </c>
      <c r="BW47" s="46">
        <v>40</v>
      </c>
      <c r="BX47" s="46">
        <f t="shared" si="44"/>
        <v>86</v>
      </c>
      <c r="BY47" s="46">
        <f t="shared" ca="1" si="45"/>
        <v>96207</v>
      </c>
      <c r="BZ47" s="46">
        <f t="shared" ca="1" si="76"/>
        <v>96202</v>
      </c>
      <c r="CA47" s="46">
        <f t="shared" ca="1" si="77"/>
        <v>1574.6708841029067</v>
      </c>
      <c r="CC47" s="51"/>
      <c r="CD47" s="52"/>
      <c r="CE47" s="52"/>
      <c r="CF47" s="52"/>
      <c r="CG47" s="52"/>
      <c r="CH47" s="53"/>
      <c r="CI47" s="325"/>
      <c r="CJ47" s="52">
        <v>2</v>
      </c>
      <c r="CK47" s="59">
        <f t="shared" si="78"/>
        <v>95462</v>
      </c>
      <c r="CL47" s="59" t="str">
        <f t="shared" si="79"/>
        <v>H200x100x4.3x5.2-Q235</v>
      </c>
      <c r="CM47" s="52" t="e">
        <f t="shared" si="59"/>
        <v>#N/A</v>
      </c>
      <c r="CN47" s="52" t="e">
        <f t="shared" si="60"/>
        <v>#N/A</v>
      </c>
      <c r="CO47" s="52" t="e">
        <f t="shared" si="61"/>
        <v>#N/A</v>
      </c>
      <c r="CP47" s="52" t="e">
        <f t="shared" si="62"/>
        <v>#N/A</v>
      </c>
      <c r="CQ47" s="54" t="e">
        <f t="shared" si="63"/>
        <v>#N/A</v>
      </c>
      <c r="CR47" s="55" t="e">
        <f t="shared" si="31"/>
        <v>#N/A</v>
      </c>
      <c r="CS47" s="56" t="e">
        <f t="shared" si="32"/>
        <v>#N/A</v>
      </c>
      <c r="CT47" s="56" t="e">
        <f t="shared" si="33"/>
        <v>#N/A</v>
      </c>
      <c r="CU47" s="56" t="e">
        <f t="shared" si="46"/>
        <v>#N/A</v>
      </c>
      <c r="CV47" s="56" t="e">
        <f t="shared" si="47"/>
        <v>#N/A</v>
      </c>
      <c r="CW47" s="56">
        <f t="shared" si="64"/>
        <v>95462</v>
      </c>
      <c r="CX47" s="57">
        <f t="shared" si="65"/>
        <v>2</v>
      </c>
    </row>
    <row r="48" spans="1:102" x14ac:dyDescent="0.25">
      <c r="A48" s="43"/>
      <c r="C48" s="42"/>
      <c r="D48" s="43"/>
      <c r="E48" s="43"/>
      <c r="F48" s="43"/>
      <c r="G48" s="43"/>
      <c r="H48" s="43"/>
      <c r="V48" s="43"/>
      <c r="AC48" s="43"/>
      <c r="AD48" s="43"/>
      <c r="AF48" s="42"/>
      <c r="AG48" s="42"/>
      <c r="AH48" s="45"/>
      <c r="AI48" s="186"/>
      <c r="AJ48" s="48"/>
      <c r="AK48" s="42"/>
      <c r="AL48" s="42"/>
      <c r="AM48" s="42"/>
      <c r="AN48" s="43"/>
      <c r="AO48" s="43"/>
      <c r="AP48" s="43"/>
      <c r="AQ48" s="43"/>
      <c r="AR48" s="43"/>
      <c r="AS48" s="43"/>
      <c r="AT48" s="43"/>
      <c r="AU48" s="43"/>
      <c r="AV48" s="43"/>
      <c r="AW48" s="46"/>
      <c r="AX48" s="46"/>
      <c r="AY48" s="46">
        <v>43</v>
      </c>
      <c r="AZ48" s="46">
        <f t="shared" si="66"/>
        <v>0</v>
      </c>
      <c r="BA48" s="46">
        <f t="shared" si="67"/>
        <v>47419</v>
      </c>
      <c r="BB48" s="46">
        <v>43</v>
      </c>
      <c r="BC48" s="46">
        <v>41</v>
      </c>
      <c r="BD48" s="46">
        <f t="shared" si="36"/>
        <v>14</v>
      </c>
      <c r="BE48" s="46">
        <f t="shared" ca="1" si="37"/>
        <v>16161</v>
      </c>
      <c r="BF48" s="46">
        <f t="shared" ca="1" si="68"/>
        <v>16161</v>
      </c>
      <c r="BG48" s="46">
        <f t="shared" ca="1" si="69"/>
        <v>1429.6708841029067</v>
      </c>
      <c r="BH48" s="46">
        <v>41</v>
      </c>
      <c r="BI48" s="46">
        <f t="shared" si="38"/>
        <v>30</v>
      </c>
      <c r="BJ48" s="46">
        <f t="shared" ca="1" si="39"/>
        <v>33691</v>
      </c>
      <c r="BK48" s="46">
        <f t="shared" ca="1" si="70"/>
        <v>33691</v>
      </c>
      <c r="BL48" s="46">
        <f t="shared" ca="1" si="71"/>
        <v>1429.6708841029067</v>
      </c>
      <c r="BM48" s="46">
        <v>41</v>
      </c>
      <c r="BN48" s="46" t="e">
        <f t="shared" si="40"/>
        <v>#N/A</v>
      </c>
      <c r="BO48" s="46" t="e">
        <f t="shared" ca="1" si="41"/>
        <v>#N/A</v>
      </c>
      <c r="BP48" s="46" t="e">
        <f t="shared" ca="1" si="72"/>
        <v>#N/A</v>
      </c>
      <c r="BQ48" s="46" t="e">
        <f t="shared" ca="1" si="73"/>
        <v>#N/A</v>
      </c>
      <c r="BR48" s="46">
        <v>41</v>
      </c>
      <c r="BS48" s="46">
        <f t="shared" si="42"/>
        <v>58</v>
      </c>
      <c r="BT48" s="46">
        <f t="shared" ca="1" si="43"/>
        <v>64949</v>
      </c>
      <c r="BU48" s="46">
        <f t="shared" ca="1" si="74"/>
        <v>64949</v>
      </c>
      <c r="BV48" s="46">
        <f t="shared" ca="1" si="75"/>
        <v>1429.6708841029067</v>
      </c>
      <c r="BW48" s="46">
        <v>41</v>
      </c>
      <c r="BX48" s="46">
        <f t="shared" si="44"/>
        <v>86</v>
      </c>
      <c r="BY48" s="46">
        <f t="shared" ca="1" si="45"/>
        <v>96207</v>
      </c>
      <c r="BZ48" s="46">
        <f t="shared" ca="1" si="76"/>
        <v>96207</v>
      </c>
      <c r="CA48" s="46">
        <f t="shared" ca="1" si="77"/>
        <v>1429.6708841029067</v>
      </c>
      <c r="CC48" s="51"/>
      <c r="CD48" s="52"/>
      <c r="CE48" s="52"/>
      <c r="CF48" s="52"/>
      <c r="CG48" s="52"/>
      <c r="CH48" s="53"/>
      <c r="CI48" s="325"/>
      <c r="CJ48" s="52">
        <v>3</v>
      </c>
      <c r="CK48" s="59" t="str">
        <f t="shared" si="78"/>
        <v/>
      </c>
      <c r="CL48" s="59" t="str">
        <f t="shared" si="79"/>
        <v/>
      </c>
      <c r="CM48" s="52" t="e">
        <f t="shared" si="59"/>
        <v>#N/A</v>
      </c>
      <c r="CN48" s="52" t="e">
        <f t="shared" si="60"/>
        <v>#N/A</v>
      </c>
      <c r="CO48" s="52" t="e">
        <f t="shared" si="61"/>
        <v>#N/A</v>
      </c>
      <c r="CP48" s="52" t="e">
        <f t="shared" si="62"/>
        <v>#N/A</v>
      </c>
      <c r="CQ48" s="54" t="e">
        <f t="shared" si="63"/>
        <v>#N/A</v>
      </c>
      <c r="CR48" s="55" t="e">
        <f t="shared" si="31"/>
        <v>#N/A</v>
      </c>
      <c r="CS48" s="56" t="e">
        <f t="shared" si="32"/>
        <v>#N/A</v>
      </c>
      <c r="CT48" s="56" t="e">
        <f t="shared" si="33"/>
        <v>#N/A</v>
      </c>
      <c r="CU48" s="56" t="e">
        <f t="shared" si="46"/>
        <v>#N/A</v>
      </c>
      <c r="CV48" s="56" t="e">
        <f t="shared" si="47"/>
        <v>#N/A</v>
      </c>
      <c r="CW48" s="56" t="e">
        <f t="shared" si="64"/>
        <v>#N/A</v>
      </c>
      <c r="CX48" s="57" t="e">
        <f t="shared" si="65"/>
        <v>#N/A</v>
      </c>
    </row>
    <row r="49" spans="1:102" x14ac:dyDescent="0.25">
      <c r="A49" s="43"/>
      <c r="C49" s="42"/>
      <c r="D49" s="43"/>
      <c r="E49" s="43"/>
      <c r="F49" s="43"/>
      <c r="G49" s="43"/>
      <c r="H49" s="43"/>
      <c r="V49" s="43"/>
      <c r="AC49" s="43"/>
      <c r="AD49" s="43"/>
      <c r="AF49" s="42"/>
      <c r="AG49" s="42"/>
      <c r="AH49" s="45"/>
      <c r="AI49" s="186"/>
      <c r="AJ49" s="48"/>
      <c r="AK49" s="42"/>
      <c r="AL49" s="42"/>
      <c r="AM49" s="42"/>
      <c r="AN49" s="43"/>
      <c r="AO49" s="43"/>
      <c r="AP49" s="43"/>
      <c r="AQ49" s="43"/>
      <c r="AR49" s="43"/>
      <c r="AS49" s="43"/>
      <c r="AT49" s="43"/>
      <c r="AU49" s="43"/>
      <c r="AV49" s="43"/>
      <c r="AW49" s="46"/>
      <c r="AX49" s="46"/>
      <c r="AY49" s="46">
        <v>44</v>
      </c>
      <c r="AZ49" s="46">
        <f t="shared" si="66"/>
        <v>0</v>
      </c>
      <c r="BA49" s="46">
        <f t="shared" si="67"/>
        <v>48563</v>
      </c>
      <c r="BB49" s="46">
        <v>44</v>
      </c>
      <c r="BC49" s="46">
        <v>42</v>
      </c>
      <c r="BD49" s="46">
        <f t="shared" si="36"/>
        <v>15</v>
      </c>
      <c r="BE49" s="46">
        <f t="shared" ca="1" si="37"/>
        <v>17305</v>
      </c>
      <c r="BF49" s="46">
        <f t="shared" ca="1" si="68"/>
        <v>16166</v>
      </c>
      <c r="BG49" s="46">
        <f t="shared" ca="1" si="69"/>
        <v>1574.6708841029067</v>
      </c>
      <c r="BH49" s="46">
        <v>42</v>
      </c>
      <c r="BI49" s="46">
        <f t="shared" si="38"/>
        <v>31</v>
      </c>
      <c r="BJ49" s="46">
        <f t="shared" ca="1" si="39"/>
        <v>34835</v>
      </c>
      <c r="BK49" s="46">
        <f t="shared" ca="1" si="70"/>
        <v>33696</v>
      </c>
      <c r="BL49" s="46">
        <f t="shared" ca="1" si="71"/>
        <v>1574.6708841029067</v>
      </c>
      <c r="BM49" s="46">
        <v>42</v>
      </c>
      <c r="BN49" s="46" t="e">
        <f t="shared" si="40"/>
        <v>#N/A</v>
      </c>
      <c r="BO49" s="46" t="e">
        <f t="shared" ca="1" si="41"/>
        <v>#N/A</v>
      </c>
      <c r="BP49" s="46" t="e">
        <f t="shared" ca="1" si="72"/>
        <v>#N/A</v>
      </c>
      <c r="BQ49" s="46" t="e">
        <f t="shared" ca="1" si="73"/>
        <v>#N/A</v>
      </c>
      <c r="BR49" s="46">
        <v>42</v>
      </c>
      <c r="BS49" s="46">
        <f t="shared" si="42"/>
        <v>59</v>
      </c>
      <c r="BT49" s="46">
        <f t="shared" ca="1" si="43"/>
        <v>66093</v>
      </c>
      <c r="BU49" s="46">
        <f t="shared" ca="1" si="74"/>
        <v>64954</v>
      </c>
      <c r="BV49" s="46">
        <f t="shared" ca="1" si="75"/>
        <v>1574.6708841029067</v>
      </c>
      <c r="BW49" s="46">
        <v>42</v>
      </c>
      <c r="BX49" s="46">
        <f t="shared" si="44"/>
        <v>87</v>
      </c>
      <c r="BY49" s="46">
        <f t="shared" ca="1" si="45"/>
        <v>97351</v>
      </c>
      <c r="BZ49" s="46">
        <f t="shared" ca="1" si="76"/>
        <v>96212</v>
      </c>
      <c r="CA49" s="46">
        <f t="shared" ca="1" si="77"/>
        <v>1574.6708841029067</v>
      </c>
      <c r="CC49" s="51"/>
      <c r="CD49" s="52"/>
      <c r="CE49" s="52"/>
      <c r="CF49" s="52"/>
      <c r="CG49" s="52"/>
      <c r="CH49" s="53"/>
      <c r="CI49" s="325"/>
      <c r="CJ49" s="52">
        <v>4</v>
      </c>
      <c r="CK49" s="59" t="str">
        <f t="shared" si="78"/>
        <v/>
      </c>
      <c r="CL49" s="59" t="str">
        <f t="shared" si="79"/>
        <v/>
      </c>
      <c r="CM49" s="52" t="e">
        <f t="shared" si="59"/>
        <v>#N/A</v>
      </c>
      <c r="CN49" s="52" t="e">
        <f t="shared" si="60"/>
        <v>#N/A</v>
      </c>
      <c r="CO49" s="52" t="e">
        <f t="shared" si="61"/>
        <v>#N/A</v>
      </c>
      <c r="CP49" s="52" t="e">
        <f t="shared" si="62"/>
        <v>#N/A</v>
      </c>
      <c r="CQ49" s="54" t="e">
        <f t="shared" si="63"/>
        <v>#N/A</v>
      </c>
      <c r="CR49" s="55" t="e">
        <f t="shared" si="31"/>
        <v>#N/A</v>
      </c>
      <c r="CS49" s="56" t="e">
        <f t="shared" si="32"/>
        <v>#N/A</v>
      </c>
      <c r="CT49" s="56" t="e">
        <f t="shared" si="33"/>
        <v>#N/A</v>
      </c>
      <c r="CU49" s="56" t="e">
        <f t="shared" si="46"/>
        <v>#N/A</v>
      </c>
      <c r="CV49" s="56" t="e">
        <f t="shared" si="47"/>
        <v>#N/A</v>
      </c>
      <c r="CW49" s="56" t="e">
        <f t="shared" si="64"/>
        <v>#N/A</v>
      </c>
      <c r="CX49" s="57" t="e">
        <f t="shared" si="65"/>
        <v>#N/A</v>
      </c>
    </row>
    <row r="50" spans="1:102" x14ac:dyDescent="0.25">
      <c r="A50" s="43"/>
      <c r="C50" s="42"/>
      <c r="D50" s="43"/>
      <c r="E50" s="43"/>
      <c r="F50" s="43"/>
      <c r="G50" s="43"/>
      <c r="H50" s="43"/>
      <c r="V50" s="43"/>
      <c r="AC50" s="43"/>
      <c r="AD50" s="43"/>
      <c r="AF50" s="42"/>
      <c r="AG50" s="42"/>
      <c r="AH50" s="45"/>
      <c r="AI50" s="186"/>
      <c r="AJ50" s="48"/>
      <c r="AK50" s="42"/>
      <c r="AL50" s="42"/>
      <c r="AM50" s="42"/>
      <c r="AN50" s="43"/>
      <c r="AO50" s="43"/>
      <c r="AP50" s="43"/>
      <c r="AQ50" s="43"/>
      <c r="AR50" s="43"/>
      <c r="AS50" s="43"/>
      <c r="AT50" s="43"/>
      <c r="AU50" s="43"/>
      <c r="AV50" s="43"/>
      <c r="AW50" s="46"/>
      <c r="AX50" s="46"/>
      <c r="AY50" s="46">
        <v>45</v>
      </c>
      <c r="AZ50" s="46">
        <f t="shared" si="66"/>
        <v>3</v>
      </c>
      <c r="BA50" s="46">
        <f t="shared" si="67"/>
        <v>48933</v>
      </c>
      <c r="BB50" s="46">
        <v>45</v>
      </c>
      <c r="BC50" s="46">
        <v>43</v>
      </c>
      <c r="BD50" s="46">
        <f t="shared" si="36"/>
        <v>15</v>
      </c>
      <c r="BE50" s="46">
        <f t="shared" ca="1" si="37"/>
        <v>17305</v>
      </c>
      <c r="BF50" s="46">
        <f t="shared" ca="1" si="68"/>
        <v>17300</v>
      </c>
      <c r="BG50" s="46">
        <f t="shared" ca="1" si="69"/>
        <v>1574.6708841029067</v>
      </c>
      <c r="BH50" s="46">
        <v>43</v>
      </c>
      <c r="BI50" s="46">
        <f t="shared" si="38"/>
        <v>31</v>
      </c>
      <c r="BJ50" s="46">
        <f t="shared" ca="1" si="39"/>
        <v>34835</v>
      </c>
      <c r="BK50" s="46">
        <f t="shared" ca="1" si="70"/>
        <v>34830</v>
      </c>
      <c r="BL50" s="46">
        <f t="shared" ca="1" si="71"/>
        <v>1574.6708841029067</v>
      </c>
      <c r="BM50" s="46">
        <v>43</v>
      </c>
      <c r="BN50" s="46" t="e">
        <f t="shared" si="40"/>
        <v>#N/A</v>
      </c>
      <c r="BO50" s="46" t="e">
        <f t="shared" ca="1" si="41"/>
        <v>#N/A</v>
      </c>
      <c r="BP50" s="46" t="e">
        <f t="shared" ca="1" si="72"/>
        <v>#N/A</v>
      </c>
      <c r="BQ50" s="46" t="e">
        <f t="shared" ca="1" si="73"/>
        <v>#N/A</v>
      </c>
      <c r="BR50" s="46">
        <v>43</v>
      </c>
      <c r="BS50" s="46">
        <f t="shared" si="42"/>
        <v>59</v>
      </c>
      <c r="BT50" s="46">
        <f t="shared" ca="1" si="43"/>
        <v>66093</v>
      </c>
      <c r="BU50" s="46">
        <f t="shared" ca="1" si="74"/>
        <v>66088</v>
      </c>
      <c r="BV50" s="46">
        <f t="shared" ca="1" si="75"/>
        <v>1574.6708841029067</v>
      </c>
      <c r="BW50" s="46">
        <v>43</v>
      </c>
      <c r="BX50" s="46">
        <f t="shared" si="44"/>
        <v>87</v>
      </c>
      <c r="BY50" s="46">
        <f t="shared" ca="1" si="45"/>
        <v>97351</v>
      </c>
      <c r="BZ50" s="46">
        <f t="shared" ca="1" si="76"/>
        <v>97346</v>
      </c>
      <c r="CA50" s="46">
        <f t="shared" ca="1" si="77"/>
        <v>1574.6708841029067</v>
      </c>
      <c r="CC50" s="51"/>
      <c r="CD50" s="52"/>
      <c r="CE50" s="52"/>
      <c r="CF50" s="52"/>
      <c r="CG50" s="52"/>
      <c r="CH50" s="53"/>
      <c r="CI50" s="325"/>
      <c r="CJ50" s="52">
        <v>5</v>
      </c>
      <c r="CK50" s="59" t="str">
        <f t="shared" si="78"/>
        <v/>
      </c>
      <c r="CL50" s="59" t="str">
        <f t="shared" si="79"/>
        <v/>
      </c>
      <c r="CM50" s="52" t="e">
        <f t="shared" si="59"/>
        <v>#N/A</v>
      </c>
      <c r="CN50" s="52" t="e">
        <f t="shared" si="60"/>
        <v>#N/A</v>
      </c>
      <c r="CO50" s="52" t="e">
        <f t="shared" si="61"/>
        <v>#N/A</v>
      </c>
      <c r="CP50" s="52" t="e">
        <f t="shared" si="62"/>
        <v>#N/A</v>
      </c>
      <c r="CQ50" s="54" t="e">
        <f t="shared" si="63"/>
        <v>#N/A</v>
      </c>
      <c r="CR50" s="55" t="e">
        <f t="shared" si="31"/>
        <v>#N/A</v>
      </c>
      <c r="CS50" s="56" t="e">
        <f t="shared" si="32"/>
        <v>#N/A</v>
      </c>
      <c r="CT50" s="56" t="e">
        <f t="shared" si="33"/>
        <v>#N/A</v>
      </c>
      <c r="CU50" s="56" t="e">
        <f t="shared" si="46"/>
        <v>#N/A</v>
      </c>
      <c r="CV50" s="56" t="e">
        <f t="shared" si="47"/>
        <v>#N/A</v>
      </c>
      <c r="CW50" s="56" t="e">
        <f t="shared" si="64"/>
        <v>#N/A</v>
      </c>
      <c r="CX50" s="57" t="e">
        <f t="shared" si="65"/>
        <v>#N/A</v>
      </c>
    </row>
    <row r="51" spans="1:102" x14ac:dyDescent="0.25">
      <c r="A51" s="43"/>
      <c r="C51" s="42"/>
      <c r="D51" s="43"/>
      <c r="E51" s="43"/>
      <c r="F51" s="43"/>
      <c r="G51" s="43"/>
      <c r="H51" s="43"/>
      <c r="V51" s="43"/>
      <c r="AC51" s="43"/>
      <c r="AD51" s="43"/>
      <c r="AF51" s="42"/>
      <c r="AG51" s="42"/>
      <c r="AH51" s="45"/>
      <c r="AI51" s="186"/>
      <c r="AJ51" s="48"/>
      <c r="AK51" s="42"/>
      <c r="AL51" s="42"/>
      <c r="AM51" s="42"/>
      <c r="AN51" s="43"/>
      <c r="AO51" s="43"/>
      <c r="AP51" s="43"/>
      <c r="AQ51" s="43"/>
      <c r="AR51" s="43"/>
      <c r="AS51" s="43"/>
      <c r="AT51" s="43"/>
      <c r="AU51" s="43"/>
      <c r="AV51" s="43"/>
      <c r="AW51" s="46"/>
      <c r="AX51" s="46"/>
      <c r="AY51" s="46">
        <v>46</v>
      </c>
      <c r="AZ51" s="46">
        <f t="shared" si="66"/>
        <v>0</v>
      </c>
      <c r="BA51" s="46">
        <f t="shared" si="67"/>
        <v>50077</v>
      </c>
      <c r="BB51" s="46">
        <v>46</v>
      </c>
      <c r="BC51" s="46">
        <v>44</v>
      </c>
      <c r="BD51" s="46">
        <f t="shared" si="36"/>
        <v>15</v>
      </c>
      <c r="BE51" s="46">
        <f t="shared" ca="1" si="37"/>
        <v>17305</v>
      </c>
      <c r="BF51" s="46">
        <f t="shared" ca="1" si="68"/>
        <v>17305</v>
      </c>
      <c r="BG51" s="46">
        <f t="shared" ca="1" si="69"/>
        <v>1429.6708841029067</v>
      </c>
      <c r="BH51" s="46">
        <v>44</v>
      </c>
      <c r="BI51" s="46">
        <f t="shared" si="38"/>
        <v>31</v>
      </c>
      <c r="BJ51" s="46">
        <f t="shared" ca="1" si="39"/>
        <v>34835</v>
      </c>
      <c r="BK51" s="46">
        <f t="shared" ca="1" si="70"/>
        <v>34835</v>
      </c>
      <c r="BL51" s="46">
        <f t="shared" ca="1" si="71"/>
        <v>1429.6708841029067</v>
      </c>
      <c r="BM51" s="46">
        <v>44</v>
      </c>
      <c r="BN51" s="46" t="e">
        <f t="shared" si="40"/>
        <v>#N/A</v>
      </c>
      <c r="BO51" s="46" t="e">
        <f t="shared" ca="1" si="41"/>
        <v>#N/A</v>
      </c>
      <c r="BP51" s="46" t="e">
        <f t="shared" ca="1" si="72"/>
        <v>#N/A</v>
      </c>
      <c r="BQ51" s="46" t="e">
        <f t="shared" ca="1" si="73"/>
        <v>#N/A</v>
      </c>
      <c r="BR51" s="46">
        <v>44</v>
      </c>
      <c r="BS51" s="46">
        <f t="shared" si="42"/>
        <v>59</v>
      </c>
      <c r="BT51" s="46">
        <f t="shared" ca="1" si="43"/>
        <v>66093</v>
      </c>
      <c r="BU51" s="46">
        <f t="shared" ca="1" si="74"/>
        <v>66093</v>
      </c>
      <c r="BV51" s="46">
        <f t="shared" ca="1" si="75"/>
        <v>1429.6708841029067</v>
      </c>
      <c r="BW51" s="46">
        <v>44</v>
      </c>
      <c r="BX51" s="46">
        <f t="shared" si="44"/>
        <v>87</v>
      </c>
      <c r="BY51" s="46">
        <f t="shared" ca="1" si="45"/>
        <v>97351</v>
      </c>
      <c r="BZ51" s="46">
        <f t="shared" ca="1" si="76"/>
        <v>97351</v>
      </c>
      <c r="CA51" s="46">
        <f t="shared" ca="1" si="77"/>
        <v>1429.6708841029067</v>
      </c>
      <c r="CC51" s="51"/>
      <c r="CD51" s="52"/>
      <c r="CE51" s="52"/>
      <c r="CF51" s="52"/>
      <c r="CG51" s="52"/>
      <c r="CH51" s="53"/>
      <c r="CI51" s="325"/>
      <c r="CJ51" s="52">
        <v>6</v>
      </c>
      <c r="CK51" s="59" t="str">
        <f t="shared" si="78"/>
        <v/>
      </c>
      <c r="CL51" s="59" t="str">
        <f t="shared" si="79"/>
        <v/>
      </c>
      <c r="CM51" s="52" t="e">
        <f t="shared" si="59"/>
        <v>#N/A</v>
      </c>
      <c r="CN51" s="52" t="e">
        <f t="shared" si="60"/>
        <v>#N/A</v>
      </c>
      <c r="CO51" s="52" t="e">
        <f t="shared" si="61"/>
        <v>#N/A</v>
      </c>
      <c r="CP51" s="52" t="e">
        <f t="shared" si="62"/>
        <v>#N/A</v>
      </c>
      <c r="CQ51" s="54" t="e">
        <f t="shared" si="63"/>
        <v>#N/A</v>
      </c>
      <c r="CR51" s="55" t="e">
        <f t="shared" si="31"/>
        <v>#N/A</v>
      </c>
      <c r="CS51" s="56" t="e">
        <f t="shared" si="32"/>
        <v>#N/A</v>
      </c>
      <c r="CT51" s="56" t="e">
        <f t="shared" si="33"/>
        <v>#N/A</v>
      </c>
      <c r="CU51" s="56" t="e">
        <f t="shared" si="46"/>
        <v>#N/A</v>
      </c>
      <c r="CV51" s="56" t="e">
        <f t="shared" si="47"/>
        <v>#N/A</v>
      </c>
      <c r="CW51" s="56" t="e">
        <f t="shared" si="64"/>
        <v>#N/A</v>
      </c>
      <c r="CX51" s="57" t="e">
        <f t="shared" si="65"/>
        <v>#N/A</v>
      </c>
    </row>
    <row r="52" spans="1:102" x14ac:dyDescent="0.25">
      <c r="A52" s="43"/>
      <c r="C52" s="42"/>
      <c r="D52" s="43"/>
      <c r="E52" s="43"/>
      <c r="F52" s="43"/>
      <c r="G52" s="43"/>
      <c r="H52" s="43"/>
      <c r="V52" s="43"/>
      <c r="AC52" s="43"/>
      <c r="AD52" s="43"/>
      <c r="AF52" s="42"/>
      <c r="AG52" s="42"/>
      <c r="AH52" s="45"/>
      <c r="AI52" s="186"/>
      <c r="AJ52" s="48"/>
      <c r="AK52" s="42"/>
      <c r="AL52" s="42"/>
      <c r="AM52" s="42"/>
      <c r="AN52" s="43"/>
      <c r="AO52" s="43"/>
      <c r="AP52" s="43"/>
      <c r="AQ52" s="43"/>
      <c r="AR52" s="43"/>
      <c r="AS52" s="43"/>
      <c r="AT52" s="43"/>
      <c r="AU52" s="43"/>
      <c r="AV52" s="43"/>
      <c r="AW52" s="46"/>
      <c r="AX52" s="46"/>
      <c r="AY52" s="46">
        <v>47</v>
      </c>
      <c r="AZ52" s="46">
        <f t="shared" si="66"/>
        <v>0</v>
      </c>
      <c r="BA52" s="46">
        <f t="shared" si="67"/>
        <v>51221</v>
      </c>
      <c r="BB52" s="46">
        <v>47</v>
      </c>
      <c r="BC52" s="46">
        <v>45</v>
      </c>
      <c r="BD52" s="46" t="e">
        <f t="shared" si="36"/>
        <v>#N/A</v>
      </c>
      <c r="BE52" s="46" t="e">
        <f t="shared" ca="1" si="37"/>
        <v>#N/A</v>
      </c>
      <c r="BF52" s="46" t="e">
        <f t="shared" ca="1" si="68"/>
        <v>#N/A</v>
      </c>
      <c r="BG52" s="46" t="e">
        <f t="shared" ca="1" si="69"/>
        <v>#N/A</v>
      </c>
      <c r="BH52" s="46">
        <v>45</v>
      </c>
      <c r="BI52" s="46">
        <f t="shared" si="38"/>
        <v>32</v>
      </c>
      <c r="BJ52" s="46">
        <f t="shared" ca="1" si="39"/>
        <v>35979</v>
      </c>
      <c r="BK52" s="46">
        <f t="shared" ca="1" si="70"/>
        <v>34840</v>
      </c>
      <c r="BL52" s="46">
        <f t="shared" ca="1" si="71"/>
        <v>1574.6708841029067</v>
      </c>
      <c r="BM52" s="46">
        <v>45</v>
      </c>
      <c r="BN52" s="46" t="e">
        <f t="shared" si="40"/>
        <v>#N/A</v>
      </c>
      <c r="BO52" s="46" t="e">
        <f t="shared" ca="1" si="41"/>
        <v>#N/A</v>
      </c>
      <c r="BP52" s="46" t="e">
        <f t="shared" ca="1" si="72"/>
        <v>#N/A</v>
      </c>
      <c r="BQ52" s="46" t="e">
        <f t="shared" ca="1" si="73"/>
        <v>#N/A</v>
      </c>
      <c r="BR52" s="46">
        <v>45</v>
      </c>
      <c r="BS52" s="46">
        <f t="shared" si="42"/>
        <v>60</v>
      </c>
      <c r="BT52" s="46">
        <f t="shared" ca="1" si="43"/>
        <v>67237</v>
      </c>
      <c r="BU52" s="46">
        <f t="shared" ca="1" si="74"/>
        <v>66098</v>
      </c>
      <c r="BV52" s="46">
        <f t="shared" ca="1" si="75"/>
        <v>1574.6708841029067</v>
      </c>
      <c r="BW52" s="46">
        <v>45</v>
      </c>
      <c r="BX52" s="46" t="e">
        <f t="shared" si="44"/>
        <v>#N/A</v>
      </c>
      <c r="BY52" s="46" t="e">
        <f t="shared" ca="1" si="45"/>
        <v>#N/A</v>
      </c>
      <c r="BZ52" s="46" t="e">
        <f t="shared" ca="1" si="76"/>
        <v>#N/A</v>
      </c>
      <c r="CA52" s="46" t="e">
        <f t="shared" ca="1" si="77"/>
        <v>#N/A</v>
      </c>
      <c r="CC52" s="51"/>
      <c r="CD52" s="52"/>
      <c r="CE52" s="52"/>
      <c r="CF52" s="52"/>
      <c r="CG52" s="52"/>
      <c r="CH52" s="53"/>
      <c r="CI52" s="325"/>
      <c r="CJ52" s="52">
        <v>7</v>
      </c>
      <c r="CK52" s="59" t="str">
        <f t="shared" si="78"/>
        <v/>
      </c>
      <c r="CL52" s="59" t="str">
        <f t="shared" si="79"/>
        <v/>
      </c>
      <c r="CM52" s="52" t="e">
        <f t="shared" si="59"/>
        <v>#N/A</v>
      </c>
      <c r="CN52" s="52" t="e">
        <f t="shared" si="60"/>
        <v>#N/A</v>
      </c>
      <c r="CO52" s="52" t="e">
        <f t="shared" si="61"/>
        <v>#N/A</v>
      </c>
      <c r="CP52" s="52" t="e">
        <f t="shared" si="62"/>
        <v>#N/A</v>
      </c>
      <c r="CQ52" s="54" t="e">
        <f t="shared" si="63"/>
        <v>#N/A</v>
      </c>
      <c r="CR52" s="55" t="e">
        <f t="shared" si="31"/>
        <v>#N/A</v>
      </c>
      <c r="CS52" s="56" t="e">
        <f t="shared" si="32"/>
        <v>#N/A</v>
      </c>
      <c r="CT52" s="56" t="e">
        <f t="shared" si="33"/>
        <v>#N/A</v>
      </c>
      <c r="CU52" s="56" t="e">
        <f t="shared" si="46"/>
        <v>#N/A</v>
      </c>
      <c r="CV52" s="56" t="e">
        <f t="shared" si="47"/>
        <v>#N/A</v>
      </c>
      <c r="CW52" s="56" t="e">
        <f t="shared" si="64"/>
        <v>#N/A</v>
      </c>
      <c r="CX52" s="57" t="e">
        <f t="shared" si="65"/>
        <v>#N/A</v>
      </c>
    </row>
    <row r="53" spans="1:102" ht="20.5" thickBot="1" x14ac:dyDescent="0.3">
      <c r="A53" s="43"/>
      <c r="C53" s="42"/>
      <c r="D53" s="43"/>
      <c r="E53" s="43"/>
      <c r="F53" s="43"/>
      <c r="G53" s="43"/>
      <c r="H53" s="43"/>
      <c r="M53" s="44"/>
      <c r="N53" s="44"/>
      <c r="O53" s="44"/>
      <c r="P53" s="44"/>
      <c r="Q53" s="44"/>
      <c r="R53" s="44"/>
      <c r="V53" s="43"/>
      <c r="AC53" s="43"/>
      <c r="AD53" s="43"/>
      <c r="AF53" s="42"/>
      <c r="AG53" s="42"/>
      <c r="AH53" s="78"/>
      <c r="AI53" s="64"/>
      <c r="AJ53" s="65"/>
      <c r="AK53" s="42"/>
      <c r="AL53" s="42"/>
      <c r="AM53" s="42"/>
      <c r="AN53" s="43"/>
      <c r="AO53" s="43"/>
      <c r="AP53" s="43"/>
      <c r="AQ53" s="43"/>
      <c r="AR53" s="43"/>
      <c r="AS53" s="43"/>
      <c r="AT53" s="43"/>
      <c r="AU53" s="43"/>
      <c r="AV53" s="43"/>
      <c r="AW53" s="46"/>
      <c r="AX53" s="46"/>
      <c r="AY53" s="46">
        <v>48</v>
      </c>
      <c r="AZ53" s="46">
        <f t="shared" si="66"/>
        <v>0</v>
      </c>
      <c r="BA53" s="46">
        <f t="shared" si="67"/>
        <v>52365</v>
      </c>
      <c r="BB53" s="46">
        <v>48</v>
      </c>
      <c r="BC53" s="46">
        <v>46</v>
      </c>
      <c r="BD53" s="46" t="e">
        <f t="shared" si="36"/>
        <v>#N/A</v>
      </c>
      <c r="BE53" s="46" t="e">
        <f t="shared" ca="1" si="37"/>
        <v>#N/A</v>
      </c>
      <c r="BF53" s="46" t="e">
        <f t="shared" ca="1" si="68"/>
        <v>#N/A</v>
      </c>
      <c r="BG53" s="46" t="e">
        <f t="shared" ca="1" si="69"/>
        <v>#N/A</v>
      </c>
      <c r="BH53" s="46">
        <v>46</v>
      </c>
      <c r="BI53" s="46">
        <f t="shared" si="38"/>
        <v>32</v>
      </c>
      <c r="BJ53" s="46">
        <f t="shared" ca="1" si="39"/>
        <v>35979</v>
      </c>
      <c r="BK53" s="46">
        <f t="shared" ca="1" si="70"/>
        <v>35974</v>
      </c>
      <c r="BL53" s="46">
        <f t="shared" ca="1" si="71"/>
        <v>1574.6708841029067</v>
      </c>
      <c r="BM53" s="46">
        <v>46</v>
      </c>
      <c r="BN53" s="46" t="e">
        <f t="shared" si="40"/>
        <v>#N/A</v>
      </c>
      <c r="BO53" s="46" t="e">
        <f t="shared" ca="1" si="41"/>
        <v>#N/A</v>
      </c>
      <c r="BP53" s="46" t="e">
        <f t="shared" ca="1" si="72"/>
        <v>#N/A</v>
      </c>
      <c r="BQ53" s="46" t="e">
        <f t="shared" ca="1" si="73"/>
        <v>#N/A</v>
      </c>
      <c r="BR53" s="46">
        <v>46</v>
      </c>
      <c r="BS53" s="46">
        <f t="shared" si="42"/>
        <v>60</v>
      </c>
      <c r="BT53" s="46">
        <f t="shared" ca="1" si="43"/>
        <v>67237</v>
      </c>
      <c r="BU53" s="46">
        <f t="shared" ca="1" si="74"/>
        <v>67232</v>
      </c>
      <c r="BV53" s="46">
        <f t="shared" ca="1" si="75"/>
        <v>1574.6708841029067</v>
      </c>
      <c r="BW53" s="46">
        <v>46</v>
      </c>
      <c r="BX53" s="46" t="e">
        <f t="shared" si="44"/>
        <v>#N/A</v>
      </c>
      <c r="BY53" s="46" t="e">
        <f t="shared" ca="1" si="45"/>
        <v>#N/A</v>
      </c>
      <c r="BZ53" s="46" t="e">
        <f t="shared" ca="1" si="76"/>
        <v>#N/A</v>
      </c>
      <c r="CA53" s="46" t="e">
        <f t="shared" ca="1" si="77"/>
        <v>#N/A</v>
      </c>
      <c r="CC53" s="51"/>
      <c r="CD53" s="52"/>
      <c r="CE53" s="52"/>
      <c r="CF53" s="52"/>
      <c r="CG53" s="52"/>
      <c r="CH53" s="53"/>
      <c r="CI53" s="325"/>
      <c r="CJ53" s="52">
        <v>8</v>
      </c>
      <c r="CK53" s="59" t="str">
        <f t="shared" si="78"/>
        <v/>
      </c>
      <c r="CL53" s="59" t="str">
        <f t="shared" si="79"/>
        <v/>
      </c>
      <c r="CM53" s="52" t="e">
        <f t="shared" si="59"/>
        <v>#N/A</v>
      </c>
      <c r="CN53" s="52" t="e">
        <f t="shared" si="60"/>
        <v>#N/A</v>
      </c>
      <c r="CO53" s="52" t="e">
        <f t="shared" si="61"/>
        <v>#N/A</v>
      </c>
      <c r="CP53" s="52" t="e">
        <f t="shared" si="62"/>
        <v>#N/A</v>
      </c>
      <c r="CQ53" s="54" t="e">
        <f t="shared" si="63"/>
        <v>#N/A</v>
      </c>
      <c r="CR53" s="55" t="e">
        <f t="shared" si="31"/>
        <v>#N/A</v>
      </c>
      <c r="CS53" s="56" t="e">
        <f t="shared" si="32"/>
        <v>#N/A</v>
      </c>
      <c r="CT53" s="56" t="e">
        <f t="shared" si="33"/>
        <v>#N/A</v>
      </c>
      <c r="CU53" s="56" t="e">
        <f t="shared" si="46"/>
        <v>#N/A</v>
      </c>
      <c r="CV53" s="56" t="e">
        <f t="shared" si="47"/>
        <v>#N/A</v>
      </c>
      <c r="CW53" s="56" t="e">
        <f t="shared" si="64"/>
        <v>#N/A</v>
      </c>
      <c r="CX53" s="57" t="e">
        <f t="shared" si="65"/>
        <v>#N/A</v>
      </c>
    </row>
    <row r="54" spans="1:102" ht="20.5" thickTop="1" x14ac:dyDescent="0.25">
      <c r="A54" s="43"/>
      <c r="C54" s="42"/>
      <c r="D54" s="43"/>
      <c r="E54" s="43"/>
      <c r="F54" s="43"/>
      <c r="G54" s="43"/>
      <c r="H54" s="43"/>
      <c r="M54" s="44"/>
      <c r="N54" s="44"/>
      <c r="O54" s="44"/>
      <c r="P54" s="44"/>
      <c r="Q54" s="44"/>
      <c r="R54" s="44"/>
      <c r="V54" s="43"/>
      <c r="AC54" s="43"/>
      <c r="AD54" s="43"/>
      <c r="AF54" s="42"/>
      <c r="AG54" s="42"/>
      <c r="AK54" s="42"/>
      <c r="AL54" s="42"/>
      <c r="AM54" s="42"/>
      <c r="AN54" s="43"/>
      <c r="AO54" s="43"/>
      <c r="AP54" s="43"/>
      <c r="AQ54" s="43"/>
      <c r="AR54" s="43"/>
      <c r="AS54" s="43"/>
      <c r="AT54" s="43"/>
      <c r="AU54" s="43"/>
      <c r="AV54" s="43"/>
      <c r="AW54" s="46"/>
      <c r="AX54" s="46"/>
      <c r="AY54" s="46">
        <v>49</v>
      </c>
      <c r="AZ54" s="46">
        <f t="shared" si="66"/>
        <v>0</v>
      </c>
      <c r="BA54" s="46">
        <f t="shared" si="67"/>
        <v>53509</v>
      </c>
      <c r="BB54" s="46">
        <v>49</v>
      </c>
      <c r="BC54" s="46">
        <v>47</v>
      </c>
      <c r="BD54" s="46" t="e">
        <f t="shared" si="36"/>
        <v>#N/A</v>
      </c>
      <c r="BE54" s="46" t="e">
        <f t="shared" ca="1" si="37"/>
        <v>#N/A</v>
      </c>
      <c r="BF54" s="46" t="e">
        <f t="shared" ca="1" si="68"/>
        <v>#N/A</v>
      </c>
      <c r="BG54" s="46" t="e">
        <f t="shared" ca="1" si="69"/>
        <v>#N/A</v>
      </c>
      <c r="BH54" s="46">
        <v>47</v>
      </c>
      <c r="BI54" s="46">
        <f t="shared" si="38"/>
        <v>32</v>
      </c>
      <c r="BJ54" s="46">
        <f t="shared" ca="1" si="39"/>
        <v>35979</v>
      </c>
      <c r="BK54" s="46">
        <f t="shared" ca="1" si="70"/>
        <v>35979</v>
      </c>
      <c r="BL54" s="46">
        <f t="shared" ca="1" si="71"/>
        <v>1429.6708841029067</v>
      </c>
      <c r="BM54" s="46">
        <v>47</v>
      </c>
      <c r="BN54" s="46" t="e">
        <f t="shared" si="40"/>
        <v>#N/A</v>
      </c>
      <c r="BO54" s="46" t="e">
        <f t="shared" ca="1" si="41"/>
        <v>#N/A</v>
      </c>
      <c r="BP54" s="46" t="e">
        <f t="shared" ca="1" si="72"/>
        <v>#N/A</v>
      </c>
      <c r="BQ54" s="46" t="e">
        <f t="shared" ca="1" si="73"/>
        <v>#N/A</v>
      </c>
      <c r="BR54" s="46">
        <v>47</v>
      </c>
      <c r="BS54" s="46">
        <f t="shared" si="42"/>
        <v>60</v>
      </c>
      <c r="BT54" s="46">
        <f t="shared" ca="1" si="43"/>
        <v>67237</v>
      </c>
      <c r="BU54" s="46">
        <f t="shared" ca="1" si="74"/>
        <v>67237</v>
      </c>
      <c r="BV54" s="46">
        <f t="shared" ca="1" si="75"/>
        <v>1429.6708841029067</v>
      </c>
      <c r="BW54" s="46">
        <v>47</v>
      </c>
      <c r="BX54" s="46" t="e">
        <f t="shared" si="44"/>
        <v>#N/A</v>
      </c>
      <c r="BY54" s="46" t="e">
        <f t="shared" ca="1" si="45"/>
        <v>#N/A</v>
      </c>
      <c r="BZ54" s="46" t="e">
        <f t="shared" ca="1" si="76"/>
        <v>#N/A</v>
      </c>
      <c r="CA54" s="46" t="e">
        <f t="shared" ca="1" si="77"/>
        <v>#N/A</v>
      </c>
      <c r="CC54" s="51"/>
      <c r="CD54" s="52"/>
      <c r="CE54" s="52"/>
      <c r="CF54" s="52"/>
      <c r="CG54" s="52"/>
      <c r="CH54" s="53"/>
      <c r="CI54" s="325"/>
      <c r="CJ54" s="52">
        <v>9</v>
      </c>
      <c r="CK54" s="59" t="str">
        <f t="shared" si="78"/>
        <v/>
      </c>
      <c r="CL54" s="59" t="str">
        <f t="shared" si="79"/>
        <v/>
      </c>
      <c r="CM54" s="52" t="e">
        <f t="shared" si="59"/>
        <v>#N/A</v>
      </c>
      <c r="CN54" s="52" t="e">
        <f t="shared" si="60"/>
        <v>#N/A</v>
      </c>
      <c r="CO54" s="52" t="e">
        <f t="shared" si="61"/>
        <v>#N/A</v>
      </c>
      <c r="CP54" s="52" t="e">
        <f t="shared" si="62"/>
        <v>#N/A</v>
      </c>
      <c r="CQ54" s="54" t="e">
        <f t="shared" si="63"/>
        <v>#N/A</v>
      </c>
      <c r="CR54" s="55" t="e">
        <f t="shared" si="31"/>
        <v>#N/A</v>
      </c>
      <c r="CS54" s="56" t="e">
        <f t="shared" si="32"/>
        <v>#N/A</v>
      </c>
      <c r="CT54" s="56" t="e">
        <f t="shared" si="33"/>
        <v>#N/A</v>
      </c>
      <c r="CU54" s="56" t="e">
        <f t="shared" si="46"/>
        <v>#N/A</v>
      </c>
      <c r="CV54" s="56" t="e">
        <f t="shared" si="47"/>
        <v>#N/A</v>
      </c>
      <c r="CW54" s="56" t="e">
        <f t="shared" si="64"/>
        <v>#N/A</v>
      </c>
      <c r="CX54" s="57" t="e">
        <f t="shared" si="65"/>
        <v>#N/A</v>
      </c>
    </row>
    <row r="55" spans="1:102" ht="17" thickBot="1" x14ac:dyDescent="0.3">
      <c r="A55" s="43"/>
      <c r="C55" s="42"/>
      <c r="D55" s="43"/>
      <c r="E55" s="43"/>
      <c r="F55" s="43"/>
      <c r="G55" s="43"/>
      <c r="H55" s="43"/>
      <c r="M55" s="50"/>
      <c r="N55" s="50"/>
      <c r="O55" s="50"/>
      <c r="P55" s="50"/>
      <c r="Q55" s="50"/>
      <c r="R55" s="50"/>
      <c r="V55" s="43"/>
      <c r="AC55" s="43"/>
      <c r="AD55" s="43"/>
      <c r="AF55" s="42"/>
      <c r="AG55" s="42"/>
      <c r="AH55" s="42"/>
      <c r="AI55" s="42"/>
      <c r="AJ55" s="42"/>
      <c r="AK55" s="42"/>
      <c r="AL55" s="42"/>
      <c r="AM55" s="42"/>
      <c r="AN55" s="43"/>
      <c r="AO55" s="43"/>
      <c r="AP55" s="43"/>
      <c r="AQ55" s="43"/>
      <c r="AR55" s="43"/>
      <c r="AS55" s="43"/>
      <c r="AT55" s="43"/>
      <c r="AU55" s="43"/>
      <c r="AV55" s="43"/>
      <c r="AW55" s="46"/>
      <c r="AX55" s="46"/>
      <c r="AY55" s="46">
        <v>50</v>
      </c>
      <c r="AZ55" s="46">
        <f t="shared" si="66"/>
        <v>0</v>
      </c>
      <c r="BA55" s="46">
        <f t="shared" si="67"/>
        <v>54653</v>
      </c>
      <c r="BB55" s="46">
        <v>50</v>
      </c>
      <c r="BC55" s="46">
        <v>48</v>
      </c>
      <c r="BD55" s="46" t="e">
        <f t="shared" si="36"/>
        <v>#N/A</v>
      </c>
      <c r="BE55" s="46" t="e">
        <f t="shared" ca="1" si="37"/>
        <v>#N/A</v>
      </c>
      <c r="BF55" s="46" t="e">
        <f t="shared" ca="1" si="68"/>
        <v>#N/A</v>
      </c>
      <c r="BG55" s="46" t="e">
        <f t="shared" ca="1" si="69"/>
        <v>#N/A</v>
      </c>
      <c r="BH55" s="46">
        <v>48</v>
      </c>
      <c r="BI55" s="46">
        <f t="shared" si="38"/>
        <v>33</v>
      </c>
      <c r="BJ55" s="46">
        <f t="shared" ca="1" si="39"/>
        <v>37123</v>
      </c>
      <c r="BK55" s="46">
        <f t="shared" ca="1" si="70"/>
        <v>35984</v>
      </c>
      <c r="BL55" s="46">
        <f t="shared" ca="1" si="71"/>
        <v>1574.6708841029067</v>
      </c>
      <c r="BM55" s="46">
        <v>48</v>
      </c>
      <c r="BN55" s="46" t="e">
        <f t="shared" si="40"/>
        <v>#N/A</v>
      </c>
      <c r="BO55" s="46" t="e">
        <f t="shared" ca="1" si="41"/>
        <v>#N/A</v>
      </c>
      <c r="BP55" s="46" t="e">
        <f t="shared" ca="1" si="72"/>
        <v>#N/A</v>
      </c>
      <c r="BQ55" s="46" t="e">
        <f t="shared" ca="1" si="73"/>
        <v>#N/A</v>
      </c>
      <c r="BR55" s="46">
        <v>48</v>
      </c>
      <c r="BS55" s="46">
        <f t="shared" si="42"/>
        <v>61</v>
      </c>
      <c r="BT55" s="46">
        <f t="shared" ca="1" si="43"/>
        <v>68381</v>
      </c>
      <c r="BU55" s="46">
        <f t="shared" ca="1" si="74"/>
        <v>67242</v>
      </c>
      <c r="BV55" s="46">
        <f t="shared" ca="1" si="75"/>
        <v>1574.6708841029067</v>
      </c>
      <c r="BW55" s="46">
        <v>48</v>
      </c>
      <c r="BX55" s="46" t="e">
        <f t="shared" si="44"/>
        <v>#N/A</v>
      </c>
      <c r="BY55" s="46" t="e">
        <f t="shared" ca="1" si="45"/>
        <v>#N/A</v>
      </c>
      <c r="BZ55" s="46" t="e">
        <f t="shared" ca="1" si="76"/>
        <v>#N/A</v>
      </c>
      <c r="CA55" s="46" t="e">
        <f t="shared" ca="1" si="77"/>
        <v>#N/A</v>
      </c>
      <c r="CC55" s="47"/>
      <c r="CD55" s="46"/>
      <c r="CE55" s="46"/>
      <c r="CF55" s="46"/>
      <c r="CG55" s="46"/>
      <c r="CH55" s="80"/>
      <c r="CI55" s="328"/>
      <c r="CJ55" s="189">
        <v>10</v>
      </c>
      <c r="CK55" s="201"/>
      <c r="CL55" s="190" t="str">
        <f t="shared" si="79"/>
        <v/>
      </c>
      <c r="CM55" s="189" t="e">
        <f t="shared" si="59"/>
        <v>#N/A</v>
      </c>
      <c r="CN55" s="189" t="e">
        <f t="shared" si="60"/>
        <v>#N/A</v>
      </c>
      <c r="CO55" s="189" t="e">
        <f t="shared" si="61"/>
        <v>#N/A</v>
      </c>
      <c r="CP55" s="189" t="e">
        <f t="shared" si="62"/>
        <v>#N/A</v>
      </c>
      <c r="CQ55" s="191" t="e">
        <f t="shared" si="63"/>
        <v>#N/A</v>
      </c>
      <c r="CR55" s="55" t="e">
        <f t="shared" si="31"/>
        <v>#N/A</v>
      </c>
      <c r="CS55" s="56" t="e">
        <f t="shared" si="32"/>
        <v>#N/A</v>
      </c>
      <c r="CT55" s="56" t="e">
        <f t="shared" si="33"/>
        <v>#N/A</v>
      </c>
      <c r="CU55" s="56" t="e">
        <f t="shared" si="46"/>
        <v>#N/A</v>
      </c>
      <c r="CV55" s="56" t="e">
        <f t="shared" si="47"/>
        <v>#N/A</v>
      </c>
      <c r="CW55" s="56" t="e">
        <f t="shared" si="64"/>
        <v>#N/A</v>
      </c>
      <c r="CX55" s="57" t="e">
        <f t="shared" si="65"/>
        <v>#N/A</v>
      </c>
    </row>
    <row r="56" spans="1:102" x14ac:dyDescent="0.25">
      <c r="A56" s="43"/>
      <c r="C56" s="42"/>
      <c r="D56" s="43"/>
      <c r="E56" s="43"/>
      <c r="F56" s="43"/>
      <c r="G56" s="43"/>
      <c r="H56" s="43"/>
      <c r="M56" s="125"/>
      <c r="N56" s="50"/>
      <c r="O56" s="50"/>
      <c r="P56" s="125"/>
      <c r="Q56" s="50"/>
      <c r="R56" s="50"/>
      <c r="V56" s="43"/>
      <c r="AC56" s="43"/>
      <c r="AD56" s="43"/>
      <c r="AF56" s="42"/>
      <c r="AG56" s="42"/>
      <c r="AH56" s="42"/>
      <c r="AI56" s="42"/>
      <c r="AJ56" s="42"/>
      <c r="AK56" s="42"/>
      <c r="AL56" s="42"/>
      <c r="AM56" s="42"/>
      <c r="AN56" s="43"/>
      <c r="AO56" s="43"/>
      <c r="AP56" s="43"/>
      <c r="AQ56" s="43"/>
      <c r="AR56" s="43"/>
      <c r="AS56" s="43"/>
      <c r="AT56" s="43"/>
      <c r="AU56" s="43"/>
      <c r="AV56" s="43"/>
      <c r="AW56" s="46"/>
      <c r="AX56" s="46"/>
      <c r="AY56" s="46">
        <v>51</v>
      </c>
      <c r="AZ56" s="46">
        <f t="shared" si="66"/>
        <v>0</v>
      </c>
      <c r="BA56" s="46">
        <f t="shared" si="67"/>
        <v>55797</v>
      </c>
      <c r="BB56" s="46">
        <v>51</v>
      </c>
      <c r="BC56" s="46">
        <v>49</v>
      </c>
      <c r="BD56" s="46" t="e">
        <f t="shared" si="36"/>
        <v>#N/A</v>
      </c>
      <c r="BE56" s="46" t="e">
        <f t="shared" ca="1" si="37"/>
        <v>#N/A</v>
      </c>
      <c r="BF56" s="46" t="e">
        <f t="shared" ca="1" si="68"/>
        <v>#N/A</v>
      </c>
      <c r="BG56" s="46" t="e">
        <f t="shared" ca="1" si="69"/>
        <v>#N/A</v>
      </c>
      <c r="BH56" s="46">
        <v>49</v>
      </c>
      <c r="BI56" s="46">
        <f t="shared" si="38"/>
        <v>33</v>
      </c>
      <c r="BJ56" s="46">
        <f t="shared" ca="1" si="39"/>
        <v>37123</v>
      </c>
      <c r="BK56" s="46">
        <f t="shared" ca="1" si="70"/>
        <v>37118</v>
      </c>
      <c r="BL56" s="46">
        <f t="shared" ca="1" si="71"/>
        <v>1574.6708841029067</v>
      </c>
      <c r="BM56" s="46">
        <v>49</v>
      </c>
      <c r="BN56" s="46" t="e">
        <f t="shared" si="40"/>
        <v>#N/A</v>
      </c>
      <c r="BO56" s="46" t="e">
        <f t="shared" ca="1" si="41"/>
        <v>#N/A</v>
      </c>
      <c r="BP56" s="46" t="e">
        <f t="shared" ca="1" si="72"/>
        <v>#N/A</v>
      </c>
      <c r="BQ56" s="46" t="e">
        <f t="shared" ca="1" si="73"/>
        <v>#N/A</v>
      </c>
      <c r="BR56" s="46">
        <v>49</v>
      </c>
      <c r="BS56" s="46">
        <f t="shared" si="42"/>
        <v>61</v>
      </c>
      <c r="BT56" s="46">
        <f t="shared" ca="1" si="43"/>
        <v>68381</v>
      </c>
      <c r="BU56" s="46">
        <f t="shared" ca="1" si="74"/>
        <v>68376</v>
      </c>
      <c r="BV56" s="46">
        <f t="shared" ca="1" si="75"/>
        <v>1574.6708841029067</v>
      </c>
      <c r="BW56" s="46">
        <v>49</v>
      </c>
      <c r="BX56" s="46" t="e">
        <f t="shared" si="44"/>
        <v>#N/A</v>
      </c>
      <c r="BY56" s="46" t="e">
        <f t="shared" ca="1" si="45"/>
        <v>#N/A</v>
      </c>
      <c r="BZ56" s="46" t="e">
        <f t="shared" ca="1" si="76"/>
        <v>#N/A</v>
      </c>
      <c r="CA56" s="46" t="e">
        <f t="shared" ca="1" si="77"/>
        <v>#N/A</v>
      </c>
      <c r="CC56" s="47"/>
      <c r="CD56" s="46"/>
      <c r="CE56" s="46"/>
      <c r="CF56" s="46"/>
      <c r="CG56" s="46"/>
      <c r="CH56" s="80"/>
      <c r="CI56" s="321" t="s">
        <v>607</v>
      </c>
      <c r="CJ56" s="204"/>
      <c r="CK56" s="204">
        <f>CD6</f>
        <v>17490</v>
      </c>
      <c r="CL56" s="204" t="str">
        <f>IF(CK56 = "", "", C6)</f>
        <v>H200x100x4.3x5.2-Q235</v>
      </c>
      <c r="CM56" s="204"/>
      <c r="CN56" s="204"/>
      <c r="CO56" s="204"/>
      <c r="CP56" s="204"/>
      <c r="CQ56" s="205"/>
      <c r="CR56" s="55" t="e">
        <f t="shared" si="31"/>
        <v>#N/A</v>
      </c>
      <c r="CS56" s="56" t="e">
        <f t="shared" si="32"/>
        <v>#N/A</v>
      </c>
      <c r="CT56" s="56" t="e">
        <f t="shared" si="33"/>
        <v>#N/A</v>
      </c>
      <c r="CU56" s="56" t="e">
        <f t="shared" si="46"/>
        <v>#N/A</v>
      </c>
      <c r="CV56" s="56" t="e">
        <f t="shared" si="47"/>
        <v>#N/A</v>
      </c>
      <c r="CW56" s="81">
        <f>AI21</f>
        <v>97496</v>
      </c>
      <c r="CX56" s="82">
        <v>100</v>
      </c>
    </row>
    <row r="57" spans="1:102" x14ac:dyDescent="0.25">
      <c r="A57" s="43"/>
      <c r="C57" s="42"/>
      <c r="D57" s="43"/>
      <c r="E57" s="43"/>
      <c r="F57" s="43"/>
      <c r="G57" s="43"/>
      <c r="H57" s="43"/>
      <c r="M57" s="125"/>
      <c r="N57" s="50"/>
      <c r="O57" s="50"/>
      <c r="P57" s="125"/>
      <c r="Q57" s="50"/>
      <c r="R57" s="50"/>
      <c r="V57" s="43"/>
      <c r="AC57" s="43"/>
      <c r="AD57" s="43"/>
      <c r="AF57" s="42"/>
      <c r="AG57" s="42"/>
      <c r="AH57" s="42"/>
      <c r="AI57" s="42"/>
      <c r="AJ57" s="42"/>
      <c r="AK57" s="42"/>
      <c r="AL57" s="42"/>
      <c r="AM57" s="42"/>
      <c r="AN57" s="43"/>
      <c r="AO57" s="43"/>
      <c r="AP57" s="43"/>
      <c r="AQ57" s="43"/>
      <c r="AR57" s="43"/>
      <c r="AS57" s="43"/>
      <c r="AT57" s="43"/>
      <c r="AU57" s="43"/>
      <c r="AV57" s="43"/>
      <c r="AW57" s="46"/>
      <c r="AX57" s="46"/>
      <c r="AY57" s="46">
        <v>52</v>
      </c>
      <c r="AZ57" s="46">
        <f t="shared" si="66"/>
        <v>0</v>
      </c>
      <c r="BA57" s="46">
        <f t="shared" si="67"/>
        <v>56941</v>
      </c>
      <c r="BB57" s="46">
        <v>52</v>
      </c>
      <c r="BC57" s="46">
        <v>50</v>
      </c>
      <c r="BD57" s="46" t="e">
        <f t="shared" si="36"/>
        <v>#N/A</v>
      </c>
      <c r="BE57" s="46" t="e">
        <f t="shared" ca="1" si="37"/>
        <v>#N/A</v>
      </c>
      <c r="BF57" s="46" t="e">
        <f t="shared" ca="1" si="68"/>
        <v>#N/A</v>
      </c>
      <c r="BG57" s="46" t="e">
        <f t="shared" ca="1" si="69"/>
        <v>#N/A</v>
      </c>
      <c r="BH57" s="46">
        <v>50</v>
      </c>
      <c r="BI57" s="46">
        <f t="shared" si="38"/>
        <v>33</v>
      </c>
      <c r="BJ57" s="46">
        <f t="shared" ca="1" si="39"/>
        <v>37123</v>
      </c>
      <c r="BK57" s="46">
        <f t="shared" ca="1" si="70"/>
        <v>37123</v>
      </c>
      <c r="BL57" s="46">
        <f t="shared" ca="1" si="71"/>
        <v>1429.6708841029067</v>
      </c>
      <c r="BM57" s="46">
        <v>50</v>
      </c>
      <c r="BN57" s="46" t="e">
        <f t="shared" si="40"/>
        <v>#N/A</v>
      </c>
      <c r="BO57" s="46" t="e">
        <f t="shared" ca="1" si="41"/>
        <v>#N/A</v>
      </c>
      <c r="BP57" s="46" t="e">
        <f t="shared" ca="1" si="72"/>
        <v>#N/A</v>
      </c>
      <c r="BQ57" s="46" t="e">
        <f t="shared" ca="1" si="73"/>
        <v>#N/A</v>
      </c>
      <c r="BR57" s="46">
        <v>50</v>
      </c>
      <c r="BS57" s="46">
        <f t="shared" si="42"/>
        <v>61</v>
      </c>
      <c r="BT57" s="46">
        <f t="shared" ca="1" si="43"/>
        <v>68381</v>
      </c>
      <c r="BU57" s="46">
        <f t="shared" ca="1" si="74"/>
        <v>68381</v>
      </c>
      <c r="BV57" s="46">
        <f t="shared" ca="1" si="75"/>
        <v>1429.6708841029067</v>
      </c>
      <c r="BW57" s="46">
        <v>50</v>
      </c>
      <c r="BX57" s="46" t="e">
        <f t="shared" si="44"/>
        <v>#N/A</v>
      </c>
      <c r="BY57" s="46" t="e">
        <f t="shared" ca="1" si="45"/>
        <v>#N/A</v>
      </c>
      <c r="BZ57" s="46" t="e">
        <f t="shared" ca="1" si="76"/>
        <v>#N/A</v>
      </c>
      <c r="CA57" s="46" t="e">
        <f t="shared" ca="1" si="77"/>
        <v>#N/A</v>
      </c>
      <c r="CC57" s="47"/>
      <c r="CD57" s="46"/>
      <c r="CE57" s="46"/>
      <c r="CF57" s="46"/>
      <c r="CG57" s="46"/>
      <c r="CH57" s="80"/>
      <c r="CI57" s="322"/>
      <c r="CJ57" s="46"/>
      <c r="CK57" s="46">
        <f t="shared" ref="CK57:CK59" si="80">CD7</f>
        <v>48748</v>
      </c>
      <c r="CL57" s="46" t="str">
        <f>IF(CK57 = "", "", C7)</f>
        <v>H200x100x4.3x5.2-Q235</v>
      </c>
      <c r="CM57" s="46"/>
      <c r="CN57" s="46"/>
      <c r="CO57" s="46"/>
      <c r="CP57" s="46"/>
      <c r="CQ57" s="48"/>
      <c r="CR57" s="55" t="e">
        <f t="shared" si="31"/>
        <v>#N/A</v>
      </c>
      <c r="CS57" s="56" t="e">
        <f t="shared" si="32"/>
        <v>#N/A</v>
      </c>
      <c r="CT57" s="56" t="e">
        <f t="shared" si="33"/>
        <v>#N/A</v>
      </c>
      <c r="CU57" s="56" t="e">
        <f t="shared" si="46"/>
        <v>#N/A</v>
      </c>
      <c r="CV57" s="56" t="e">
        <f t="shared" si="47"/>
        <v>#N/A</v>
      </c>
      <c r="CW57" s="56">
        <f>CW56</f>
        <v>97496</v>
      </c>
      <c r="CX57" s="57">
        <v>-100</v>
      </c>
    </row>
    <row r="58" spans="1:102" x14ac:dyDescent="0.25">
      <c r="A58" s="43"/>
      <c r="C58" s="42"/>
      <c r="D58" s="43"/>
      <c r="E58" s="43"/>
      <c r="F58" s="43"/>
      <c r="G58" s="43"/>
      <c r="H58" s="43"/>
      <c r="M58" s="125"/>
      <c r="N58" s="50"/>
      <c r="O58" s="50"/>
      <c r="P58" s="125"/>
      <c r="Q58" s="50"/>
      <c r="R58" s="50"/>
      <c r="V58" s="43"/>
      <c r="AC58" s="43"/>
      <c r="AD58" s="43"/>
      <c r="AF58" s="42"/>
      <c r="AG58" s="42"/>
      <c r="AH58" s="42"/>
      <c r="AI58" s="42"/>
      <c r="AJ58" s="42"/>
      <c r="AK58" s="42"/>
      <c r="AL58" s="42"/>
      <c r="AM58" s="42"/>
      <c r="AN58" s="43"/>
      <c r="AO58" s="43"/>
      <c r="AP58" s="43"/>
      <c r="AQ58" s="43"/>
      <c r="AR58" s="43"/>
      <c r="AS58" s="43"/>
      <c r="AT58" s="43"/>
      <c r="AU58" s="43"/>
      <c r="AV58" s="43"/>
      <c r="AW58" s="46"/>
      <c r="AX58" s="46"/>
      <c r="AY58" s="46">
        <v>53</v>
      </c>
      <c r="AZ58" s="46">
        <f t="shared" si="66"/>
        <v>0</v>
      </c>
      <c r="BA58" s="46">
        <f t="shared" si="67"/>
        <v>58085</v>
      </c>
      <c r="BB58" s="46">
        <v>53</v>
      </c>
      <c r="BC58" s="46">
        <v>51</v>
      </c>
      <c r="BD58" s="46" t="e">
        <f t="shared" si="36"/>
        <v>#N/A</v>
      </c>
      <c r="BE58" s="46" t="e">
        <f t="shared" ca="1" si="37"/>
        <v>#N/A</v>
      </c>
      <c r="BF58" s="46" t="e">
        <f t="shared" ca="1" si="68"/>
        <v>#N/A</v>
      </c>
      <c r="BG58" s="46" t="e">
        <f t="shared" ca="1" si="69"/>
        <v>#N/A</v>
      </c>
      <c r="BH58" s="46">
        <v>51</v>
      </c>
      <c r="BI58" s="46">
        <f t="shared" si="38"/>
        <v>34</v>
      </c>
      <c r="BJ58" s="46">
        <f t="shared" ca="1" si="39"/>
        <v>38267</v>
      </c>
      <c r="BK58" s="46">
        <f t="shared" ca="1" si="70"/>
        <v>37128</v>
      </c>
      <c r="BL58" s="46">
        <f t="shared" ca="1" si="71"/>
        <v>1574.6708841029067</v>
      </c>
      <c r="BM58" s="46">
        <v>51</v>
      </c>
      <c r="BN58" s="46" t="e">
        <f t="shared" si="40"/>
        <v>#N/A</v>
      </c>
      <c r="BO58" s="46" t="e">
        <f t="shared" ca="1" si="41"/>
        <v>#N/A</v>
      </c>
      <c r="BP58" s="46" t="e">
        <f t="shared" ca="1" si="72"/>
        <v>#N/A</v>
      </c>
      <c r="BQ58" s="46" t="e">
        <f t="shared" ca="1" si="73"/>
        <v>#N/A</v>
      </c>
      <c r="BR58" s="46">
        <v>51</v>
      </c>
      <c r="BS58" s="46">
        <f t="shared" si="42"/>
        <v>62</v>
      </c>
      <c r="BT58" s="46">
        <f t="shared" ca="1" si="43"/>
        <v>69525</v>
      </c>
      <c r="BU58" s="46">
        <f t="shared" ca="1" si="74"/>
        <v>68386</v>
      </c>
      <c r="BV58" s="46">
        <f t="shared" ca="1" si="75"/>
        <v>1574.6708841029067</v>
      </c>
      <c r="BW58" s="46">
        <v>51</v>
      </c>
      <c r="BX58" s="46" t="e">
        <f t="shared" si="44"/>
        <v>#N/A</v>
      </c>
      <c r="BY58" s="46" t="e">
        <f t="shared" ca="1" si="45"/>
        <v>#N/A</v>
      </c>
      <c r="BZ58" s="46" t="e">
        <f t="shared" ca="1" si="76"/>
        <v>#N/A</v>
      </c>
      <c r="CA58" s="46" t="e">
        <f t="shared" ca="1" si="77"/>
        <v>#N/A</v>
      </c>
      <c r="CC58" s="47"/>
      <c r="CD58" s="46"/>
      <c r="CE58" s="46"/>
      <c r="CF58" s="46"/>
      <c r="CG58" s="46"/>
      <c r="CH58" s="80"/>
      <c r="CI58" s="322"/>
      <c r="CJ58" s="46"/>
      <c r="CK58" s="46">
        <f t="shared" si="80"/>
        <v>80006</v>
      </c>
      <c r="CL58" s="46" t="str">
        <f>IF(CK58 = "", "", C8)</f>
        <v>H200x100x4.3x5.2-Q235</v>
      </c>
      <c r="CM58" s="46"/>
      <c r="CN58" s="46"/>
      <c r="CO58" s="46"/>
      <c r="CP58" s="46"/>
      <c r="CQ58" s="48"/>
      <c r="CR58" s="55" t="e">
        <f t="shared" si="31"/>
        <v>#N/A</v>
      </c>
      <c r="CS58" s="56" t="e">
        <f t="shared" si="32"/>
        <v>#N/A</v>
      </c>
      <c r="CT58" s="56" t="e">
        <f t="shared" si="33"/>
        <v>#N/A</v>
      </c>
      <c r="CU58" s="56" t="e">
        <f t="shared" si="46"/>
        <v>#N/A</v>
      </c>
      <c r="CV58" s="56" t="e">
        <f t="shared" si="47"/>
        <v>#N/A</v>
      </c>
      <c r="CW58" s="56"/>
      <c r="CX58" s="57"/>
    </row>
    <row r="59" spans="1:102" ht="17" thickBot="1" x14ac:dyDescent="0.3">
      <c r="A59" s="43"/>
      <c r="C59" s="42"/>
      <c r="D59" s="43"/>
      <c r="E59" s="43"/>
      <c r="F59" s="43"/>
      <c r="G59" s="43"/>
      <c r="H59" s="43"/>
      <c r="M59" s="125"/>
      <c r="N59" s="50"/>
      <c r="O59" s="50"/>
      <c r="P59" s="125"/>
      <c r="Q59" s="50"/>
      <c r="R59" s="50"/>
      <c r="V59" s="43"/>
      <c r="AC59" s="43"/>
      <c r="AD59" s="43"/>
      <c r="AF59" s="42"/>
      <c r="AG59" s="42"/>
      <c r="AH59" s="42"/>
      <c r="AI59" s="42"/>
      <c r="AJ59" s="42"/>
      <c r="AK59" s="42"/>
      <c r="AL59" s="42"/>
      <c r="AM59" s="42"/>
      <c r="AN59" s="43"/>
      <c r="AO59" s="43"/>
      <c r="AP59" s="43"/>
      <c r="AQ59" s="43"/>
      <c r="AR59" s="43"/>
      <c r="AS59" s="43"/>
      <c r="AT59" s="43"/>
      <c r="AU59" s="43"/>
      <c r="AV59" s="43"/>
      <c r="AW59" s="46"/>
      <c r="AX59" s="46"/>
      <c r="AY59" s="46">
        <v>54</v>
      </c>
      <c r="AZ59" s="46">
        <f t="shared" si="66"/>
        <v>0</v>
      </c>
      <c r="BA59" s="46">
        <f t="shared" si="67"/>
        <v>59229</v>
      </c>
      <c r="BB59" s="46">
        <v>54</v>
      </c>
      <c r="BC59" s="46">
        <v>52</v>
      </c>
      <c r="BD59" s="46" t="e">
        <f t="shared" si="36"/>
        <v>#N/A</v>
      </c>
      <c r="BE59" s="46" t="e">
        <f t="shared" ca="1" si="37"/>
        <v>#N/A</v>
      </c>
      <c r="BF59" s="46" t="e">
        <f t="shared" ca="1" si="68"/>
        <v>#N/A</v>
      </c>
      <c r="BG59" s="46" t="e">
        <f t="shared" ca="1" si="69"/>
        <v>#N/A</v>
      </c>
      <c r="BH59" s="46">
        <v>52</v>
      </c>
      <c r="BI59" s="46">
        <f t="shared" si="38"/>
        <v>34</v>
      </c>
      <c r="BJ59" s="46">
        <f t="shared" ca="1" si="39"/>
        <v>38267</v>
      </c>
      <c r="BK59" s="46">
        <f t="shared" ca="1" si="70"/>
        <v>38262</v>
      </c>
      <c r="BL59" s="46">
        <f t="shared" ca="1" si="71"/>
        <v>1574.6708841029067</v>
      </c>
      <c r="BM59" s="46">
        <v>52</v>
      </c>
      <c r="BN59" s="46" t="e">
        <f t="shared" si="40"/>
        <v>#N/A</v>
      </c>
      <c r="BO59" s="46" t="e">
        <f t="shared" ca="1" si="41"/>
        <v>#N/A</v>
      </c>
      <c r="BP59" s="46" t="e">
        <f t="shared" ca="1" si="72"/>
        <v>#N/A</v>
      </c>
      <c r="BQ59" s="46" t="e">
        <f t="shared" ca="1" si="73"/>
        <v>#N/A</v>
      </c>
      <c r="BR59" s="46">
        <v>52</v>
      </c>
      <c r="BS59" s="46">
        <f t="shared" si="42"/>
        <v>62</v>
      </c>
      <c r="BT59" s="46">
        <f t="shared" ca="1" si="43"/>
        <v>69525</v>
      </c>
      <c r="BU59" s="46">
        <f t="shared" ca="1" si="74"/>
        <v>69520</v>
      </c>
      <c r="BV59" s="46">
        <f t="shared" ca="1" si="75"/>
        <v>1574.6708841029067</v>
      </c>
      <c r="BW59" s="46">
        <v>52</v>
      </c>
      <c r="BX59" s="46" t="e">
        <f t="shared" si="44"/>
        <v>#N/A</v>
      </c>
      <c r="BY59" s="46" t="e">
        <f t="shared" ca="1" si="45"/>
        <v>#N/A</v>
      </c>
      <c r="BZ59" s="46" t="e">
        <f t="shared" ca="1" si="76"/>
        <v>#N/A</v>
      </c>
      <c r="CA59" s="46" t="e">
        <f t="shared" ca="1" si="77"/>
        <v>#N/A</v>
      </c>
      <c r="CC59" s="47"/>
      <c r="CD59" s="46"/>
      <c r="CE59" s="46"/>
      <c r="CF59" s="46"/>
      <c r="CG59" s="46"/>
      <c r="CH59" s="80"/>
      <c r="CI59" s="323"/>
      <c r="CJ59" s="206"/>
      <c r="CK59" s="206" t="str">
        <f t="shared" si="80"/>
        <v/>
      </c>
      <c r="CL59" s="206" t="str">
        <f>IF(CK59 = "", "", C9)</f>
        <v/>
      </c>
      <c r="CM59" s="206"/>
      <c r="CN59" s="206"/>
      <c r="CO59" s="206"/>
      <c r="CP59" s="206"/>
      <c r="CQ59" s="207"/>
      <c r="CR59" s="55" t="e">
        <f t="shared" si="31"/>
        <v>#N/A</v>
      </c>
      <c r="CS59" s="56" t="e">
        <f t="shared" si="32"/>
        <v>#N/A</v>
      </c>
      <c r="CT59" s="56" t="e">
        <f t="shared" si="33"/>
        <v>#N/A</v>
      </c>
      <c r="CU59" s="56" t="e">
        <f t="shared" si="46"/>
        <v>#N/A</v>
      </c>
      <c r="CV59" s="56" t="e">
        <f t="shared" si="47"/>
        <v>#N/A</v>
      </c>
      <c r="CW59" s="56"/>
      <c r="CX59" s="57"/>
    </row>
    <row r="60" spans="1:102" x14ac:dyDescent="0.25">
      <c r="A60" s="43"/>
      <c r="C60" s="42"/>
      <c r="D60" s="43"/>
      <c r="E60" s="43"/>
      <c r="F60" s="43"/>
      <c r="G60" s="43"/>
      <c r="H60" s="43"/>
      <c r="M60" s="125"/>
      <c r="N60" s="50"/>
      <c r="O60" s="50"/>
      <c r="P60" s="125"/>
      <c r="Q60" s="50"/>
      <c r="R60" s="50"/>
      <c r="V60" s="43"/>
      <c r="AC60" s="43"/>
      <c r="AD60" s="43"/>
      <c r="AF60" s="42"/>
      <c r="AG60" s="42"/>
      <c r="AH60" s="42"/>
      <c r="AI60" s="42"/>
      <c r="AJ60" s="42"/>
      <c r="AK60" s="42"/>
      <c r="AL60" s="42"/>
      <c r="AM60" s="42"/>
      <c r="AN60" s="43"/>
      <c r="AO60" s="43"/>
      <c r="AP60" s="43"/>
      <c r="AQ60" s="43"/>
      <c r="AR60" s="43"/>
      <c r="AS60" s="43"/>
      <c r="AT60" s="43"/>
      <c r="AU60" s="43"/>
      <c r="AV60" s="43"/>
      <c r="AW60" s="46"/>
      <c r="AX60" s="46"/>
      <c r="AY60" s="46">
        <v>55</v>
      </c>
      <c r="AZ60" s="46">
        <f t="shared" si="66"/>
        <v>0</v>
      </c>
      <c r="BA60" s="46">
        <f t="shared" si="67"/>
        <v>60373</v>
      </c>
      <c r="BB60" s="46">
        <v>55</v>
      </c>
      <c r="BC60" s="46">
        <v>53</v>
      </c>
      <c r="BD60" s="46" t="e">
        <f t="shared" si="36"/>
        <v>#N/A</v>
      </c>
      <c r="BE60" s="46" t="e">
        <f t="shared" ca="1" si="37"/>
        <v>#N/A</v>
      </c>
      <c r="BF60" s="46" t="e">
        <f t="shared" ca="1" si="68"/>
        <v>#N/A</v>
      </c>
      <c r="BG60" s="46" t="e">
        <f t="shared" ca="1" si="69"/>
        <v>#N/A</v>
      </c>
      <c r="BH60" s="46">
        <v>53</v>
      </c>
      <c r="BI60" s="46">
        <f t="shared" si="38"/>
        <v>34</v>
      </c>
      <c r="BJ60" s="46">
        <f t="shared" ca="1" si="39"/>
        <v>38267</v>
      </c>
      <c r="BK60" s="46">
        <f t="shared" ca="1" si="70"/>
        <v>38267</v>
      </c>
      <c r="BL60" s="46">
        <f t="shared" ca="1" si="71"/>
        <v>1429.6708841029067</v>
      </c>
      <c r="BM60" s="46">
        <v>53</v>
      </c>
      <c r="BN60" s="46" t="e">
        <f t="shared" si="40"/>
        <v>#N/A</v>
      </c>
      <c r="BO60" s="46" t="e">
        <f t="shared" ca="1" si="41"/>
        <v>#N/A</v>
      </c>
      <c r="BP60" s="46" t="e">
        <f t="shared" ca="1" si="72"/>
        <v>#N/A</v>
      </c>
      <c r="BQ60" s="46" t="e">
        <f t="shared" ca="1" si="73"/>
        <v>#N/A</v>
      </c>
      <c r="BR60" s="46">
        <v>53</v>
      </c>
      <c r="BS60" s="46">
        <f t="shared" si="42"/>
        <v>62</v>
      </c>
      <c r="BT60" s="46">
        <f t="shared" ca="1" si="43"/>
        <v>69525</v>
      </c>
      <c r="BU60" s="46">
        <f t="shared" ca="1" si="74"/>
        <v>69525</v>
      </c>
      <c r="BV60" s="46">
        <f t="shared" ca="1" si="75"/>
        <v>1429.6708841029067</v>
      </c>
      <c r="BW60" s="46">
        <v>53</v>
      </c>
      <c r="BX60" s="46" t="e">
        <f t="shared" si="44"/>
        <v>#N/A</v>
      </c>
      <c r="BY60" s="46" t="e">
        <f t="shared" ca="1" si="45"/>
        <v>#N/A</v>
      </c>
      <c r="BZ60" s="46" t="e">
        <f t="shared" ca="1" si="76"/>
        <v>#N/A</v>
      </c>
      <c r="CA60" s="46" t="e">
        <f t="shared" ca="1" si="77"/>
        <v>#N/A</v>
      </c>
      <c r="CC60" s="47"/>
      <c r="CD60" s="46"/>
      <c r="CE60" s="46"/>
      <c r="CF60" s="46"/>
      <c r="CG60" s="46"/>
      <c r="CH60" s="80"/>
      <c r="CI60" s="40"/>
      <c r="CJ60" s="202"/>
      <c r="CK60" s="202"/>
      <c r="CL60" s="202"/>
      <c r="CM60" s="202"/>
      <c r="CN60" s="202"/>
      <c r="CO60" s="202"/>
      <c r="CP60" s="202"/>
      <c r="CQ60" s="203"/>
      <c r="CR60" s="55" t="e">
        <f t="shared" si="31"/>
        <v>#N/A</v>
      </c>
      <c r="CS60" s="56" t="e">
        <f t="shared" si="32"/>
        <v>#N/A</v>
      </c>
      <c r="CT60" s="83"/>
      <c r="CU60" s="56">
        <f>AI21 - MAX(CK6:CK59)</f>
        <v>2034</v>
      </c>
      <c r="CV60" s="56">
        <f>AI21 - CU60 / 2</f>
        <v>96479</v>
      </c>
      <c r="CW60" s="56"/>
      <c r="CX60" s="57"/>
    </row>
    <row r="61" spans="1:102" ht="17" thickBot="1" x14ac:dyDescent="0.3">
      <c r="A61" s="43"/>
      <c r="C61" s="42"/>
      <c r="D61" s="43"/>
      <c r="E61" s="43"/>
      <c r="F61" s="43"/>
      <c r="G61" s="43"/>
      <c r="H61" s="43"/>
      <c r="M61" s="125"/>
      <c r="N61" s="50"/>
      <c r="O61" s="50"/>
      <c r="P61" s="125"/>
      <c r="Q61" s="50"/>
      <c r="R61" s="50"/>
      <c r="V61" s="43"/>
      <c r="AC61" s="43"/>
      <c r="AD61" s="43"/>
      <c r="AF61" s="42"/>
      <c r="AG61" s="42"/>
      <c r="AH61" s="42"/>
      <c r="AI61" s="42"/>
      <c r="AJ61" s="42"/>
      <c r="AK61" s="42"/>
      <c r="AL61" s="42"/>
      <c r="AM61" s="42"/>
      <c r="AN61" s="43"/>
      <c r="AO61" s="43"/>
      <c r="AP61" s="43"/>
      <c r="AQ61" s="43"/>
      <c r="AR61" s="43"/>
      <c r="AS61" s="43"/>
      <c r="AT61" s="43"/>
      <c r="AU61" s="43"/>
      <c r="AV61" s="43"/>
      <c r="AW61" s="46"/>
      <c r="AX61" s="46"/>
      <c r="AY61" s="46">
        <v>56</v>
      </c>
      <c r="AZ61" s="46">
        <f t="shared" si="66"/>
        <v>0</v>
      </c>
      <c r="BA61" s="46">
        <f t="shared" si="67"/>
        <v>61517</v>
      </c>
      <c r="BB61" s="46">
        <v>56</v>
      </c>
      <c r="BC61" s="46">
        <v>54</v>
      </c>
      <c r="BD61" s="46" t="e">
        <f t="shared" si="36"/>
        <v>#N/A</v>
      </c>
      <c r="BE61" s="46" t="e">
        <f t="shared" ca="1" si="37"/>
        <v>#N/A</v>
      </c>
      <c r="BF61" s="46" t="e">
        <f t="shared" ca="1" si="68"/>
        <v>#N/A</v>
      </c>
      <c r="BG61" s="46" t="e">
        <f t="shared" ca="1" si="69"/>
        <v>#N/A</v>
      </c>
      <c r="BH61" s="46">
        <v>54</v>
      </c>
      <c r="BI61" s="46">
        <f t="shared" si="38"/>
        <v>35</v>
      </c>
      <c r="BJ61" s="46">
        <f t="shared" ca="1" si="39"/>
        <v>39411</v>
      </c>
      <c r="BK61" s="46">
        <f t="shared" ca="1" si="70"/>
        <v>38272</v>
      </c>
      <c r="BL61" s="46">
        <f t="shared" ca="1" si="71"/>
        <v>1574.6708841029067</v>
      </c>
      <c r="BM61" s="46">
        <v>54</v>
      </c>
      <c r="BN61" s="46" t="e">
        <f t="shared" si="40"/>
        <v>#N/A</v>
      </c>
      <c r="BO61" s="46" t="e">
        <f t="shared" ca="1" si="41"/>
        <v>#N/A</v>
      </c>
      <c r="BP61" s="46" t="e">
        <f t="shared" ca="1" si="72"/>
        <v>#N/A</v>
      </c>
      <c r="BQ61" s="46" t="e">
        <f t="shared" ca="1" si="73"/>
        <v>#N/A</v>
      </c>
      <c r="BR61" s="46">
        <v>54</v>
      </c>
      <c r="BS61" s="46">
        <f t="shared" si="42"/>
        <v>63</v>
      </c>
      <c r="BT61" s="46">
        <f t="shared" ca="1" si="43"/>
        <v>70669</v>
      </c>
      <c r="BU61" s="46">
        <f t="shared" ca="1" si="74"/>
        <v>69530</v>
      </c>
      <c r="BV61" s="46">
        <f t="shared" ca="1" si="75"/>
        <v>1574.6708841029067</v>
      </c>
      <c r="BW61" s="46">
        <v>54</v>
      </c>
      <c r="BX61" s="46" t="e">
        <f t="shared" si="44"/>
        <v>#N/A</v>
      </c>
      <c r="BY61" s="46" t="e">
        <f t="shared" ca="1" si="45"/>
        <v>#N/A</v>
      </c>
      <c r="BZ61" s="46" t="e">
        <f t="shared" ca="1" si="76"/>
        <v>#N/A</v>
      </c>
      <c r="CA61" s="46" t="e">
        <f t="shared" ca="1" si="77"/>
        <v>#N/A</v>
      </c>
      <c r="CC61" s="63"/>
      <c r="CD61" s="64"/>
      <c r="CE61" s="64"/>
      <c r="CF61" s="64"/>
      <c r="CG61" s="64"/>
      <c r="CH61" s="84"/>
      <c r="CI61" s="63"/>
      <c r="CJ61" s="64"/>
      <c r="CK61" s="64"/>
      <c r="CL61" s="64"/>
      <c r="CM61" s="64"/>
      <c r="CN61" s="64"/>
      <c r="CO61" s="64"/>
      <c r="CP61" s="64"/>
      <c r="CQ61" s="65"/>
      <c r="CR61" s="55" t="e">
        <f t="shared" si="31"/>
        <v>#N/A</v>
      </c>
      <c r="CS61" s="56" t="e">
        <f t="shared" si="32"/>
        <v>#N/A</v>
      </c>
      <c r="CT61" s="85"/>
      <c r="CU61" s="86">
        <v>10000000000</v>
      </c>
      <c r="CV61" s="85">
        <f>AI21</f>
        <v>97496</v>
      </c>
      <c r="CW61" s="85"/>
      <c r="CX61" s="79"/>
    </row>
    <row r="62" spans="1:102" ht="17" thickTop="1" x14ac:dyDescent="0.25">
      <c r="A62" s="43"/>
      <c r="C62" s="42"/>
      <c r="D62" s="43"/>
      <c r="E62" s="43"/>
      <c r="F62" s="43"/>
      <c r="G62" s="43"/>
      <c r="H62" s="43"/>
      <c r="M62" s="125"/>
      <c r="N62" s="50"/>
      <c r="O62" s="50"/>
      <c r="P62" s="125"/>
      <c r="Q62" s="50"/>
      <c r="R62" s="50"/>
      <c r="V62" s="43"/>
      <c r="AC62" s="43"/>
      <c r="AD62" s="43"/>
      <c r="AF62" s="42"/>
      <c r="AG62" s="42"/>
      <c r="AH62" s="42"/>
      <c r="AI62" s="42"/>
      <c r="AJ62" s="42"/>
      <c r="AK62" s="42"/>
      <c r="AL62" s="42"/>
      <c r="AM62" s="42"/>
      <c r="AN62" s="43"/>
      <c r="AO62" s="43"/>
      <c r="AP62" s="43"/>
      <c r="AQ62" s="43"/>
      <c r="AR62" s="43"/>
      <c r="AS62" s="43"/>
      <c r="AT62" s="43"/>
      <c r="AU62" s="43"/>
      <c r="AV62" s="43"/>
      <c r="AW62" s="46"/>
      <c r="AX62" s="46"/>
      <c r="AY62" s="46">
        <v>57</v>
      </c>
      <c r="AZ62" s="46">
        <f t="shared" si="66"/>
        <v>0</v>
      </c>
      <c r="BA62" s="46">
        <f t="shared" si="67"/>
        <v>62661</v>
      </c>
      <c r="BB62" s="46">
        <v>57</v>
      </c>
      <c r="BC62" s="46">
        <v>55</v>
      </c>
      <c r="BD62" s="46" t="e">
        <f t="shared" si="36"/>
        <v>#N/A</v>
      </c>
      <c r="BE62" s="46" t="e">
        <f t="shared" ca="1" si="37"/>
        <v>#N/A</v>
      </c>
      <c r="BF62" s="46" t="e">
        <f t="shared" ca="1" si="68"/>
        <v>#N/A</v>
      </c>
      <c r="BG62" s="46" t="e">
        <f t="shared" ca="1" si="69"/>
        <v>#N/A</v>
      </c>
      <c r="BH62" s="46">
        <v>55</v>
      </c>
      <c r="BI62" s="46">
        <f t="shared" si="38"/>
        <v>35</v>
      </c>
      <c r="BJ62" s="46">
        <f t="shared" ca="1" si="39"/>
        <v>39411</v>
      </c>
      <c r="BK62" s="46">
        <f t="shared" ca="1" si="70"/>
        <v>39406</v>
      </c>
      <c r="BL62" s="46">
        <f t="shared" ca="1" si="71"/>
        <v>1574.6708841029067</v>
      </c>
      <c r="BM62" s="46">
        <v>55</v>
      </c>
      <c r="BN62" s="46" t="e">
        <f t="shared" si="40"/>
        <v>#N/A</v>
      </c>
      <c r="BO62" s="46" t="e">
        <f t="shared" ca="1" si="41"/>
        <v>#N/A</v>
      </c>
      <c r="BP62" s="46" t="e">
        <f t="shared" ca="1" si="72"/>
        <v>#N/A</v>
      </c>
      <c r="BQ62" s="46" t="e">
        <f t="shared" ca="1" si="73"/>
        <v>#N/A</v>
      </c>
      <c r="BR62" s="46">
        <v>55</v>
      </c>
      <c r="BS62" s="46">
        <f t="shared" si="42"/>
        <v>63</v>
      </c>
      <c r="BT62" s="46">
        <f t="shared" ca="1" si="43"/>
        <v>70669</v>
      </c>
      <c r="BU62" s="46">
        <f t="shared" ca="1" si="74"/>
        <v>70664</v>
      </c>
      <c r="BV62" s="46">
        <f t="shared" ca="1" si="75"/>
        <v>1574.6708841029067</v>
      </c>
      <c r="BW62" s="46">
        <v>55</v>
      </c>
      <c r="BX62" s="46" t="e">
        <f t="shared" si="44"/>
        <v>#N/A</v>
      </c>
      <c r="BY62" s="46" t="e">
        <f t="shared" ca="1" si="45"/>
        <v>#N/A</v>
      </c>
      <c r="BZ62" s="46" t="e">
        <f t="shared" ca="1" si="76"/>
        <v>#N/A</v>
      </c>
      <c r="CA62" s="46" t="e">
        <f t="shared" ca="1" si="77"/>
        <v>#N/A</v>
      </c>
      <c r="CO62" s="43"/>
      <c r="CP62" s="43"/>
      <c r="CQ62" s="43"/>
    </row>
    <row r="63" spans="1:102" x14ac:dyDescent="0.25">
      <c r="A63" s="43"/>
      <c r="C63" s="42"/>
      <c r="D63" s="43"/>
      <c r="E63" s="43"/>
      <c r="F63" s="43"/>
      <c r="G63" s="43"/>
      <c r="H63" s="43"/>
      <c r="M63" s="125"/>
      <c r="N63" s="50"/>
      <c r="O63" s="50"/>
      <c r="P63" s="125"/>
      <c r="Q63" s="50"/>
      <c r="R63" s="50"/>
      <c r="V63" s="43"/>
      <c r="AC63" s="43"/>
      <c r="AD63" s="43"/>
      <c r="AF63" s="42"/>
      <c r="AG63" s="42"/>
      <c r="AH63" s="42"/>
      <c r="AI63" s="42"/>
      <c r="AJ63" s="42"/>
      <c r="AK63" s="42"/>
      <c r="AL63" s="42"/>
      <c r="AM63" s="42"/>
      <c r="AN63" s="43"/>
      <c r="AO63" s="43"/>
      <c r="AP63" s="43"/>
      <c r="AQ63" s="43"/>
      <c r="AR63" s="43"/>
      <c r="AS63" s="43"/>
      <c r="AT63" s="43"/>
      <c r="AU63" s="43"/>
      <c r="AV63" s="43"/>
      <c r="AW63" s="46"/>
      <c r="AX63" s="46"/>
      <c r="AY63" s="46">
        <v>58</v>
      </c>
      <c r="AZ63" s="46">
        <f t="shared" si="66"/>
        <v>0</v>
      </c>
      <c r="BA63" s="46">
        <f t="shared" si="67"/>
        <v>63805</v>
      </c>
      <c r="BB63" s="46">
        <v>58</v>
      </c>
      <c r="BC63" s="46">
        <v>56</v>
      </c>
      <c r="BD63" s="46" t="e">
        <f t="shared" si="36"/>
        <v>#N/A</v>
      </c>
      <c r="BE63" s="46" t="e">
        <f t="shared" ca="1" si="37"/>
        <v>#N/A</v>
      </c>
      <c r="BF63" s="46" t="e">
        <f t="shared" ca="1" si="68"/>
        <v>#N/A</v>
      </c>
      <c r="BG63" s="46" t="e">
        <f t="shared" ca="1" si="69"/>
        <v>#N/A</v>
      </c>
      <c r="BH63" s="46">
        <v>56</v>
      </c>
      <c r="BI63" s="46">
        <f t="shared" si="38"/>
        <v>35</v>
      </c>
      <c r="BJ63" s="46">
        <f t="shared" ca="1" si="39"/>
        <v>39411</v>
      </c>
      <c r="BK63" s="46">
        <f t="shared" ca="1" si="70"/>
        <v>39411</v>
      </c>
      <c r="BL63" s="46">
        <f t="shared" ca="1" si="71"/>
        <v>1429.6708841029067</v>
      </c>
      <c r="BM63" s="46">
        <v>56</v>
      </c>
      <c r="BN63" s="46" t="e">
        <f t="shared" si="40"/>
        <v>#N/A</v>
      </c>
      <c r="BO63" s="46" t="e">
        <f t="shared" ca="1" si="41"/>
        <v>#N/A</v>
      </c>
      <c r="BP63" s="46" t="e">
        <f t="shared" ca="1" si="72"/>
        <v>#N/A</v>
      </c>
      <c r="BQ63" s="46" t="e">
        <f t="shared" ca="1" si="73"/>
        <v>#N/A</v>
      </c>
      <c r="BR63" s="46">
        <v>56</v>
      </c>
      <c r="BS63" s="46">
        <f t="shared" si="42"/>
        <v>63</v>
      </c>
      <c r="BT63" s="46">
        <f t="shared" ca="1" si="43"/>
        <v>70669</v>
      </c>
      <c r="BU63" s="46">
        <f t="shared" ca="1" si="74"/>
        <v>70669</v>
      </c>
      <c r="BV63" s="46">
        <f t="shared" ca="1" si="75"/>
        <v>1429.6708841029067</v>
      </c>
      <c r="BW63" s="46">
        <v>56</v>
      </c>
      <c r="BX63" s="46" t="e">
        <f t="shared" si="44"/>
        <v>#N/A</v>
      </c>
      <c r="BY63" s="46" t="e">
        <f t="shared" ca="1" si="45"/>
        <v>#N/A</v>
      </c>
      <c r="BZ63" s="46" t="e">
        <f t="shared" ca="1" si="76"/>
        <v>#N/A</v>
      </c>
      <c r="CA63" s="46" t="e">
        <f t="shared" ca="1" si="77"/>
        <v>#N/A</v>
      </c>
      <c r="CO63" s="43"/>
      <c r="CP63" s="43"/>
      <c r="CQ63" s="43"/>
    </row>
    <row r="64" spans="1:102" x14ac:dyDescent="0.25">
      <c r="B64" s="42"/>
      <c r="C64" s="42"/>
      <c r="I64" s="42"/>
      <c r="J64" s="42"/>
      <c r="M64" s="125"/>
      <c r="N64" s="50"/>
      <c r="O64" s="50"/>
      <c r="P64" s="125"/>
      <c r="Q64" s="50"/>
      <c r="R64" s="50"/>
      <c r="V64" s="43"/>
      <c r="AC64" s="43"/>
      <c r="AD64" s="43"/>
      <c r="AF64" s="42"/>
      <c r="AG64" s="42"/>
      <c r="AH64" s="42"/>
      <c r="AI64" s="42"/>
      <c r="AJ64" s="42"/>
      <c r="AK64" s="42"/>
      <c r="AL64" s="42"/>
      <c r="AM64" s="42"/>
      <c r="AN64" s="43"/>
      <c r="AO64" s="43"/>
      <c r="AP64" s="43"/>
      <c r="AQ64" s="43"/>
      <c r="AR64" s="43"/>
      <c r="AS64" s="43"/>
      <c r="AT64" s="43"/>
      <c r="AU64" s="43"/>
      <c r="AV64" s="43"/>
      <c r="AW64" s="46"/>
      <c r="AX64" s="46"/>
      <c r="AY64" s="46">
        <v>59</v>
      </c>
      <c r="AZ64" s="46">
        <f t="shared" si="66"/>
        <v>0</v>
      </c>
      <c r="BA64" s="46">
        <f t="shared" si="67"/>
        <v>64949</v>
      </c>
      <c r="BB64" s="46">
        <v>59</v>
      </c>
      <c r="BC64" s="46">
        <v>57</v>
      </c>
      <c r="BD64" s="46" t="e">
        <f t="shared" si="36"/>
        <v>#N/A</v>
      </c>
      <c r="BE64" s="46" t="e">
        <f t="shared" ca="1" si="37"/>
        <v>#N/A</v>
      </c>
      <c r="BF64" s="46" t="e">
        <f t="shared" ca="1" si="68"/>
        <v>#N/A</v>
      </c>
      <c r="BG64" s="46" t="e">
        <f t="shared" ca="1" si="69"/>
        <v>#N/A</v>
      </c>
      <c r="BH64" s="46">
        <v>57</v>
      </c>
      <c r="BI64" s="46">
        <f t="shared" si="38"/>
        <v>36</v>
      </c>
      <c r="BJ64" s="46">
        <f t="shared" ca="1" si="39"/>
        <v>40555</v>
      </c>
      <c r="BK64" s="46">
        <f t="shared" ca="1" si="70"/>
        <v>39416</v>
      </c>
      <c r="BL64" s="46">
        <f t="shared" ca="1" si="71"/>
        <v>1574.6708841029067</v>
      </c>
      <c r="BM64" s="46">
        <v>57</v>
      </c>
      <c r="BN64" s="46" t="e">
        <f t="shared" si="40"/>
        <v>#N/A</v>
      </c>
      <c r="BO64" s="46" t="e">
        <f t="shared" ca="1" si="41"/>
        <v>#N/A</v>
      </c>
      <c r="BP64" s="46" t="e">
        <f t="shared" ca="1" si="72"/>
        <v>#N/A</v>
      </c>
      <c r="BQ64" s="46" t="e">
        <f t="shared" ca="1" si="73"/>
        <v>#N/A</v>
      </c>
      <c r="BR64" s="46">
        <v>57</v>
      </c>
      <c r="BS64" s="46">
        <f t="shared" si="42"/>
        <v>64</v>
      </c>
      <c r="BT64" s="46">
        <f t="shared" ca="1" si="43"/>
        <v>71813</v>
      </c>
      <c r="BU64" s="46">
        <f t="shared" ca="1" si="74"/>
        <v>70674</v>
      </c>
      <c r="BV64" s="46">
        <f t="shared" ca="1" si="75"/>
        <v>1574.6708841029067</v>
      </c>
      <c r="BW64" s="46">
        <v>57</v>
      </c>
      <c r="BX64" s="46" t="e">
        <f t="shared" si="44"/>
        <v>#N/A</v>
      </c>
      <c r="BY64" s="46" t="e">
        <f t="shared" ca="1" si="45"/>
        <v>#N/A</v>
      </c>
      <c r="BZ64" s="46" t="e">
        <f t="shared" ca="1" si="76"/>
        <v>#N/A</v>
      </c>
      <c r="CA64" s="46" t="e">
        <f t="shared" ca="1" si="77"/>
        <v>#N/A</v>
      </c>
      <c r="CO64" s="43"/>
      <c r="CP64" s="43"/>
      <c r="CQ64" s="43"/>
    </row>
    <row r="65" spans="1:96" x14ac:dyDescent="0.25">
      <c r="B65" s="42"/>
      <c r="C65" s="42"/>
      <c r="I65" s="42"/>
      <c r="J65" s="42"/>
      <c r="M65" s="125"/>
      <c r="N65" s="50"/>
      <c r="O65" s="50"/>
      <c r="P65" s="125"/>
      <c r="Q65" s="50"/>
      <c r="R65" s="50"/>
      <c r="V65" s="43"/>
      <c r="AC65" s="43"/>
      <c r="AD65" s="43"/>
      <c r="AF65" s="42"/>
      <c r="AG65" s="42"/>
      <c r="AH65" s="42"/>
      <c r="AI65" s="42"/>
      <c r="AJ65" s="42"/>
      <c r="AK65" s="42"/>
      <c r="AL65" s="42"/>
      <c r="AM65" s="42"/>
      <c r="AN65" s="43"/>
      <c r="AO65" s="43"/>
      <c r="AP65" s="43"/>
      <c r="AQ65" s="43"/>
      <c r="AR65" s="43"/>
      <c r="AS65" s="43"/>
      <c r="AT65" s="43"/>
      <c r="AU65" s="43"/>
      <c r="AV65" s="43"/>
      <c r="AW65" s="46"/>
      <c r="AX65" s="46"/>
      <c r="AY65" s="46">
        <v>60</v>
      </c>
      <c r="AZ65" s="46">
        <f t="shared" si="66"/>
        <v>0</v>
      </c>
      <c r="BA65" s="46">
        <f t="shared" si="67"/>
        <v>66093</v>
      </c>
      <c r="BB65" s="46">
        <v>60</v>
      </c>
      <c r="BC65" s="46">
        <v>58</v>
      </c>
      <c r="BD65" s="46" t="e">
        <f t="shared" si="36"/>
        <v>#N/A</v>
      </c>
      <c r="BE65" s="46" t="e">
        <f t="shared" ca="1" si="37"/>
        <v>#N/A</v>
      </c>
      <c r="BF65" s="46" t="e">
        <f t="shared" ca="1" si="68"/>
        <v>#N/A</v>
      </c>
      <c r="BG65" s="46" t="e">
        <f t="shared" ca="1" si="69"/>
        <v>#N/A</v>
      </c>
      <c r="BH65" s="46">
        <v>58</v>
      </c>
      <c r="BI65" s="46">
        <f t="shared" si="38"/>
        <v>36</v>
      </c>
      <c r="BJ65" s="46">
        <f t="shared" ca="1" si="39"/>
        <v>40555</v>
      </c>
      <c r="BK65" s="46">
        <f t="shared" ca="1" si="70"/>
        <v>40550</v>
      </c>
      <c r="BL65" s="46">
        <f t="shared" ca="1" si="71"/>
        <v>1574.6708841029067</v>
      </c>
      <c r="BM65" s="46">
        <v>58</v>
      </c>
      <c r="BN65" s="46" t="e">
        <f t="shared" si="40"/>
        <v>#N/A</v>
      </c>
      <c r="BO65" s="46" t="e">
        <f t="shared" ca="1" si="41"/>
        <v>#N/A</v>
      </c>
      <c r="BP65" s="46" t="e">
        <f t="shared" ca="1" si="72"/>
        <v>#N/A</v>
      </c>
      <c r="BQ65" s="46" t="e">
        <f t="shared" ca="1" si="73"/>
        <v>#N/A</v>
      </c>
      <c r="BR65" s="46">
        <v>58</v>
      </c>
      <c r="BS65" s="46">
        <f t="shared" si="42"/>
        <v>64</v>
      </c>
      <c r="BT65" s="46">
        <f t="shared" ca="1" si="43"/>
        <v>71813</v>
      </c>
      <c r="BU65" s="46">
        <f t="shared" ca="1" si="74"/>
        <v>71808</v>
      </c>
      <c r="BV65" s="46">
        <f t="shared" ca="1" si="75"/>
        <v>1574.6708841029067</v>
      </c>
      <c r="BW65" s="46">
        <v>58</v>
      </c>
      <c r="BX65" s="46" t="e">
        <f t="shared" si="44"/>
        <v>#N/A</v>
      </c>
      <c r="BY65" s="46" t="e">
        <f t="shared" ca="1" si="45"/>
        <v>#N/A</v>
      </c>
      <c r="BZ65" s="46" t="e">
        <f t="shared" ca="1" si="76"/>
        <v>#N/A</v>
      </c>
      <c r="CA65" s="46" t="e">
        <f t="shared" ca="1" si="77"/>
        <v>#N/A</v>
      </c>
      <c r="CO65" s="43"/>
      <c r="CP65" s="43"/>
      <c r="CQ65" s="43"/>
    </row>
    <row r="66" spans="1:96" ht="20" x14ac:dyDescent="0.25">
      <c r="B66" s="42"/>
      <c r="C66" s="42"/>
      <c r="I66" s="42"/>
      <c r="J66" s="42"/>
      <c r="M66" s="125"/>
      <c r="N66" s="50"/>
      <c r="O66" s="50"/>
      <c r="P66" s="125"/>
      <c r="Q66" s="50"/>
      <c r="R66" s="50"/>
      <c r="V66" s="43"/>
      <c r="AC66" s="43"/>
      <c r="AD66" s="43"/>
      <c r="AF66" s="42"/>
      <c r="AG66" s="42"/>
      <c r="AH66" s="42"/>
      <c r="AI66" s="42"/>
      <c r="AJ66" s="42"/>
      <c r="AK66" s="42"/>
      <c r="AL66" s="42"/>
      <c r="AM66" s="42"/>
      <c r="AN66" s="43"/>
      <c r="AO66" s="43"/>
      <c r="AP66" s="43"/>
      <c r="AQ66" s="43"/>
      <c r="AR66" s="43"/>
      <c r="AS66" s="43"/>
      <c r="AT66" s="43"/>
      <c r="AU66" s="43"/>
      <c r="AV66" s="43"/>
      <c r="AW66" s="46"/>
      <c r="AX66" s="46"/>
      <c r="AY66" s="46">
        <v>61</v>
      </c>
      <c r="AZ66" s="46">
        <f t="shared" si="66"/>
        <v>0</v>
      </c>
      <c r="BA66" s="46">
        <f t="shared" si="67"/>
        <v>67237</v>
      </c>
      <c r="BB66" s="46">
        <v>61</v>
      </c>
      <c r="BC66" s="46">
        <v>59</v>
      </c>
      <c r="BD66" s="46" t="e">
        <f t="shared" si="36"/>
        <v>#N/A</v>
      </c>
      <c r="BE66" s="46" t="e">
        <f t="shared" ca="1" si="37"/>
        <v>#N/A</v>
      </c>
      <c r="BF66" s="46" t="e">
        <f t="shared" ca="1" si="68"/>
        <v>#N/A</v>
      </c>
      <c r="BG66" s="46" t="e">
        <f t="shared" ca="1" si="69"/>
        <v>#N/A</v>
      </c>
      <c r="BH66" s="46">
        <v>59</v>
      </c>
      <c r="BI66" s="46">
        <f t="shared" si="38"/>
        <v>36</v>
      </c>
      <c r="BJ66" s="46">
        <f t="shared" ca="1" si="39"/>
        <v>40555</v>
      </c>
      <c r="BK66" s="46">
        <f t="shared" ca="1" si="70"/>
        <v>40555</v>
      </c>
      <c r="BL66" s="46">
        <f t="shared" ca="1" si="71"/>
        <v>1429.6708841029067</v>
      </c>
      <c r="BM66" s="46">
        <v>59</v>
      </c>
      <c r="BN66" s="46" t="e">
        <f t="shared" si="40"/>
        <v>#N/A</v>
      </c>
      <c r="BO66" s="46" t="e">
        <f t="shared" ca="1" si="41"/>
        <v>#N/A</v>
      </c>
      <c r="BP66" s="46" t="e">
        <f t="shared" ca="1" si="72"/>
        <v>#N/A</v>
      </c>
      <c r="BQ66" s="46" t="e">
        <f t="shared" ca="1" si="73"/>
        <v>#N/A</v>
      </c>
      <c r="BR66" s="46">
        <v>59</v>
      </c>
      <c r="BS66" s="46">
        <f t="shared" si="42"/>
        <v>64</v>
      </c>
      <c r="BT66" s="46">
        <f t="shared" ca="1" si="43"/>
        <v>71813</v>
      </c>
      <c r="BU66" s="46">
        <f t="shared" ca="1" si="74"/>
        <v>71813</v>
      </c>
      <c r="BV66" s="46">
        <f t="shared" ca="1" si="75"/>
        <v>1429.6708841029067</v>
      </c>
      <c r="BW66" s="46">
        <v>59</v>
      </c>
      <c r="BX66" s="46" t="e">
        <f t="shared" si="44"/>
        <v>#N/A</v>
      </c>
      <c r="BY66" s="46" t="e">
        <f t="shared" ca="1" si="45"/>
        <v>#N/A</v>
      </c>
      <c r="BZ66" s="46" t="e">
        <f t="shared" ca="1" si="76"/>
        <v>#N/A</v>
      </c>
      <c r="CA66" s="46" t="e">
        <f t="shared" ca="1" si="77"/>
        <v>#N/A</v>
      </c>
      <c r="CC66" s="288"/>
      <c r="CD66" s="288"/>
      <c r="CE66" s="288"/>
      <c r="CF66" s="288"/>
      <c r="CG66" s="288"/>
      <c r="CH66" s="288"/>
      <c r="CI66" s="288"/>
      <c r="CJ66" s="288"/>
      <c r="CO66" s="43"/>
      <c r="CP66" s="127"/>
      <c r="CQ66" s="44"/>
      <c r="CR66" s="44"/>
    </row>
    <row r="67" spans="1:96" x14ac:dyDescent="0.25">
      <c r="B67" s="42"/>
      <c r="C67" s="42"/>
      <c r="I67" s="42"/>
      <c r="J67" s="42"/>
      <c r="M67" s="125"/>
      <c r="N67" s="50"/>
      <c r="O67" s="50"/>
      <c r="P67" s="125"/>
      <c r="Q67" s="50"/>
      <c r="R67" s="50"/>
      <c r="V67" s="43"/>
      <c r="AC67" s="43"/>
      <c r="AD67" s="43"/>
      <c r="AF67" s="42"/>
      <c r="AG67" s="42"/>
      <c r="AH67" s="42"/>
      <c r="AI67" s="42"/>
      <c r="AJ67" s="42"/>
      <c r="AK67" s="42"/>
      <c r="AL67" s="42"/>
      <c r="AM67" s="42"/>
      <c r="AN67" s="43"/>
      <c r="AO67" s="43"/>
      <c r="AP67" s="43"/>
      <c r="AQ67" s="43"/>
      <c r="AR67" s="43"/>
      <c r="AS67" s="43"/>
      <c r="AT67" s="43"/>
      <c r="AU67" s="43"/>
      <c r="AV67" s="43"/>
      <c r="AW67" s="46"/>
      <c r="AX67" s="46"/>
      <c r="AY67" s="46">
        <v>62</v>
      </c>
      <c r="AZ67" s="46">
        <f t="shared" si="66"/>
        <v>0</v>
      </c>
      <c r="BA67" s="46">
        <f t="shared" si="67"/>
        <v>68381</v>
      </c>
      <c r="BB67" s="46">
        <v>62</v>
      </c>
      <c r="BC67" s="46">
        <v>60</v>
      </c>
      <c r="BD67" s="46" t="e">
        <f t="shared" si="36"/>
        <v>#N/A</v>
      </c>
      <c r="BE67" s="46" t="e">
        <f t="shared" ca="1" si="37"/>
        <v>#N/A</v>
      </c>
      <c r="BF67" s="46" t="e">
        <f t="shared" ca="1" si="68"/>
        <v>#N/A</v>
      </c>
      <c r="BG67" s="46" t="e">
        <f t="shared" ca="1" si="69"/>
        <v>#N/A</v>
      </c>
      <c r="BH67" s="46">
        <v>60</v>
      </c>
      <c r="BI67" s="46">
        <f t="shared" si="38"/>
        <v>37</v>
      </c>
      <c r="BJ67" s="46">
        <f t="shared" ca="1" si="39"/>
        <v>41699</v>
      </c>
      <c r="BK67" s="46">
        <f t="shared" ca="1" si="70"/>
        <v>40560</v>
      </c>
      <c r="BL67" s="46">
        <f t="shared" ca="1" si="71"/>
        <v>1574.6708841029067</v>
      </c>
      <c r="BM67" s="46">
        <v>60</v>
      </c>
      <c r="BN67" s="46" t="e">
        <f t="shared" si="40"/>
        <v>#N/A</v>
      </c>
      <c r="BO67" s="46" t="e">
        <f t="shared" ca="1" si="41"/>
        <v>#N/A</v>
      </c>
      <c r="BP67" s="46" t="e">
        <f t="shared" ca="1" si="72"/>
        <v>#N/A</v>
      </c>
      <c r="BQ67" s="46" t="e">
        <f t="shared" ca="1" si="73"/>
        <v>#N/A</v>
      </c>
      <c r="BR67" s="46">
        <v>60</v>
      </c>
      <c r="BS67" s="46">
        <f t="shared" si="42"/>
        <v>65</v>
      </c>
      <c r="BT67" s="46">
        <f t="shared" ca="1" si="43"/>
        <v>72957</v>
      </c>
      <c r="BU67" s="46">
        <f t="shared" ca="1" si="74"/>
        <v>71818</v>
      </c>
      <c r="BV67" s="46">
        <f t="shared" ca="1" si="75"/>
        <v>1574.6708841029067</v>
      </c>
      <c r="BW67" s="46">
        <v>60</v>
      </c>
      <c r="BX67" s="46" t="e">
        <f t="shared" si="44"/>
        <v>#N/A</v>
      </c>
      <c r="BY67" s="46" t="e">
        <f t="shared" ca="1" si="45"/>
        <v>#N/A</v>
      </c>
      <c r="BZ67" s="46" t="e">
        <f t="shared" ca="1" si="76"/>
        <v>#N/A</v>
      </c>
      <c r="CA67" s="46" t="e">
        <f t="shared" ca="1" si="77"/>
        <v>#N/A</v>
      </c>
      <c r="CC67" s="320"/>
      <c r="CD67" s="320"/>
      <c r="CE67" s="320"/>
      <c r="CF67" s="320"/>
      <c r="CG67" s="320"/>
      <c r="CH67" s="320"/>
      <c r="CI67" s="320"/>
      <c r="CJ67" s="320"/>
      <c r="CO67" s="43"/>
    </row>
    <row r="68" spans="1:96" x14ac:dyDescent="0.25">
      <c r="B68" s="42"/>
      <c r="C68" s="42"/>
      <c r="I68" s="42"/>
      <c r="J68" s="42"/>
      <c r="M68" s="125"/>
      <c r="N68" s="50"/>
      <c r="O68" s="50"/>
      <c r="P68" s="125"/>
      <c r="Q68" s="50"/>
      <c r="R68" s="50"/>
      <c r="V68" s="43"/>
      <c r="AC68" s="43"/>
      <c r="AD68" s="43"/>
      <c r="AF68" s="42"/>
      <c r="AG68" s="42"/>
      <c r="AH68" s="42"/>
      <c r="AI68" s="42"/>
      <c r="AJ68" s="42"/>
      <c r="AK68" s="42"/>
      <c r="AL68" s="42"/>
      <c r="AM68" s="42"/>
      <c r="AN68" s="43"/>
      <c r="AO68" s="43"/>
      <c r="AP68" s="43"/>
      <c r="AQ68" s="43"/>
      <c r="AR68" s="43"/>
      <c r="AS68" s="43"/>
      <c r="AT68" s="43"/>
      <c r="AU68" s="43"/>
      <c r="AV68" s="43"/>
      <c r="AW68" s="46"/>
      <c r="AX68" s="46"/>
      <c r="AY68" s="46">
        <v>63</v>
      </c>
      <c r="AZ68" s="46">
        <f t="shared" si="66"/>
        <v>0</v>
      </c>
      <c r="BA68" s="46">
        <f t="shared" si="67"/>
        <v>69525</v>
      </c>
      <c r="BB68" s="46">
        <v>63</v>
      </c>
      <c r="BC68" s="46">
        <v>61</v>
      </c>
      <c r="BD68" s="46" t="e">
        <f t="shared" si="36"/>
        <v>#N/A</v>
      </c>
      <c r="BE68" s="46" t="e">
        <f t="shared" ca="1" si="37"/>
        <v>#N/A</v>
      </c>
      <c r="BF68" s="46" t="e">
        <f t="shared" ca="1" si="68"/>
        <v>#N/A</v>
      </c>
      <c r="BG68" s="46" t="e">
        <f t="shared" ca="1" si="69"/>
        <v>#N/A</v>
      </c>
      <c r="BH68" s="46">
        <v>61</v>
      </c>
      <c r="BI68" s="46">
        <f t="shared" si="38"/>
        <v>37</v>
      </c>
      <c r="BJ68" s="46">
        <f t="shared" ca="1" si="39"/>
        <v>41699</v>
      </c>
      <c r="BK68" s="46">
        <f t="shared" ca="1" si="70"/>
        <v>41694</v>
      </c>
      <c r="BL68" s="46">
        <f t="shared" ca="1" si="71"/>
        <v>1574.6708841029067</v>
      </c>
      <c r="BM68" s="46">
        <v>61</v>
      </c>
      <c r="BN68" s="46" t="e">
        <f t="shared" si="40"/>
        <v>#N/A</v>
      </c>
      <c r="BO68" s="46" t="e">
        <f t="shared" ca="1" si="41"/>
        <v>#N/A</v>
      </c>
      <c r="BP68" s="46" t="e">
        <f t="shared" ca="1" si="72"/>
        <v>#N/A</v>
      </c>
      <c r="BQ68" s="46" t="e">
        <f t="shared" ca="1" si="73"/>
        <v>#N/A</v>
      </c>
      <c r="BR68" s="46">
        <v>61</v>
      </c>
      <c r="BS68" s="46">
        <f t="shared" si="42"/>
        <v>65</v>
      </c>
      <c r="BT68" s="46">
        <f t="shared" ca="1" si="43"/>
        <v>72957</v>
      </c>
      <c r="BU68" s="46">
        <f t="shared" ca="1" si="74"/>
        <v>72952</v>
      </c>
      <c r="BV68" s="46">
        <f t="shared" ca="1" si="75"/>
        <v>1574.6708841029067</v>
      </c>
      <c r="BW68" s="46">
        <v>61</v>
      </c>
      <c r="BX68" s="46" t="e">
        <f t="shared" si="44"/>
        <v>#N/A</v>
      </c>
      <c r="BY68" s="46" t="e">
        <f t="shared" ca="1" si="45"/>
        <v>#N/A</v>
      </c>
      <c r="BZ68" s="46" t="e">
        <f t="shared" ca="1" si="76"/>
        <v>#N/A</v>
      </c>
      <c r="CA68" s="46" t="e">
        <f t="shared" ca="1" si="77"/>
        <v>#N/A</v>
      </c>
      <c r="CC68" s="50"/>
      <c r="CD68" s="50"/>
      <c r="CE68" s="50"/>
      <c r="CF68" s="50"/>
      <c r="CG68" s="50"/>
      <c r="CH68" s="50"/>
      <c r="CI68" s="50"/>
      <c r="CJ68" s="50"/>
      <c r="CO68" s="43"/>
    </row>
    <row r="69" spans="1:96" x14ac:dyDescent="0.25">
      <c r="B69" s="42"/>
      <c r="C69" s="42"/>
      <c r="I69" s="42"/>
      <c r="J69" s="42"/>
      <c r="M69" s="125"/>
      <c r="N69" s="50"/>
      <c r="O69" s="50"/>
      <c r="P69" s="125"/>
      <c r="Q69" s="50"/>
      <c r="R69" s="50"/>
      <c r="V69" s="43"/>
      <c r="AC69" s="43"/>
      <c r="AD69" s="43"/>
      <c r="AF69" s="42"/>
      <c r="AG69" s="42"/>
      <c r="AH69" s="42"/>
      <c r="AI69" s="42"/>
      <c r="AJ69" s="42"/>
      <c r="AK69" s="42"/>
      <c r="AL69" s="42"/>
      <c r="AM69" s="42"/>
      <c r="AN69" s="43"/>
      <c r="AO69" s="43"/>
      <c r="AP69" s="43"/>
      <c r="AQ69" s="43"/>
      <c r="AR69" s="43"/>
      <c r="AS69" s="43"/>
      <c r="AT69" s="43"/>
      <c r="AU69" s="43"/>
      <c r="AV69" s="43"/>
      <c r="AW69" s="46"/>
      <c r="AX69" s="46"/>
      <c r="AY69" s="46">
        <v>64</v>
      </c>
      <c r="AZ69" s="46">
        <f t="shared" si="66"/>
        <v>0</v>
      </c>
      <c r="BA69" s="46">
        <f t="shared" si="67"/>
        <v>70669</v>
      </c>
      <c r="BB69" s="46">
        <v>64</v>
      </c>
      <c r="BC69" s="46">
        <v>62</v>
      </c>
      <c r="BD69" s="46" t="e">
        <f t="shared" si="36"/>
        <v>#N/A</v>
      </c>
      <c r="BE69" s="46" t="e">
        <f t="shared" ca="1" si="37"/>
        <v>#N/A</v>
      </c>
      <c r="BF69" s="46" t="e">
        <f t="shared" ca="1" si="68"/>
        <v>#N/A</v>
      </c>
      <c r="BG69" s="46" t="e">
        <f t="shared" ca="1" si="69"/>
        <v>#N/A</v>
      </c>
      <c r="BH69" s="46">
        <v>62</v>
      </c>
      <c r="BI69" s="46">
        <f t="shared" si="38"/>
        <v>37</v>
      </c>
      <c r="BJ69" s="46">
        <f t="shared" ca="1" si="39"/>
        <v>41699</v>
      </c>
      <c r="BK69" s="46">
        <f t="shared" ca="1" si="70"/>
        <v>41699</v>
      </c>
      <c r="BL69" s="46">
        <f t="shared" ca="1" si="71"/>
        <v>1429.6708841029067</v>
      </c>
      <c r="BM69" s="46">
        <v>62</v>
      </c>
      <c r="BN69" s="46" t="e">
        <f t="shared" si="40"/>
        <v>#N/A</v>
      </c>
      <c r="BO69" s="46" t="e">
        <f t="shared" ca="1" si="41"/>
        <v>#N/A</v>
      </c>
      <c r="BP69" s="46" t="e">
        <f t="shared" ca="1" si="72"/>
        <v>#N/A</v>
      </c>
      <c r="BQ69" s="46" t="e">
        <f t="shared" ca="1" si="73"/>
        <v>#N/A</v>
      </c>
      <c r="BR69" s="46">
        <v>62</v>
      </c>
      <c r="BS69" s="46">
        <f t="shared" si="42"/>
        <v>65</v>
      </c>
      <c r="BT69" s="46">
        <f t="shared" ca="1" si="43"/>
        <v>72957</v>
      </c>
      <c r="BU69" s="46">
        <f t="shared" ca="1" si="74"/>
        <v>72957</v>
      </c>
      <c r="BV69" s="46">
        <f t="shared" ca="1" si="75"/>
        <v>1429.6708841029067</v>
      </c>
      <c r="BW69" s="46">
        <v>62</v>
      </c>
      <c r="BX69" s="46" t="e">
        <f t="shared" si="44"/>
        <v>#N/A</v>
      </c>
      <c r="BY69" s="46" t="e">
        <f t="shared" ca="1" si="45"/>
        <v>#N/A</v>
      </c>
      <c r="BZ69" s="46" t="e">
        <f t="shared" ca="1" si="76"/>
        <v>#N/A</v>
      </c>
      <c r="CA69" s="46" t="e">
        <f t="shared" ca="1" si="77"/>
        <v>#N/A</v>
      </c>
      <c r="CC69" s="50"/>
      <c r="CD69" s="50"/>
      <c r="CE69" s="50"/>
      <c r="CF69" s="50"/>
      <c r="CG69" s="50"/>
      <c r="CH69" s="50"/>
      <c r="CI69" s="50"/>
      <c r="CJ69" s="50"/>
      <c r="CO69" s="43"/>
    </row>
    <row r="70" spans="1:96" x14ac:dyDescent="0.25">
      <c r="B70" s="42"/>
      <c r="C70" s="42"/>
      <c r="I70" s="42"/>
      <c r="J70" s="42"/>
      <c r="M70" s="125"/>
      <c r="N70" s="50"/>
      <c r="O70" s="50"/>
      <c r="P70" s="125"/>
      <c r="Q70" s="50"/>
      <c r="R70" s="50"/>
      <c r="V70" s="43"/>
      <c r="AC70" s="43"/>
      <c r="AD70" s="43"/>
      <c r="AF70" s="42"/>
      <c r="AG70" s="42"/>
      <c r="AH70" s="42"/>
      <c r="AI70" s="42"/>
      <c r="AJ70" s="42"/>
      <c r="AK70" s="42"/>
      <c r="AL70" s="42"/>
      <c r="AM70" s="42"/>
      <c r="AN70" s="43"/>
      <c r="AO70" s="43"/>
      <c r="AP70" s="43"/>
      <c r="AQ70" s="43"/>
      <c r="AR70" s="43"/>
      <c r="AS70" s="43"/>
      <c r="AT70" s="43"/>
      <c r="AU70" s="43"/>
      <c r="AV70" s="43"/>
      <c r="AW70" s="46"/>
      <c r="AX70" s="46"/>
      <c r="AY70" s="46">
        <v>65</v>
      </c>
      <c r="AZ70" s="46">
        <f t="shared" si="66"/>
        <v>0</v>
      </c>
      <c r="BA70" s="46">
        <f t="shared" si="67"/>
        <v>71813</v>
      </c>
      <c r="BB70" s="46">
        <v>65</v>
      </c>
      <c r="BC70" s="46">
        <v>63</v>
      </c>
      <c r="BD70" s="46" t="e">
        <f t="shared" si="36"/>
        <v>#N/A</v>
      </c>
      <c r="BE70" s="46" t="e">
        <f t="shared" ca="1" si="37"/>
        <v>#N/A</v>
      </c>
      <c r="BF70" s="46" t="e">
        <f t="shared" ca="1" si="68"/>
        <v>#N/A</v>
      </c>
      <c r="BG70" s="46" t="e">
        <f t="shared" ca="1" si="69"/>
        <v>#N/A</v>
      </c>
      <c r="BH70" s="46">
        <v>63</v>
      </c>
      <c r="BI70" s="46">
        <f t="shared" si="38"/>
        <v>38</v>
      </c>
      <c r="BJ70" s="46">
        <f t="shared" ca="1" si="39"/>
        <v>42843</v>
      </c>
      <c r="BK70" s="46">
        <f t="shared" ca="1" si="70"/>
        <v>41704</v>
      </c>
      <c r="BL70" s="46">
        <f t="shared" ca="1" si="71"/>
        <v>1574.6708841029067</v>
      </c>
      <c r="BM70" s="46">
        <v>63</v>
      </c>
      <c r="BN70" s="46" t="e">
        <f t="shared" si="40"/>
        <v>#N/A</v>
      </c>
      <c r="BO70" s="46" t="e">
        <f t="shared" ca="1" si="41"/>
        <v>#N/A</v>
      </c>
      <c r="BP70" s="46" t="e">
        <f t="shared" ca="1" si="72"/>
        <v>#N/A</v>
      </c>
      <c r="BQ70" s="46" t="e">
        <f t="shared" ca="1" si="73"/>
        <v>#N/A</v>
      </c>
      <c r="BR70" s="46">
        <v>63</v>
      </c>
      <c r="BS70" s="46">
        <f t="shared" si="42"/>
        <v>66</v>
      </c>
      <c r="BT70" s="46">
        <f t="shared" ca="1" si="43"/>
        <v>74101</v>
      </c>
      <c r="BU70" s="46">
        <f t="shared" ca="1" si="74"/>
        <v>72962</v>
      </c>
      <c r="BV70" s="46">
        <f t="shared" ca="1" si="75"/>
        <v>1574.6708841029067</v>
      </c>
      <c r="BW70" s="46">
        <v>63</v>
      </c>
      <c r="BX70" s="46" t="e">
        <f t="shared" si="44"/>
        <v>#N/A</v>
      </c>
      <c r="BY70" s="46" t="e">
        <f t="shared" ca="1" si="45"/>
        <v>#N/A</v>
      </c>
      <c r="BZ70" s="46" t="e">
        <f t="shared" ca="1" si="76"/>
        <v>#N/A</v>
      </c>
      <c r="CA70" s="46" t="e">
        <f t="shared" ca="1" si="77"/>
        <v>#N/A</v>
      </c>
      <c r="CC70" s="50"/>
      <c r="CD70" s="50"/>
      <c r="CE70" s="50"/>
      <c r="CF70" s="50"/>
      <c r="CG70" s="50"/>
      <c r="CH70" s="50"/>
      <c r="CI70" s="50"/>
      <c r="CJ70" s="50"/>
      <c r="CO70" s="43"/>
    </row>
    <row r="71" spans="1:96" x14ac:dyDescent="0.25">
      <c r="B71" s="42"/>
      <c r="C71" s="42"/>
      <c r="I71" s="42"/>
      <c r="J71" s="42"/>
      <c r="M71" s="125"/>
      <c r="N71" s="50"/>
      <c r="O71" s="50"/>
      <c r="P71" s="125"/>
      <c r="Q71" s="50"/>
      <c r="R71" s="50"/>
      <c r="V71" s="43"/>
      <c r="AC71" s="43"/>
      <c r="AD71" s="43"/>
      <c r="AF71" s="42"/>
      <c r="AG71" s="42"/>
      <c r="AH71" s="42"/>
      <c r="AI71" s="42"/>
      <c r="AJ71" s="42"/>
      <c r="AK71" s="42"/>
      <c r="AL71" s="42"/>
      <c r="AM71" s="42"/>
      <c r="AN71" s="43"/>
      <c r="AO71" s="43"/>
      <c r="AP71" s="43"/>
      <c r="AQ71" s="43"/>
      <c r="AR71" s="43"/>
      <c r="AS71" s="43"/>
      <c r="AT71" s="43"/>
      <c r="AU71" s="43"/>
      <c r="AV71" s="43"/>
      <c r="AW71" s="46"/>
      <c r="AX71" s="46"/>
      <c r="AY71" s="46">
        <v>66</v>
      </c>
      <c r="AZ71" s="46">
        <f t="shared" ref="AZ71:AZ102" si="81" xml:space="preserve"> IFERROR(MATCH(AY71, $AW$7:$AW$10, 0), 0)</f>
        <v>0</v>
      </c>
      <c r="BA71" s="46">
        <f t="shared" ref="BA71:BA102" si="82">IF(AY71 &lt;= $AX$11, IF(AZ71 = 0, BA70 + $AI$6 + $AI$11, BA70 + ($AI$13 - $AI$11)))</f>
        <v>72957</v>
      </c>
      <c r="BB71" s="46">
        <v>66</v>
      </c>
      <c r="BC71" s="46">
        <v>64</v>
      </c>
      <c r="BD71" s="46" t="e">
        <f t="shared" si="36"/>
        <v>#N/A</v>
      </c>
      <c r="BE71" s="46" t="e">
        <f t="shared" ca="1" si="37"/>
        <v>#N/A</v>
      </c>
      <c r="BF71" s="46" t="e">
        <f t="shared" ref="BF71:BF102" ca="1" si="83" xml:space="preserve"> IF(BE71, IF(MOD(BC71, 3) = 0, BE71 - $AI$11 / 2 - $AI$6, IF(MOD(BC71, 3) = 1, BE71 - $AI$11 / 2, BE71)))</f>
        <v>#N/A</v>
      </c>
      <c r="BG71" s="46" t="e">
        <f t="shared" ref="BG71:BG102" ca="1" si="84" xml:space="preserve"> IF(BE71, IF(MOD(BC71, 3) = 2, $AI$22, $AI$22 + 60 + 50 + 35))</f>
        <v>#N/A</v>
      </c>
      <c r="BH71" s="46">
        <v>64</v>
      </c>
      <c r="BI71" s="46">
        <f t="shared" si="38"/>
        <v>38</v>
      </c>
      <c r="BJ71" s="46">
        <f t="shared" ca="1" si="39"/>
        <v>42843</v>
      </c>
      <c r="BK71" s="46">
        <f t="shared" ref="BK71:BK102" ca="1" si="85" xml:space="preserve"> IF(BJ71, IF(MOD(BH71, 3) = 0, BJ71 - $AI$11 / 2 - $AI$6, IF(MOD(BH71, 3) = 1, BJ71 - $AI$11 / 2, BJ71)))</f>
        <v>42838</v>
      </c>
      <c r="BL71" s="46">
        <f t="shared" ref="BL71:BL102" ca="1" si="86" xml:space="preserve"> IF(BJ71, IF(MOD(BH71, 3) = 2, $AI$22, $AI$22 + 60 + 50 + 35))</f>
        <v>1574.6708841029067</v>
      </c>
      <c r="BM71" s="46">
        <v>64</v>
      </c>
      <c r="BN71" s="46" t="e">
        <f t="shared" si="40"/>
        <v>#N/A</v>
      </c>
      <c r="BO71" s="46" t="e">
        <f t="shared" ca="1" si="41"/>
        <v>#N/A</v>
      </c>
      <c r="BP71" s="46" t="e">
        <f t="shared" ref="BP71:BP102" ca="1" si="87" xml:space="preserve"> IF(BO71, IF(MOD(BM71, 3) = 0, BO71 - $AI$11 / 2 - $AI$6, IF(MOD(BM71, 3) = 1, BO71 - $AI$11 / 2, BO71)))</f>
        <v>#N/A</v>
      </c>
      <c r="BQ71" s="46" t="e">
        <f t="shared" ref="BQ71:BQ102" ca="1" si="88" xml:space="preserve"> IF(BO71, IF(MOD(BM71, 3) = 2, $AI$22, $AI$22 + 60 + 50 + 35))</f>
        <v>#N/A</v>
      </c>
      <c r="BR71" s="46">
        <v>64</v>
      </c>
      <c r="BS71" s="46">
        <f t="shared" si="42"/>
        <v>66</v>
      </c>
      <c r="BT71" s="46">
        <f t="shared" ca="1" si="43"/>
        <v>74101</v>
      </c>
      <c r="BU71" s="46">
        <f t="shared" ref="BU71:BU102" ca="1" si="89" xml:space="preserve"> IF(BT71, IF(MOD(BR71, 3) = 0, BT71 - $AI$11 / 2 - $AI$6, IF(MOD(BR71, 3) = 1, BT71 - $AI$11 / 2, BT71)))</f>
        <v>74096</v>
      </c>
      <c r="BV71" s="46">
        <f t="shared" ref="BV71:BV102" ca="1" si="90" xml:space="preserve"> IF(BT71, IF(MOD(BR71, 3) = 2, $AI$22, $AI$22 + 60 + 50 + 35))</f>
        <v>1574.6708841029067</v>
      </c>
      <c r="BW71" s="46">
        <v>64</v>
      </c>
      <c r="BX71" s="46" t="e">
        <f t="shared" si="44"/>
        <v>#N/A</v>
      </c>
      <c r="BY71" s="46" t="e">
        <f t="shared" ca="1" si="45"/>
        <v>#N/A</v>
      </c>
      <c r="BZ71" s="46" t="e">
        <f t="shared" ref="BZ71:BZ102" ca="1" si="91" xml:space="preserve"> IF(BY71, IF(MOD(BW71, 3) = 0, BY71 - $AI$11 / 2 - $AI$6, IF(MOD(BW71, 3) = 1, BY71 - $AI$11 / 2, BY71)))</f>
        <v>#N/A</v>
      </c>
      <c r="CA71" s="46" t="e">
        <f t="shared" ref="CA71:CA102" ca="1" si="92" xml:space="preserve"> IF(BY71, IF(MOD(BW71, 3) = 2, $AI$22, $AI$22 + 60 + 50 + 35))</f>
        <v>#N/A</v>
      </c>
      <c r="CC71" s="50"/>
      <c r="CD71" s="50"/>
      <c r="CE71" s="50"/>
      <c r="CF71" s="50"/>
      <c r="CG71" s="50"/>
      <c r="CH71" s="50"/>
      <c r="CI71" s="50"/>
      <c r="CJ71" s="50"/>
      <c r="CO71" s="43"/>
    </row>
    <row r="72" spans="1:96" x14ac:dyDescent="0.25">
      <c r="B72" s="42"/>
      <c r="C72" s="42"/>
      <c r="I72" s="42"/>
      <c r="J72" s="42"/>
      <c r="M72" s="125"/>
      <c r="N72" s="50"/>
      <c r="O72" s="50"/>
      <c r="P72" s="125"/>
      <c r="Q72" s="50"/>
      <c r="R72" s="50"/>
      <c r="V72" s="43"/>
      <c r="AC72" s="43"/>
      <c r="AD72" s="43"/>
      <c r="AF72" s="42"/>
      <c r="AG72" s="42"/>
      <c r="AH72" s="42"/>
      <c r="AI72" s="42"/>
      <c r="AJ72" s="42"/>
      <c r="AK72" s="42"/>
      <c r="AL72" s="42"/>
      <c r="AM72" s="42"/>
      <c r="AN72" s="43"/>
      <c r="AO72" s="43"/>
      <c r="AP72" s="43"/>
      <c r="AQ72" s="43"/>
      <c r="AR72" s="43"/>
      <c r="AS72" s="43"/>
      <c r="AT72" s="43"/>
      <c r="AU72" s="43"/>
      <c r="AV72" s="43"/>
      <c r="AW72" s="46"/>
      <c r="AX72" s="46"/>
      <c r="AY72" s="46">
        <v>67</v>
      </c>
      <c r="AZ72" s="46">
        <f t="shared" si="81"/>
        <v>0</v>
      </c>
      <c r="BA72" s="46">
        <f t="shared" si="82"/>
        <v>74101</v>
      </c>
      <c r="BB72" s="46">
        <v>67</v>
      </c>
      <c r="BC72" s="46">
        <v>65</v>
      </c>
      <c r="BD72" s="46" t="e">
        <f t="shared" ref="BD72:BD135" si="93" xml:space="preserve"> IF($AW$6 + ROUNDDOWN(BC72 / 3, 0) &lt; $AX$6, $AW$6 + ROUNDDOWN(BC72 / 3, 0), NA())</f>
        <v>#N/A</v>
      </c>
      <c r="BE72" s="46" t="e">
        <f t="shared" ref="BE72:BE135" ca="1" si="94" xml:space="preserve"> OFFSET($BA$6, BD72, , ,)</f>
        <v>#N/A</v>
      </c>
      <c r="BF72" s="46" t="e">
        <f t="shared" ca="1" si="83"/>
        <v>#N/A</v>
      </c>
      <c r="BG72" s="46" t="e">
        <f t="shared" ca="1" si="84"/>
        <v>#N/A</v>
      </c>
      <c r="BH72" s="46">
        <v>65</v>
      </c>
      <c r="BI72" s="46">
        <f t="shared" ref="BI72:BI135" si="95" xml:space="preserve"> IF($AW$7 + ROUNDDOWN(BH72 / 3, 0) &lt; $AX$7, $AW$7 + ROUNDDOWN(BH72 / 3, 0), NA())</f>
        <v>38</v>
      </c>
      <c r="BJ72" s="46">
        <f t="shared" ref="BJ72:BJ135" ca="1" si="96" xml:space="preserve"> OFFSET($BA$6, BI72, , ,)</f>
        <v>42843</v>
      </c>
      <c r="BK72" s="46">
        <f t="shared" ca="1" si="85"/>
        <v>42843</v>
      </c>
      <c r="BL72" s="46">
        <f t="shared" ca="1" si="86"/>
        <v>1429.6708841029067</v>
      </c>
      <c r="BM72" s="46">
        <v>65</v>
      </c>
      <c r="BN72" s="46" t="e">
        <f t="shared" ref="BN72:BN135" si="97" xml:space="preserve"> IF($AW$8 + ROUNDDOWN(BM72 / 3, 0) &lt; $AX$8, $AW$8 + ROUNDDOWN(BM72 / 3, 0), NA())</f>
        <v>#N/A</v>
      </c>
      <c r="BO72" s="46" t="e">
        <f t="shared" ref="BO72:BO135" ca="1" si="98" xml:space="preserve"> OFFSET($BA$6, BN72, , ,)</f>
        <v>#N/A</v>
      </c>
      <c r="BP72" s="46" t="e">
        <f t="shared" ca="1" si="87"/>
        <v>#N/A</v>
      </c>
      <c r="BQ72" s="46" t="e">
        <f t="shared" ca="1" si="88"/>
        <v>#N/A</v>
      </c>
      <c r="BR72" s="46">
        <v>65</v>
      </c>
      <c r="BS72" s="46">
        <f t="shared" ref="BS72:BS135" si="99" xml:space="preserve"> IF($AW$9 + ROUNDDOWN(BR72 / 3, 0) &lt; $AX$9, $AW$9 + ROUNDDOWN(BR72 / 3, 0), NA())</f>
        <v>66</v>
      </c>
      <c r="BT72" s="46">
        <f t="shared" ref="BT72:BT135" ca="1" si="100" xml:space="preserve"> OFFSET($BA$6, BS72, , ,)</f>
        <v>74101</v>
      </c>
      <c r="BU72" s="46">
        <f t="shared" ca="1" si="89"/>
        <v>74101</v>
      </c>
      <c r="BV72" s="46">
        <f t="shared" ca="1" si="90"/>
        <v>1429.6708841029067</v>
      </c>
      <c r="BW72" s="46">
        <v>65</v>
      </c>
      <c r="BX72" s="46" t="e">
        <f t="shared" ref="BX72:BX135" si="101" xml:space="preserve"> IF($AW$10 + ROUNDDOWN(BW72 / 3, 0) &lt; $AX$10, $AW$10 + ROUNDDOWN(BW72 / 3, 0), NA())</f>
        <v>#N/A</v>
      </c>
      <c r="BY72" s="46" t="e">
        <f t="shared" ref="BY72:BY135" ca="1" si="102" xml:space="preserve"> OFFSET($BA$6, BX72, , ,)</f>
        <v>#N/A</v>
      </c>
      <c r="BZ72" s="46" t="e">
        <f t="shared" ca="1" si="91"/>
        <v>#N/A</v>
      </c>
      <c r="CA72" s="46" t="e">
        <f t="shared" ca="1" si="92"/>
        <v>#N/A</v>
      </c>
      <c r="CC72" s="50"/>
      <c r="CD72" s="50"/>
      <c r="CE72" s="50"/>
      <c r="CF72" s="50"/>
      <c r="CG72" s="50"/>
      <c r="CH72" s="50"/>
      <c r="CI72" s="50"/>
      <c r="CJ72" s="50"/>
      <c r="CO72" s="43"/>
    </row>
    <row r="73" spans="1:96" x14ac:dyDescent="0.25">
      <c r="A73" s="43"/>
      <c r="C73" s="42"/>
      <c r="I73" s="42"/>
      <c r="J73" s="42"/>
      <c r="K73" s="42"/>
      <c r="M73" s="125"/>
      <c r="N73" s="50"/>
      <c r="O73" s="50"/>
      <c r="P73" s="125"/>
      <c r="Q73" s="50"/>
      <c r="R73" s="50"/>
      <c r="V73" s="43"/>
      <c r="AC73" s="43"/>
      <c r="AD73" s="43"/>
      <c r="AF73" s="42"/>
      <c r="AG73" s="42"/>
      <c r="AH73" s="42"/>
      <c r="AI73" s="42"/>
      <c r="AJ73" s="42"/>
      <c r="AK73" s="42"/>
      <c r="AL73" s="42"/>
      <c r="AM73" s="42"/>
      <c r="AN73" s="43"/>
      <c r="AO73" s="43"/>
      <c r="AP73" s="43"/>
      <c r="AQ73" s="43"/>
      <c r="AR73" s="43"/>
      <c r="AS73" s="43"/>
      <c r="AT73" s="43"/>
      <c r="AU73" s="43"/>
      <c r="AV73" s="43"/>
      <c r="AW73" s="46"/>
      <c r="AX73" s="46"/>
      <c r="AY73" s="46">
        <v>68</v>
      </c>
      <c r="AZ73" s="46">
        <f t="shared" si="81"/>
        <v>0</v>
      </c>
      <c r="BA73" s="46">
        <f t="shared" si="82"/>
        <v>75245</v>
      </c>
      <c r="BB73" s="46">
        <v>68</v>
      </c>
      <c r="BC73" s="46">
        <v>66</v>
      </c>
      <c r="BD73" s="46" t="e">
        <f t="shared" si="93"/>
        <v>#N/A</v>
      </c>
      <c r="BE73" s="46" t="e">
        <f t="shared" ca="1" si="94"/>
        <v>#N/A</v>
      </c>
      <c r="BF73" s="46" t="e">
        <f t="shared" ca="1" si="83"/>
        <v>#N/A</v>
      </c>
      <c r="BG73" s="46" t="e">
        <f t="shared" ca="1" si="84"/>
        <v>#N/A</v>
      </c>
      <c r="BH73" s="46">
        <v>66</v>
      </c>
      <c r="BI73" s="46">
        <f t="shared" si="95"/>
        <v>39</v>
      </c>
      <c r="BJ73" s="46">
        <f t="shared" ca="1" si="96"/>
        <v>43987</v>
      </c>
      <c r="BK73" s="46">
        <f t="shared" ca="1" si="85"/>
        <v>42848</v>
      </c>
      <c r="BL73" s="46">
        <f t="shared" ca="1" si="86"/>
        <v>1574.6708841029067</v>
      </c>
      <c r="BM73" s="46">
        <v>66</v>
      </c>
      <c r="BN73" s="46" t="e">
        <f t="shared" si="97"/>
        <v>#N/A</v>
      </c>
      <c r="BO73" s="46" t="e">
        <f t="shared" ca="1" si="98"/>
        <v>#N/A</v>
      </c>
      <c r="BP73" s="46" t="e">
        <f t="shared" ca="1" si="87"/>
        <v>#N/A</v>
      </c>
      <c r="BQ73" s="46" t="e">
        <f t="shared" ca="1" si="88"/>
        <v>#N/A</v>
      </c>
      <c r="BR73" s="46">
        <v>66</v>
      </c>
      <c r="BS73" s="46">
        <f t="shared" si="99"/>
        <v>67</v>
      </c>
      <c r="BT73" s="46">
        <f t="shared" ca="1" si="100"/>
        <v>75245</v>
      </c>
      <c r="BU73" s="46">
        <f t="shared" ca="1" si="89"/>
        <v>74106</v>
      </c>
      <c r="BV73" s="46">
        <f t="shared" ca="1" si="90"/>
        <v>1574.6708841029067</v>
      </c>
      <c r="BW73" s="46">
        <v>66</v>
      </c>
      <c r="BX73" s="46" t="e">
        <f t="shared" si="101"/>
        <v>#N/A</v>
      </c>
      <c r="BY73" s="46" t="e">
        <f t="shared" ca="1" si="102"/>
        <v>#N/A</v>
      </c>
      <c r="BZ73" s="46" t="e">
        <f t="shared" ca="1" si="91"/>
        <v>#N/A</v>
      </c>
      <c r="CA73" s="46" t="e">
        <f t="shared" ca="1" si="92"/>
        <v>#N/A</v>
      </c>
      <c r="CC73" s="50"/>
      <c r="CD73" s="50"/>
      <c r="CE73" s="50"/>
      <c r="CF73" s="50"/>
      <c r="CG73" s="50"/>
      <c r="CH73" s="50"/>
      <c r="CI73" s="50"/>
      <c r="CJ73" s="50"/>
      <c r="CO73" s="43"/>
      <c r="CP73" s="43"/>
      <c r="CQ73" s="43"/>
    </row>
    <row r="74" spans="1:96" x14ac:dyDescent="0.25">
      <c r="A74" s="43"/>
      <c r="C74" s="42"/>
      <c r="I74" s="42"/>
      <c r="J74" s="42"/>
      <c r="K74" s="42"/>
      <c r="M74" s="125"/>
      <c r="N74" s="50"/>
      <c r="O74" s="50"/>
      <c r="P74" s="125"/>
      <c r="Q74" s="50"/>
      <c r="R74" s="50"/>
      <c r="V74" s="43"/>
      <c r="AC74" s="43"/>
      <c r="AD74" s="43"/>
      <c r="AF74" s="42"/>
      <c r="AG74" s="42"/>
      <c r="AH74" s="42"/>
      <c r="AI74" s="42"/>
      <c r="AJ74" s="42"/>
      <c r="AK74" s="42"/>
      <c r="AL74" s="42"/>
      <c r="AM74" s="42"/>
      <c r="AN74" s="43"/>
      <c r="AO74" s="43"/>
      <c r="AP74" s="43"/>
      <c r="AQ74" s="43"/>
      <c r="AR74" s="43"/>
      <c r="AS74" s="43"/>
      <c r="AT74" s="43"/>
      <c r="AU74" s="43"/>
      <c r="AV74" s="43"/>
      <c r="AW74" s="46"/>
      <c r="AX74" s="46"/>
      <c r="AY74" s="46">
        <v>69</v>
      </c>
      <c r="AZ74" s="46">
        <f t="shared" si="81"/>
        <v>0</v>
      </c>
      <c r="BA74" s="46">
        <f t="shared" si="82"/>
        <v>76389</v>
      </c>
      <c r="BB74" s="46">
        <v>69</v>
      </c>
      <c r="BC74" s="46">
        <v>67</v>
      </c>
      <c r="BD74" s="46" t="e">
        <f t="shared" si="93"/>
        <v>#N/A</v>
      </c>
      <c r="BE74" s="46" t="e">
        <f t="shared" ca="1" si="94"/>
        <v>#N/A</v>
      </c>
      <c r="BF74" s="46" t="e">
        <f t="shared" ca="1" si="83"/>
        <v>#N/A</v>
      </c>
      <c r="BG74" s="46" t="e">
        <f t="shared" ca="1" si="84"/>
        <v>#N/A</v>
      </c>
      <c r="BH74" s="46">
        <v>67</v>
      </c>
      <c r="BI74" s="46">
        <f t="shared" si="95"/>
        <v>39</v>
      </c>
      <c r="BJ74" s="46">
        <f t="shared" ca="1" si="96"/>
        <v>43987</v>
      </c>
      <c r="BK74" s="46">
        <f t="shared" ca="1" si="85"/>
        <v>43982</v>
      </c>
      <c r="BL74" s="46">
        <f t="shared" ca="1" si="86"/>
        <v>1574.6708841029067</v>
      </c>
      <c r="BM74" s="46">
        <v>67</v>
      </c>
      <c r="BN74" s="46" t="e">
        <f t="shared" si="97"/>
        <v>#N/A</v>
      </c>
      <c r="BO74" s="46" t="e">
        <f t="shared" ca="1" si="98"/>
        <v>#N/A</v>
      </c>
      <c r="BP74" s="46" t="e">
        <f t="shared" ca="1" si="87"/>
        <v>#N/A</v>
      </c>
      <c r="BQ74" s="46" t="e">
        <f t="shared" ca="1" si="88"/>
        <v>#N/A</v>
      </c>
      <c r="BR74" s="46">
        <v>67</v>
      </c>
      <c r="BS74" s="46">
        <f t="shared" si="99"/>
        <v>67</v>
      </c>
      <c r="BT74" s="46">
        <f t="shared" ca="1" si="100"/>
        <v>75245</v>
      </c>
      <c r="BU74" s="46">
        <f t="shared" ca="1" si="89"/>
        <v>75240</v>
      </c>
      <c r="BV74" s="46">
        <f t="shared" ca="1" si="90"/>
        <v>1574.6708841029067</v>
      </c>
      <c r="BW74" s="46">
        <v>67</v>
      </c>
      <c r="BX74" s="46" t="e">
        <f t="shared" si="101"/>
        <v>#N/A</v>
      </c>
      <c r="BY74" s="46" t="e">
        <f t="shared" ca="1" si="102"/>
        <v>#N/A</v>
      </c>
      <c r="BZ74" s="46" t="e">
        <f t="shared" ca="1" si="91"/>
        <v>#N/A</v>
      </c>
      <c r="CA74" s="46" t="e">
        <f t="shared" ca="1" si="92"/>
        <v>#N/A</v>
      </c>
      <c r="CC74" s="50"/>
      <c r="CD74" s="50"/>
      <c r="CE74" s="50"/>
      <c r="CF74" s="50"/>
      <c r="CG74" s="50"/>
      <c r="CH74" s="50"/>
      <c r="CI74" s="50"/>
      <c r="CJ74" s="50"/>
      <c r="CO74" s="43"/>
      <c r="CP74" s="43"/>
      <c r="CQ74" s="43"/>
    </row>
    <row r="75" spans="1:96" x14ac:dyDescent="0.25">
      <c r="A75" s="43"/>
      <c r="C75" s="42"/>
      <c r="I75" s="42"/>
      <c r="J75" s="42"/>
      <c r="K75" s="42"/>
      <c r="M75" s="125"/>
      <c r="N75" s="50"/>
      <c r="O75" s="50"/>
      <c r="P75" s="125"/>
      <c r="Q75" s="50"/>
      <c r="R75" s="50"/>
      <c r="V75" s="43"/>
      <c r="AC75" s="43"/>
      <c r="AD75" s="43"/>
      <c r="AF75" s="42"/>
      <c r="AG75" s="42"/>
      <c r="AH75" s="42"/>
      <c r="AI75" s="42"/>
      <c r="AJ75" s="42"/>
      <c r="AK75" s="42"/>
      <c r="AL75" s="42"/>
      <c r="AM75" s="42"/>
      <c r="AN75" s="43"/>
      <c r="AO75" s="43"/>
      <c r="AP75" s="43"/>
      <c r="AQ75" s="43"/>
      <c r="AR75" s="43"/>
      <c r="AS75" s="43"/>
      <c r="AT75" s="43"/>
      <c r="AU75" s="43"/>
      <c r="AV75" s="43"/>
      <c r="AW75" s="46"/>
      <c r="AX75" s="46"/>
      <c r="AY75" s="46">
        <v>70</v>
      </c>
      <c r="AZ75" s="46">
        <f t="shared" si="81"/>
        <v>0</v>
      </c>
      <c r="BA75" s="46">
        <f t="shared" si="82"/>
        <v>77533</v>
      </c>
      <c r="BB75" s="46">
        <v>70</v>
      </c>
      <c r="BC75" s="46">
        <v>68</v>
      </c>
      <c r="BD75" s="46" t="e">
        <f t="shared" si="93"/>
        <v>#N/A</v>
      </c>
      <c r="BE75" s="46" t="e">
        <f t="shared" ca="1" si="94"/>
        <v>#N/A</v>
      </c>
      <c r="BF75" s="46" t="e">
        <f t="shared" ca="1" si="83"/>
        <v>#N/A</v>
      </c>
      <c r="BG75" s="46" t="e">
        <f t="shared" ca="1" si="84"/>
        <v>#N/A</v>
      </c>
      <c r="BH75" s="46">
        <v>68</v>
      </c>
      <c r="BI75" s="46">
        <f t="shared" si="95"/>
        <v>39</v>
      </c>
      <c r="BJ75" s="46">
        <f t="shared" ca="1" si="96"/>
        <v>43987</v>
      </c>
      <c r="BK75" s="46">
        <f t="shared" ca="1" si="85"/>
        <v>43987</v>
      </c>
      <c r="BL75" s="46">
        <f t="shared" ca="1" si="86"/>
        <v>1429.6708841029067</v>
      </c>
      <c r="BM75" s="46">
        <v>68</v>
      </c>
      <c r="BN75" s="46" t="e">
        <f t="shared" si="97"/>
        <v>#N/A</v>
      </c>
      <c r="BO75" s="46" t="e">
        <f t="shared" ca="1" si="98"/>
        <v>#N/A</v>
      </c>
      <c r="BP75" s="46" t="e">
        <f t="shared" ca="1" si="87"/>
        <v>#N/A</v>
      </c>
      <c r="BQ75" s="46" t="e">
        <f t="shared" ca="1" si="88"/>
        <v>#N/A</v>
      </c>
      <c r="BR75" s="46">
        <v>68</v>
      </c>
      <c r="BS75" s="46">
        <f t="shared" si="99"/>
        <v>67</v>
      </c>
      <c r="BT75" s="46">
        <f t="shared" ca="1" si="100"/>
        <v>75245</v>
      </c>
      <c r="BU75" s="46">
        <f t="shared" ca="1" si="89"/>
        <v>75245</v>
      </c>
      <c r="BV75" s="46">
        <f t="shared" ca="1" si="90"/>
        <v>1429.6708841029067</v>
      </c>
      <c r="BW75" s="46">
        <v>68</v>
      </c>
      <c r="BX75" s="46" t="e">
        <f t="shared" si="101"/>
        <v>#N/A</v>
      </c>
      <c r="BY75" s="46" t="e">
        <f t="shared" ca="1" si="102"/>
        <v>#N/A</v>
      </c>
      <c r="BZ75" s="46" t="e">
        <f t="shared" ca="1" si="91"/>
        <v>#N/A</v>
      </c>
      <c r="CA75" s="46" t="e">
        <f t="shared" ca="1" si="92"/>
        <v>#N/A</v>
      </c>
      <c r="CC75" s="50"/>
      <c r="CD75" s="50"/>
      <c r="CE75" s="50"/>
      <c r="CF75" s="50"/>
      <c r="CG75" s="50"/>
      <c r="CH75" s="50"/>
      <c r="CI75" s="50"/>
      <c r="CJ75" s="50"/>
      <c r="CO75" s="43"/>
      <c r="CP75" s="43"/>
      <c r="CQ75" s="43"/>
    </row>
    <row r="76" spans="1:96" x14ac:dyDescent="0.25">
      <c r="A76" s="43"/>
      <c r="C76" s="42"/>
      <c r="I76" s="42"/>
      <c r="J76" s="42"/>
      <c r="K76" s="42"/>
      <c r="Q76" s="43"/>
      <c r="R76" s="42"/>
      <c r="V76" s="43"/>
      <c r="AC76" s="43"/>
      <c r="AD76" s="43"/>
      <c r="AF76" s="42"/>
      <c r="AG76" s="42"/>
      <c r="AH76" s="42"/>
      <c r="AI76" s="42"/>
      <c r="AJ76" s="42"/>
      <c r="AK76" s="42"/>
      <c r="AL76" s="42"/>
      <c r="AM76" s="42"/>
      <c r="AN76" s="43"/>
      <c r="AO76" s="43"/>
      <c r="AP76" s="43"/>
      <c r="AQ76" s="43"/>
      <c r="AR76" s="43"/>
      <c r="AS76" s="43"/>
      <c r="AT76" s="43"/>
      <c r="AU76" s="43"/>
      <c r="AV76" s="43"/>
      <c r="AW76" s="46"/>
      <c r="AX76" s="46"/>
      <c r="AY76" s="46">
        <v>71</v>
      </c>
      <c r="AZ76" s="46">
        <f t="shared" si="81"/>
        <v>0</v>
      </c>
      <c r="BA76" s="46">
        <f t="shared" si="82"/>
        <v>78677</v>
      </c>
      <c r="BB76" s="46">
        <v>71</v>
      </c>
      <c r="BC76" s="46">
        <v>69</v>
      </c>
      <c r="BD76" s="46" t="e">
        <f t="shared" si="93"/>
        <v>#N/A</v>
      </c>
      <c r="BE76" s="46" t="e">
        <f t="shared" ca="1" si="94"/>
        <v>#N/A</v>
      </c>
      <c r="BF76" s="46" t="e">
        <f t="shared" ca="1" si="83"/>
        <v>#N/A</v>
      </c>
      <c r="BG76" s="46" t="e">
        <f t="shared" ca="1" si="84"/>
        <v>#N/A</v>
      </c>
      <c r="BH76" s="46">
        <v>69</v>
      </c>
      <c r="BI76" s="46">
        <f t="shared" si="95"/>
        <v>40</v>
      </c>
      <c r="BJ76" s="46">
        <f t="shared" ca="1" si="96"/>
        <v>45131</v>
      </c>
      <c r="BK76" s="46">
        <f t="shared" ca="1" si="85"/>
        <v>43992</v>
      </c>
      <c r="BL76" s="46">
        <f t="shared" ca="1" si="86"/>
        <v>1574.6708841029067</v>
      </c>
      <c r="BM76" s="46">
        <v>69</v>
      </c>
      <c r="BN76" s="46" t="e">
        <f t="shared" si="97"/>
        <v>#N/A</v>
      </c>
      <c r="BO76" s="46" t="e">
        <f t="shared" ca="1" si="98"/>
        <v>#N/A</v>
      </c>
      <c r="BP76" s="46" t="e">
        <f t="shared" ca="1" si="87"/>
        <v>#N/A</v>
      </c>
      <c r="BQ76" s="46" t="e">
        <f t="shared" ca="1" si="88"/>
        <v>#N/A</v>
      </c>
      <c r="BR76" s="46">
        <v>69</v>
      </c>
      <c r="BS76" s="46">
        <f t="shared" si="99"/>
        <v>68</v>
      </c>
      <c r="BT76" s="46">
        <f t="shared" ca="1" si="100"/>
        <v>76389</v>
      </c>
      <c r="BU76" s="46">
        <f t="shared" ca="1" si="89"/>
        <v>75250</v>
      </c>
      <c r="BV76" s="46">
        <f t="shared" ca="1" si="90"/>
        <v>1574.6708841029067</v>
      </c>
      <c r="BW76" s="46">
        <v>69</v>
      </c>
      <c r="BX76" s="46" t="e">
        <f t="shared" si="101"/>
        <v>#N/A</v>
      </c>
      <c r="BY76" s="46" t="e">
        <f t="shared" ca="1" si="102"/>
        <v>#N/A</v>
      </c>
      <c r="BZ76" s="46" t="e">
        <f t="shared" ca="1" si="91"/>
        <v>#N/A</v>
      </c>
      <c r="CA76" s="46" t="e">
        <f t="shared" ca="1" si="92"/>
        <v>#N/A</v>
      </c>
      <c r="CC76" s="50"/>
      <c r="CD76" s="50"/>
      <c r="CE76" s="50"/>
      <c r="CF76" s="50"/>
      <c r="CG76" s="50"/>
      <c r="CH76" s="50"/>
      <c r="CI76" s="50"/>
      <c r="CJ76" s="50"/>
      <c r="CO76" s="43"/>
      <c r="CP76" s="43"/>
      <c r="CQ76" s="43"/>
    </row>
    <row r="77" spans="1:96" x14ac:dyDescent="0.25">
      <c r="A77" s="43"/>
      <c r="C77" s="42"/>
      <c r="I77" s="42"/>
      <c r="J77" s="42"/>
      <c r="K77" s="42"/>
      <c r="Q77" s="43"/>
      <c r="R77" s="42"/>
      <c r="V77" s="43"/>
      <c r="AC77" s="43"/>
      <c r="AD77" s="43"/>
      <c r="AF77" s="42"/>
      <c r="AG77" s="42"/>
      <c r="AH77" s="42"/>
      <c r="AI77" s="42"/>
      <c r="AJ77" s="42"/>
      <c r="AK77" s="42"/>
      <c r="AL77" s="42"/>
      <c r="AM77" s="42"/>
      <c r="AN77" s="43"/>
      <c r="AO77" s="43"/>
      <c r="AP77" s="43"/>
      <c r="AQ77" s="43"/>
      <c r="AR77" s="43"/>
      <c r="AS77" s="43"/>
      <c r="AT77" s="43"/>
      <c r="AU77" s="43"/>
      <c r="AV77" s="43"/>
      <c r="AW77" s="46"/>
      <c r="AX77" s="46"/>
      <c r="AY77" s="46">
        <v>72</v>
      </c>
      <c r="AZ77" s="46">
        <f t="shared" si="81"/>
        <v>0</v>
      </c>
      <c r="BA77" s="46">
        <f t="shared" si="82"/>
        <v>79821</v>
      </c>
      <c r="BB77" s="46">
        <v>72</v>
      </c>
      <c r="BC77" s="46">
        <v>70</v>
      </c>
      <c r="BD77" s="46" t="e">
        <f t="shared" si="93"/>
        <v>#N/A</v>
      </c>
      <c r="BE77" s="46" t="e">
        <f t="shared" ca="1" si="94"/>
        <v>#N/A</v>
      </c>
      <c r="BF77" s="46" t="e">
        <f t="shared" ca="1" si="83"/>
        <v>#N/A</v>
      </c>
      <c r="BG77" s="46" t="e">
        <f t="shared" ca="1" si="84"/>
        <v>#N/A</v>
      </c>
      <c r="BH77" s="46">
        <v>70</v>
      </c>
      <c r="BI77" s="46">
        <f t="shared" si="95"/>
        <v>40</v>
      </c>
      <c r="BJ77" s="46">
        <f t="shared" ca="1" si="96"/>
        <v>45131</v>
      </c>
      <c r="BK77" s="46">
        <f t="shared" ca="1" si="85"/>
        <v>45126</v>
      </c>
      <c r="BL77" s="46">
        <f t="shared" ca="1" si="86"/>
        <v>1574.6708841029067</v>
      </c>
      <c r="BM77" s="46">
        <v>70</v>
      </c>
      <c r="BN77" s="46" t="e">
        <f t="shared" si="97"/>
        <v>#N/A</v>
      </c>
      <c r="BO77" s="46" t="e">
        <f t="shared" ca="1" si="98"/>
        <v>#N/A</v>
      </c>
      <c r="BP77" s="46" t="e">
        <f t="shared" ca="1" si="87"/>
        <v>#N/A</v>
      </c>
      <c r="BQ77" s="46" t="e">
        <f t="shared" ca="1" si="88"/>
        <v>#N/A</v>
      </c>
      <c r="BR77" s="46">
        <v>70</v>
      </c>
      <c r="BS77" s="46">
        <f t="shared" si="99"/>
        <v>68</v>
      </c>
      <c r="BT77" s="46">
        <f t="shared" ca="1" si="100"/>
        <v>76389</v>
      </c>
      <c r="BU77" s="46">
        <f t="shared" ca="1" si="89"/>
        <v>76384</v>
      </c>
      <c r="BV77" s="46">
        <f t="shared" ca="1" si="90"/>
        <v>1574.6708841029067</v>
      </c>
      <c r="BW77" s="46">
        <v>70</v>
      </c>
      <c r="BX77" s="46" t="e">
        <f t="shared" si="101"/>
        <v>#N/A</v>
      </c>
      <c r="BY77" s="46" t="e">
        <f t="shared" ca="1" si="102"/>
        <v>#N/A</v>
      </c>
      <c r="BZ77" s="46" t="e">
        <f t="shared" ca="1" si="91"/>
        <v>#N/A</v>
      </c>
      <c r="CA77" s="46" t="e">
        <f t="shared" ca="1" si="92"/>
        <v>#N/A</v>
      </c>
      <c r="CC77" s="50"/>
      <c r="CD77" s="50"/>
      <c r="CE77" s="50"/>
      <c r="CF77" s="50"/>
      <c r="CG77" s="50"/>
      <c r="CH77" s="50"/>
      <c r="CI77" s="50"/>
      <c r="CJ77" s="50"/>
      <c r="CO77" s="43"/>
      <c r="CP77" s="43"/>
      <c r="CQ77" s="43"/>
    </row>
    <row r="78" spans="1:96" x14ac:dyDescent="0.25">
      <c r="A78" s="43"/>
      <c r="C78" s="42"/>
      <c r="I78" s="42"/>
      <c r="J78" s="42"/>
      <c r="K78" s="42"/>
      <c r="Q78" s="43"/>
      <c r="R78" s="42"/>
      <c r="V78" s="43"/>
      <c r="AC78" s="43"/>
      <c r="AD78" s="43"/>
      <c r="AF78" s="42"/>
      <c r="AG78" s="42"/>
      <c r="AH78" s="42"/>
      <c r="AI78" s="42"/>
      <c r="AJ78" s="42"/>
      <c r="AK78" s="42"/>
      <c r="AL78" s="42"/>
      <c r="AM78" s="42"/>
      <c r="AN78" s="43"/>
      <c r="AO78" s="43"/>
      <c r="AP78" s="43"/>
      <c r="AQ78" s="43"/>
      <c r="AR78" s="43"/>
      <c r="AS78" s="43"/>
      <c r="AT78" s="43"/>
      <c r="AU78" s="43"/>
      <c r="AV78" s="43"/>
      <c r="AW78" s="46"/>
      <c r="AX78" s="46"/>
      <c r="AY78" s="46">
        <v>73</v>
      </c>
      <c r="AZ78" s="46">
        <f t="shared" si="81"/>
        <v>4</v>
      </c>
      <c r="BA78" s="46">
        <f t="shared" si="82"/>
        <v>80191</v>
      </c>
      <c r="BB78" s="46">
        <v>73</v>
      </c>
      <c r="BC78" s="46">
        <v>71</v>
      </c>
      <c r="BD78" s="46" t="e">
        <f t="shared" si="93"/>
        <v>#N/A</v>
      </c>
      <c r="BE78" s="46" t="e">
        <f t="shared" ca="1" si="94"/>
        <v>#N/A</v>
      </c>
      <c r="BF78" s="46" t="e">
        <f t="shared" ca="1" si="83"/>
        <v>#N/A</v>
      </c>
      <c r="BG78" s="46" t="e">
        <f t="shared" ca="1" si="84"/>
        <v>#N/A</v>
      </c>
      <c r="BH78" s="46">
        <v>71</v>
      </c>
      <c r="BI78" s="46">
        <f t="shared" si="95"/>
        <v>40</v>
      </c>
      <c r="BJ78" s="46">
        <f t="shared" ca="1" si="96"/>
        <v>45131</v>
      </c>
      <c r="BK78" s="46">
        <f t="shared" ca="1" si="85"/>
        <v>45131</v>
      </c>
      <c r="BL78" s="46">
        <f t="shared" ca="1" si="86"/>
        <v>1429.6708841029067</v>
      </c>
      <c r="BM78" s="46">
        <v>71</v>
      </c>
      <c r="BN78" s="46" t="e">
        <f t="shared" si="97"/>
        <v>#N/A</v>
      </c>
      <c r="BO78" s="46" t="e">
        <f t="shared" ca="1" si="98"/>
        <v>#N/A</v>
      </c>
      <c r="BP78" s="46" t="e">
        <f t="shared" ca="1" si="87"/>
        <v>#N/A</v>
      </c>
      <c r="BQ78" s="46" t="e">
        <f t="shared" ca="1" si="88"/>
        <v>#N/A</v>
      </c>
      <c r="BR78" s="46">
        <v>71</v>
      </c>
      <c r="BS78" s="46">
        <f t="shared" si="99"/>
        <v>68</v>
      </c>
      <c r="BT78" s="46">
        <f t="shared" ca="1" si="100"/>
        <v>76389</v>
      </c>
      <c r="BU78" s="46">
        <f t="shared" ca="1" si="89"/>
        <v>76389</v>
      </c>
      <c r="BV78" s="46">
        <f t="shared" ca="1" si="90"/>
        <v>1429.6708841029067</v>
      </c>
      <c r="BW78" s="46">
        <v>71</v>
      </c>
      <c r="BX78" s="46" t="e">
        <f t="shared" si="101"/>
        <v>#N/A</v>
      </c>
      <c r="BY78" s="46" t="e">
        <f t="shared" ca="1" si="102"/>
        <v>#N/A</v>
      </c>
      <c r="BZ78" s="46" t="e">
        <f t="shared" ca="1" si="91"/>
        <v>#N/A</v>
      </c>
      <c r="CA78" s="46" t="e">
        <f t="shared" ca="1" si="92"/>
        <v>#N/A</v>
      </c>
      <c r="CC78" s="50"/>
      <c r="CD78" s="50"/>
      <c r="CE78" s="50"/>
      <c r="CF78" s="50"/>
      <c r="CG78" s="50"/>
      <c r="CH78" s="50"/>
      <c r="CI78" s="50"/>
      <c r="CJ78" s="50"/>
      <c r="CO78" s="43"/>
      <c r="CP78" s="43"/>
      <c r="CQ78" s="43"/>
    </row>
    <row r="79" spans="1:96" x14ac:dyDescent="0.25">
      <c r="A79" s="43"/>
      <c r="C79" s="42"/>
      <c r="I79" s="42"/>
      <c r="J79" s="42"/>
      <c r="K79" s="42"/>
      <c r="Q79" s="43"/>
      <c r="R79" s="42"/>
      <c r="V79" s="43"/>
      <c r="AC79" s="43"/>
      <c r="AD79" s="43"/>
      <c r="AF79" s="42"/>
      <c r="AG79" s="42"/>
      <c r="AH79" s="42"/>
      <c r="AI79" s="42"/>
      <c r="AJ79" s="42"/>
      <c r="AK79" s="42"/>
      <c r="AL79" s="42"/>
      <c r="AM79" s="42"/>
      <c r="AN79" s="43"/>
      <c r="AO79" s="43"/>
      <c r="AP79" s="43"/>
      <c r="AQ79" s="43"/>
      <c r="AR79" s="43"/>
      <c r="AS79" s="43"/>
      <c r="AT79" s="43"/>
      <c r="AU79" s="43"/>
      <c r="AV79" s="43"/>
      <c r="AW79" s="46"/>
      <c r="AX79" s="46"/>
      <c r="AY79" s="46">
        <v>74</v>
      </c>
      <c r="AZ79" s="46">
        <f t="shared" si="81"/>
        <v>0</v>
      </c>
      <c r="BA79" s="46">
        <f t="shared" si="82"/>
        <v>81335</v>
      </c>
      <c r="BB79" s="46">
        <v>74</v>
      </c>
      <c r="BC79" s="46">
        <v>72</v>
      </c>
      <c r="BD79" s="46" t="e">
        <f t="shared" si="93"/>
        <v>#N/A</v>
      </c>
      <c r="BE79" s="46" t="e">
        <f t="shared" ca="1" si="94"/>
        <v>#N/A</v>
      </c>
      <c r="BF79" s="46" t="e">
        <f t="shared" ca="1" si="83"/>
        <v>#N/A</v>
      </c>
      <c r="BG79" s="46" t="e">
        <f t="shared" ca="1" si="84"/>
        <v>#N/A</v>
      </c>
      <c r="BH79" s="46">
        <v>72</v>
      </c>
      <c r="BI79" s="46">
        <f t="shared" si="95"/>
        <v>41</v>
      </c>
      <c r="BJ79" s="46">
        <f t="shared" ca="1" si="96"/>
        <v>46275</v>
      </c>
      <c r="BK79" s="46">
        <f t="shared" ca="1" si="85"/>
        <v>45136</v>
      </c>
      <c r="BL79" s="46">
        <f t="shared" ca="1" si="86"/>
        <v>1574.6708841029067</v>
      </c>
      <c r="BM79" s="46">
        <v>72</v>
      </c>
      <c r="BN79" s="46" t="e">
        <f t="shared" si="97"/>
        <v>#N/A</v>
      </c>
      <c r="BO79" s="46" t="e">
        <f t="shared" ca="1" si="98"/>
        <v>#N/A</v>
      </c>
      <c r="BP79" s="46" t="e">
        <f t="shared" ca="1" si="87"/>
        <v>#N/A</v>
      </c>
      <c r="BQ79" s="46" t="e">
        <f t="shared" ca="1" si="88"/>
        <v>#N/A</v>
      </c>
      <c r="BR79" s="46">
        <v>72</v>
      </c>
      <c r="BS79" s="46">
        <f t="shared" si="99"/>
        <v>69</v>
      </c>
      <c r="BT79" s="46">
        <f t="shared" ca="1" si="100"/>
        <v>77533</v>
      </c>
      <c r="BU79" s="46">
        <f t="shared" ca="1" si="89"/>
        <v>76394</v>
      </c>
      <c r="BV79" s="46">
        <f t="shared" ca="1" si="90"/>
        <v>1574.6708841029067</v>
      </c>
      <c r="BW79" s="46">
        <v>72</v>
      </c>
      <c r="BX79" s="46" t="e">
        <f t="shared" si="101"/>
        <v>#N/A</v>
      </c>
      <c r="BY79" s="46" t="e">
        <f t="shared" ca="1" si="102"/>
        <v>#N/A</v>
      </c>
      <c r="BZ79" s="46" t="e">
        <f t="shared" ca="1" si="91"/>
        <v>#N/A</v>
      </c>
      <c r="CA79" s="46" t="e">
        <f t="shared" ca="1" si="92"/>
        <v>#N/A</v>
      </c>
      <c r="CC79" s="50"/>
      <c r="CD79" s="50"/>
      <c r="CE79" s="50"/>
      <c r="CF79" s="50"/>
      <c r="CG79" s="50"/>
      <c r="CH79" s="50"/>
      <c r="CI79" s="50"/>
      <c r="CJ79" s="50"/>
      <c r="CO79" s="43"/>
      <c r="CP79" s="43"/>
      <c r="CQ79" s="43"/>
    </row>
    <row r="80" spans="1:96" x14ac:dyDescent="0.25">
      <c r="A80" s="43"/>
      <c r="C80" s="42"/>
      <c r="I80" s="42"/>
      <c r="J80" s="42"/>
      <c r="K80" s="42"/>
      <c r="O80" s="43"/>
      <c r="Q80" s="43"/>
      <c r="R80" s="42"/>
      <c r="V80" s="43"/>
      <c r="AC80" s="43"/>
      <c r="AD80" s="43"/>
      <c r="AF80" s="42"/>
      <c r="AG80" s="42"/>
      <c r="AH80" s="42"/>
      <c r="AI80" s="42"/>
      <c r="AJ80" s="42"/>
      <c r="AK80" s="42"/>
      <c r="AL80" s="42"/>
      <c r="AM80" s="42"/>
      <c r="AN80" s="43"/>
      <c r="AO80" s="43"/>
      <c r="AP80" s="43"/>
      <c r="AQ80" s="43"/>
      <c r="AR80" s="43"/>
      <c r="AS80" s="43"/>
      <c r="AT80" s="43"/>
      <c r="AU80" s="43"/>
      <c r="AV80" s="43"/>
      <c r="AW80" s="46"/>
      <c r="AX80" s="46"/>
      <c r="AY80" s="46">
        <v>75</v>
      </c>
      <c r="AZ80" s="46">
        <f t="shared" si="81"/>
        <v>0</v>
      </c>
      <c r="BA80" s="46">
        <f t="shared" si="82"/>
        <v>82479</v>
      </c>
      <c r="BB80" s="46">
        <v>75</v>
      </c>
      <c r="BC80" s="46">
        <v>73</v>
      </c>
      <c r="BD80" s="46" t="e">
        <f t="shared" si="93"/>
        <v>#N/A</v>
      </c>
      <c r="BE80" s="46" t="e">
        <f t="shared" ca="1" si="94"/>
        <v>#N/A</v>
      </c>
      <c r="BF80" s="46" t="e">
        <f t="shared" ca="1" si="83"/>
        <v>#N/A</v>
      </c>
      <c r="BG80" s="46" t="e">
        <f t="shared" ca="1" si="84"/>
        <v>#N/A</v>
      </c>
      <c r="BH80" s="46">
        <v>73</v>
      </c>
      <c r="BI80" s="46">
        <f t="shared" si="95"/>
        <v>41</v>
      </c>
      <c r="BJ80" s="46">
        <f t="shared" ca="1" si="96"/>
        <v>46275</v>
      </c>
      <c r="BK80" s="46">
        <f t="shared" ca="1" si="85"/>
        <v>46270</v>
      </c>
      <c r="BL80" s="46">
        <f t="shared" ca="1" si="86"/>
        <v>1574.6708841029067</v>
      </c>
      <c r="BM80" s="46">
        <v>73</v>
      </c>
      <c r="BN80" s="46" t="e">
        <f t="shared" si="97"/>
        <v>#N/A</v>
      </c>
      <c r="BO80" s="46" t="e">
        <f t="shared" ca="1" si="98"/>
        <v>#N/A</v>
      </c>
      <c r="BP80" s="46" t="e">
        <f t="shared" ca="1" si="87"/>
        <v>#N/A</v>
      </c>
      <c r="BQ80" s="46" t="e">
        <f t="shared" ca="1" si="88"/>
        <v>#N/A</v>
      </c>
      <c r="BR80" s="46">
        <v>73</v>
      </c>
      <c r="BS80" s="46">
        <f t="shared" si="99"/>
        <v>69</v>
      </c>
      <c r="BT80" s="46">
        <f t="shared" ca="1" si="100"/>
        <v>77533</v>
      </c>
      <c r="BU80" s="46">
        <f t="shared" ca="1" si="89"/>
        <v>77528</v>
      </c>
      <c r="BV80" s="46">
        <f t="shared" ca="1" si="90"/>
        <v>1574.6708841029067</v>
      </c>
      <c r="BW80" s="46">
        <v>73</v>
      </c>
      <c r="BX80" s="46" t="e">
        <f t="shared" si="101"/>
        <v>#N/A</v>
      </c>
      <c r="BY80" s="46" t="e">
        <f t="shared" ca="1" si="102"/>
        <v>#N/A</v>
      </c>
      <c r="BZ80" s="46" t="e">
        <f t="shared" ca="1" si="91"/>
        <v>#N/A</v>
      </c>
      <c r="CA80" s="46" t="e">
        <f t="shared" ca="1" si="92"/>
        <v>#N/A</v>
      </c>
      <c r="CC80" s="50"/>
      <c r="CD80" s="50"/>
      <c r="CE80" s="50"/>
      <c r="CF80" s="50"/>
      <c r="CG80" s="50"/>
      <c r="CH80" s="50"/>
      <c r="CI80" s="50"/>
      <c r="CJ80" s="50"/>
      <c r="CO80" s="43"/>
      <c r="CP80" s="43"/>
      <c r="CQ80" s="43"/>
    </row>
    <row r="81" spans="1:95" x14ac:dyDescent="0.25">
      <c r="A81" s="43"/>
      <c r="C81" s="42"/>
      <c r="I81" s="42"/>
      <c r="J81" s="42"/>
      <c r="K81" s="42"/>
      <c r="O81" s="43"/>
      <c r="Q81" s="43"/>
      <c r="R81" s="42"/>
      <c r="V81" s="43"/>
      <c r="AC81" s="43"/>
      <c r="AD81" s="43"/>
      <c r="AF81" s="42"/>
      <c r="AG81" s="42"/>
      <c r="AH81" s="42"/>
      <c r="AI81" s="42"/>
      <c r="AJ81" s="42"/>
      <c r="AK81" s="42"/>
      <c r="AL81" s="42"/>
      <c r="AM81" s="42"/>
      <c r="AN81" s="43"/>
      <c r="AO81" s="43"/>
      <c r="AP81" s="43"/>
      <c r="AQ81" s="43"/>
      <c r="AR81" s="43"/>
      <c r="AS81" s="43"/>
      <c r="AT81" s="43"/>
      <c r="AU81" s="43"/>
      <c r="AV81" s="43"/>
      <c r="AW81" s="46"/>
      <c r="AX81" s="46"/>
      <c r="AY81" s="46">
        <v>76</v>
      </c>
      <c r="AZ81" s="46">
        <f t="shared" si="81"/>
        <v>0</v>
      </c>
      <c r="BA81" s="46">
        <f t="shared" si="82"/>
        <v>83623</v>
      </c>
      <c r="BB81" s="46">
        <v>76</v>
      </c>
      <c r="BC81" s="46">
        <v>74</v>
      </c>
      <c r="BD81" s="46" t="e">
        <f t="shared" si="93"/>
        <v>#N/A</v>
      </c>
      <c r="BE81" s="46" t="e">
        <f t="shared" ca="1" si="94"/>
        <v>#N/A</v>
      </c>
      <c r="BF81" s="46" t="e">
        <f t="shared" ca="1" si="83"/>
        <v>#N/A</v>
      </c>
      <c r="BG81" s="46" t="e">
        <f t="shared" ca="1" si="84"/>
        <v>#N/A</v>
      </c>
      <c r="BH81" s="46">
        <v>74</v>
      </c>
      <c r="BI81" s="46">
        <f t="shared" si="95"/>
        <v>41</v>
      </c>
      <c r="BJ81" s="46">
        <f t="shared" ca="1" si="96"/>
        <v>46275</v>
      </c>
      <c r="BK81" s="46">
        <f t="shared" ca="1" si="85"/>
        <v>46275</v>
      </c>
      <c r="BL81" s="46">
        <f t="shared" ca="1" si="86"/>
        <v>1429.6708841029067</v>
      </c>
      <c r="BM81" s="46">
        <v>74</v>
      </c>
      <c r="BN81" s="46" t="e">
        <f t="shared" si="97"/>
        <v>#N/A</v>
      </c>
      <c r="BO81" s="46" t="e">
        <f t="shared" ca="1" si="98"/>
        <v>#N/A</v>
      </c>
      <c r="BP81" s="46" t="e">
        <f t="shared" ca="1" si="87"/>
        <v>#N/A</v>
      </c>
      <c r="BQ81" s="46" t="e">
        <f t="shared" ca="1" si="88"/>
        <v>#N/A</v>
      </c>
      <c r="BR81" s="46">
        <v>74</v>
      </c>
      <c r="BS81" s="46">
        <f t="shared" si="99"/>
        <v>69</v>
      </c>
      <c r="BT81" s="46">
        <f t="shared" ca="1" si="100"/>
        <v>77533</v>
      </c>
      <c r="BU81" s="46">
        <f t="shared" ca="1" si="89"/>
        <v>77533</v>
      </c>
      <c r="BV81" s="46">
        <f t="shared" ca="1" si="90"/>
        <v>1429.6708841029067</v>
      </c>
      <c r="BW81" s="46">
        <v>74</v>
      </c>
      <c r="BX81" s="46" t="e">
        <f t="shared" si="101"/>
        <v>#N/A</v>
      </c>
      <c r="BY81" s="46" t="e">
        <f t="shared" ca="1" si="102"/>
        <v>#N/A</v>
      </c>
      <c r="BZ81" s="46" t="e">
        <f t="shared" ca="1" si="91"/>
        <v>#N/A</v>
      </c>
      <c r="CA81" s="46" t="e">
        <f t="shared" ca="1" si="92"/>
        <v>#N/A</v>
      </c>
      <c r="CC81" s="50"/>
      <c r="CD81" s="50"/>
      <c r="CE81" s="50"/>
      <c r="CF81" s="50"/>
      <c r="CG81" s="50"/>
      <c r="CH81" s="50"/>
      <c r="CI81" s="50"/>
      <c r="CJ81" s="50"/>
      <c r="CO81" s="43"/>
      <c r="CP81" s="43"/>
      <c r="CQ81" s="43"/>
    </row>
    <row r="82" spans="1:95" x14ac:dyDescent="0.25">
      <c r="A82" s="43"/>
      <c r="C82" s="42"/>
      <c r="I82" s="42"/>
      <c r="J82" s="42"/>
      <c r="K82" s="42"/>
      <c r="O82" s="43"/>
      <c r="Q82" s="43"/>
      <c r="R82" s="42"/>
      <c r="V82" s="43"/>
      <c r="AC82" s="43"/>
      <c r="AD82" s="43"/>
      <c r="AF82" s="42"/>
      <c r="AG82" s="42"/>
      <c r="AH82" s="42"/>
      <c r="AI82" s="42"/>
      <c r="AJ82" s="42"/>
      <c r="AK82" s="42"/>
      <c r="AL82" s="42"/>
      <c r="AM82" s="42"/>
      <c r="AN82" s="43"/>
      <c r="AO82" s="43"/>
      <c r="AP82" s="43"/>
      <c r="AQ82" s="43"/>
      <c r="AR82" s="43"/>
      <c r="AS82" s="43"/>
      <c r="AT82" s="43"/>
      <c r="AU82" s="43"/>
      <c r="AV82" s="43"/>
      <c r="AW82" s="46"/>
      <c r="AX82" s="46"/>
      <c r="AY82" s="46">
        <v>77</v>
      </c>
      <c r="AZ82" s="46">
        <f t="shared" si="81"/>
        <v>0</v>
      </c>
      <c r="BA82" s="46">
        <f t="shared" si="82"/>
        <v>84767</v>
      </c>
      <c r="BB82" s="46">
        <v>77</v>
      </c>
      <c r="BC82" s="46">
        <v>75</v>
      </c>
      <c r="BD82" s="46" t="e">
        <f t="shared" si="93"/>
        <v>#N/A</v>
      </c>
      <c r="BE82" s="46" t="e">
        <f t="shared" ca="1" si="94"/>
        <v>#N/A</v>
      </c>
      <c r="BF82" s="46" t="e">
        <f t="shared" ca="1" si="83"/>
        <v>#N/A</v>
      </c>
      <c r="BG82" s="46" t="e">
        <f t="shared" ca="1" si="84"/>
        <v>#N/A</v>
      </c>
      <c r="BH82" s="46">
        <v>75</v>
      </c>
      <c r="BI82" s="46">
        <f t="shared" si="95"/>
        <v>42</v>
      </c>
      <c r="BJ82" s="46">
        <f t="shared" ca="1" si="96"/>
        <v>47419</v>
      </c>
      <c r="BK82" s="46">
        <f t="shared" ca="1" si="85"/>
        <v>46280</v>
      </c>
      <c r="BL82" s="46">
        <f t="shared" ca="1" si="86"/>
        <v>1574.6708841029067</v>
      </c>
      <c r="BM82" s="46">
        <v>75</v>
      </c>
      <c r="BN82" s="46" t="e">
        <f t="shared" si="97"/>
        <v>#N/A</v>
      </c>
      <c r="BO82" s="46" t="e">
        <f t="shared" ca="1" si="98"/>
        <v>#N/A</v>
      </c>
      <c r="BP82" s="46" t="e">
        <f t="shared" ca="1" si="87"/>
        <v>#N/A</v>
      </c>
      <c r="BQ82" s="46" t="e">
        <f t="shared" ca="1" si="88"/>
        <v>#N/A</v>
      </c>
      <c r="BR82" s="46">
        <v>75</v>
      </c>
      <c r="BS82" s="46">
        <f t="shared" si="99"/>
        <v>70</v>
      </c>
      <c r="BT82" s="46">
        <f t="shared" ca="1" si="100"/>
        <v>78677</v>
      </c>
      <c r="BU82" s="46">
        <f t="shared" ca="1" si="89"/>
        <v>77538</v>
      </c>
      <c r="BV82" s="46">
        <f t="shared" ca="1" si="90"/>
        <v>1574.6708841029067</v>
      </c>
      <c r="BW82" s="46">
        <v>75</v>
      </c>
      <c r="BX82" s="46" t="e">
        <f t="shared" si="101"/>
        <v>#N/A</v>
      </c>
      <c r="BY82" s="46" t="e">
        <f t="shared" ca="1" si="102"/>
        <v>#N/A</v>
      </c>
      <c r="BZ82" s="46" t="e">
        <f t="shared" ca="1" si="91"/>
        <v>#N/A</v>
      </c>
      <c r="CA82" s="46" t="e">
        <f t="shared" ca="1" si="92"/>
        <v>#N/A</v>
      </c>
      <c r="CC82" s="50"/>
      <c r="CD82" s="50"/>
      <c r="CE82" s="50"/>
      <c r="CF82" s="50"/>
      <c r="CG82" s="50"/>
      <c r="CH82" s="50"/>
      <c r="CI82" s="50"/>
      <c r="CJ82" s="50"/>
      <c r="CO82" s="43"/>
      <c r="CP82" s="43"/>
      <c r="CQ82" s="43"/>
    </row>
    <row r="83" spans="1:95" x14ac:dyDescent="0.25">
      <c r="A83" s="43"/>
      <c r="C83" s="42"/>
      <c r="I83" s="42"/>
      <c r="J83" s="42"/>
      <c r="K83" s="42"/>
      <c r="O83" s="43"/>
      <c r="Q83" s="43"/>
      <c r="R83" s="42"/>
      <c r="V83" s="43"/>
      <c r="AC83" s="43"/>
      <c r="AD83" s="43"/>
      <c r="AF83" s="42"/>
      <c r="AG83" s="42"/>
      <c r="AH83" s="42"/>
      <c r="AI83" s="42"/>
      <c r="AJ83" s="42"/>
      <c r="AK83" s="42"/>
      <c r="AL83" s="42"/>
      <c r="AM83" s="42"/>
      <c r="AN83" s="43"/>
      <c r="AO83" s="43"/>
      <c r="AP83" s="43"/>
      <c r="AQ83" s="43"/>
      <c r="AR83" s="43"/>
      <c r="AS83" s="43"/>
      <c r="AT83" s="43"/>
      <c r="AU83" s="43"/>
      <c r="AV83" s="43"/>
      <c r="AW83" s="46"/>
      <c r="AX83" s="46"/>
      <c r="AY83" s="46">
        <v>78</v>
      </c>
      <c r="AZ83" s="46">
        <f t="shared" si="81"/>
        <v>0</v>
      </c>
      <c r="BA83" s="46">
        <f t="shared" si="82"/>
        <v>85911</v>
      </c>
      <c r="BB83" s="46">
        <v>78</v>
      </c>
      <c r="BC83" s="46">
        <v>76</v>
      </c>
      <c r="BD83" s="46" t="e">
        <f t="shared" si="93"/>
        <v>#N/A</v>
      </c>
      <c r="BE83" s="46" t="e">
        <f t="shared" ca="1" si="94"/>
        <v>#N/A</v>
      </c>
      <c r="BF83" s="46" t="e">
        <f t="shared" ca="1" si="83"/>
        <v>#N/A</v>
      </c>
      <c r="BG83" s="46" t="e">
        <f t="shared" ca="1" si="84"/>
        <v>#N/A</v>
      </c>
      <c r="BH83" s="46">
        <v>76</v>
      </c>
      <c r="BI83" s="46">
        <f t="shared" si="95"/>
        <v>42</v>
      </c>
      <c r="BJ83" s="46">
        <f t="shared" ca="1" si="96"/>
        <v>47419</v>
      </c>
      <c r="BK83" s="46">
        <f t="shared" ca="1" si="85"/>
        <v>47414</v>
      </c>
      <c r="BL83" s="46">
        <f t="shared" ca="1" si="86"/>
        <v>1574.6708841029067</v>
      </c>
      <c r="BM83" s="46">
        <v>76</v>
      </c>
      <c r="BN83" s="46" t="e">
        <f t="shared" si="97"/>
        <v>#N/A</v>
      </c>
      <c r="BO83" s="46" t="e">
        <f t="shared" ca="1" si="98"/>
        <v>#N/A</v>
      </c>
      <c r="BP83" s="46" t="e">
        <f t="shared" ca="1" si="87"/>
        <v>#N/A</v>
      </c>
      <c r="BQ83" s="46" t="e">
        <f t="shared" ca="1" si="88"/>
        <v>#N/A</v>
      </c>
      <c r="BR83" s="46">
        <v>76</v>
      </c>
      <c r="BS83" s="46">
        <f t="shared" si="99"/>
        <v>70</v>
      </c>
      <c r="BT83" s="46">
        <f t="shared" ca="1" si="100"/>
        <v>78677</v>
      </c>
      <c r="BU83" s="46">
        <f t="shared" ca="1" si="89"/>
        <v>78672</v>
      </c>
      <c r="BV83" s="46">
        <f t="shared" ca="1" si="90"/>
        <v>1574.6708841029067</v>
      </c>
      <c r="BW83" s="46">
        <v>76</v>
      </c>
      <c r="BX83" s="46" t="e">
        <f t="shared" si="101"/>
        <v>#N/A</v>
      </c>
      <c r="BY83" s="46" t="e">
        <f t="shared" ca="1" si="102"/>
        <v>#N/A</v>
      </c>
      <c r="BZ83" s="46" t="e">
        <f t="shared" ca="1" si="91"/>
        <v>#N/A</v>
      </c>
      <c r="CA83" s="46" t="e">
        <f t="shared" ca="1" si="92"/>
        <v>#N/A</v>
      </c>
      <c r="CC83" s="50"/>
      <c r="CD83" s="50"/>
      <c r="CE83" s="50"/>
      <c r="CF83" s="50"/>
      <c r="CG83" s="50"/>
      <c r="CH83" s="50"/>
      <c r="CI83" s="50"/>
      <c r="CJ83" s="50"/>
      <c r="CO83" s="43"/>
      <c r="CP83" s="43"/>
      <c r="CQ83" s="43"/>
    </row>
    <row r="84" spans="1:95" x14ac:dyDescent="0.25">
      <c r="A84" s="43"/>
      <c r="C84" s="42"/>
      <c r="I84" s="42"/>
      <c r="J84" s="42"/>
      <c r="K84" s="42"/>
      <c r="O84" s="43"/>
      <c r="Q84" s="43"/>
      <c r="R84" s="42"/>
      <c r="V84" s="43"/>
      <c r="AC84" s="43"/>
      <c r="AD84" s="43"/>
      <c r="AF84" s="42"/>
      <c r="AG84" s="42"/>
      <c r="AH84" s="42"/>
      <c r="AI84" s="42"/>
      <c r="AJ84" s="42"/>
      <c r="AK84" s="42"/>
      <c r="AL84" s="42"/>
      <c r="AM84" s="42"/>
      <c r="AN84" s="43"/>
      <c r="AO84" s="43"/>
      <c r="AP84" s="43"/>
      <c r="AQ84" s="43"/>
      <c r="AR84" s="43"/>
      <c r="AS84" s="43"/>
      <c r="AT84" s="43"/>
      <c r="AU84" s="43"/>
      <c r="AV84" s="43"/>
      <c r="AW84" s="46"/>
      <c r="AX84" s="46"/>
      <c r="AY84" s="46">
        <v>79</v>
      </c>
      <c r="AZ84" s="46">
        <f t="shared" si="81"/>
        <v>0</v>
      </c>
      <c r="BA84" s="46">
        <f t="shared" si="82"/>
        <v>87055</v>
      </c>
      <c r="BB84" s="46">
        <v>79</v>
      </c>
      <c r="BC84" s="46">
        <v>77</v>
      </c>
      <c r="BD84" s="46" t="e">
        <f t="shared" si="93"/>
        <v>#N/A</v>
      </c>
      <c r="BE84" s="46" t="e">
        <f t="shared" ca="1" si="94"/>
        <v>#N/A</v>
      </c>
      <c r="BF84" s="46" t="e">
        <f t="shared" ca="1" si="83"/>
        <v>#N/A</v>
      </c>
      <c r="BG84" s="46" t="e">
        <f t="shared" ca="1" si="84"/>
        <v>#N/A</v>
      </c>
      <c r="BH84" s="46">
        <v>77</v>
      </c>
      <c r="BI84" s="46">
        <f t="shared" si="95"/>
        <v>42</v>
      </c>
      <c r="BJ84" s="46">
        <f t="shared" ca="1" si="96"/>
        <v>47419</v>
      </c>
      <c r="BK84" s="46">
        <f t="shared" ca="1" si="85"/>
        <v>47419</v>
      </c>
      <c r="BL84" s="46">
        <f t="shared" ca="1" si="86"/>
        <v>1429.6708841029067</v>
      </c>
      <c r="BM84" s="46">
        <v>77</v>
      </c>
      <c r="BN84" s="46" t="e">
        <f t="shared" si="97"/>
        <v>#N/A</v>
      </c>
      <c r="BO84" s="46" t="e">
        <f t="shared" ca="1" si="98"/>
        <v>#N/A</v>
      </c>
      <c r="BP84" s="46" t="e">
        <f t="shared" ca="1" si="87"/>
        <v>#N/A</v>
      </c>
      <c r="BQ84" s="46" t="e">
        <f t="shared" ca="1" si="88"/>
        <v>#N/A</v>
      </c>
      <c r="BR84" s="46">
        <v>77</v>
      </c>
      <c r="BS84" s="46">
        <f t="shared" si="99"/>
        <v>70</v>
      </c>
      <c r="BT84" s="46">
        <f t="shared" ca="1" si="100"/>
        <v>78677</v>
      </c>
      <c r="BU84" s="46">
        <f t="shared" ca="1" si="89"/>
        <v>78677</v>
      </c>
      <c r="BV84" s="46">
        <f t="shared" ca="1" si="90"/>
        <v>1429.6708841029067</v>
      </c>
      <c r="BW84" s="46">
        <v>77</v>
      </c>
      <c r="BX84" s="46" t="e">
        <f t="shared" si="101"/>
        <v>#N/A</v>
      </c>
      <c r="BY84" s="46" t="e">
        <f t="shared" ca="1" si="102"/>
        <v>#N/A</v>
      </c>
      <c r="BZ84" s="46" t="e">
        <f t="shared" ca="1" si="91"/>
        <v>#N/A</v>
      </c>
      <c r="CA84" s="46" t="e">
        <f t="shared" ca="1" si="92"/>
        <v>#N/A</v>
      </c>
      <c r="CC84" s="50"/>
      <c r="CD84" s="50"/>
      <c r="CE84" s="50"/>
      <c r="CF84" s="50"/>
      <c r="CG84" s="50"/>
      <c r="CH84" s="50"/>
      <c r="CI84" s="50"/>
      <c r="CJ84" s="50"/>
      <c r="CO84" s="43"/>
      <c r="CP84" s="43"/>
      <c r="CQ84" s="43"/>
    </row>
    <row r="85" spans="1:95" x14ac:dyDescent="0.25">
      <c r="A85" s="43"/>
      <c r="C85" s="42"/>
      <c r="I85" s="42"/>
      <c r="J85" s="42"/>
      <c r="K85" s="42"/>
      <c r="O85" s="43"/>
      <c r="Q85" s="43"/>
      <c r="R85" s="42"/>
      <c r="V85" s="43"/>
      <c r="AC85" s="43"/>
      <c r="AD85" s="43"/>
      <c r="AF85" s="42"/>
      <c r="AG85" s="42"/>
      <c r="AH85" s="42"/>
      <c r="AI85" s="42"/>
      <c r="AJ85" s="42"/>
      <c r="AK85" s="42"/>
      <c r="AL85" s="42"/>
      <c r="AM85" s="42"/>
      <c r="AN85" s="43"/>
      <c r="AO85" s="43"/>
      <c r="AP85" s="43"/>
      <c r="AQ85" s="43"/>
      <c r="AR85" s="43"/>
      <c r="AS85" s="43"/>
      <c r="AT85" s="43"/>
      <c r="AU85" s="43"/>
      <c r="AV85" s="43"/>
      <c r="AW85" s="46"/>
      <c r="AX85" s="46"/>
      <c r="AY85" s="46">
        <v>80</v>
      </c>
      <c r="AZ85" s="46">
        <f t="shared" si="81"/>
        <v>0</v>
      </c>
      <c r="BA85" s="46">
        <f t="shared" si="82"/>
        <v>88199</v>
      </c>
      <c r="BB85" s="46">
        <v>80</v>
      </c>
      <c r="BC85" s="46">
        <v>78</v>
      </c>
      <c r="BD85" s="46" t="e">
        <f t="shared" si="93"/>
        <v>#N/A</v>
      </c>
      <c r="BE85" s="46" t="e">
        <f t="shared" ca="1" si="94"/>
        <v>#N/A</v>
      </c>
      <c r="BF85" s="46" t="e">
        <f t="shared" ca="1" si="83"/>
        <v>#N/A</v>
      </c>
      <c r="BG85" s="46" t="e">
        <f t="shared" ca="1" si="84"/>
        <v>#N/A</v>
      </c>
      <c r="BH85" s="46">
        <v>78</v>
      </c>
      <c r="BI85" s="46">
        <f t="shared" si="95"/>
        <v>43</v>
      </c>
      <c r="BJ85" s="46">
        <f t="shared" ca="1" si="96"/>
        <v>48563</v>
      </c>
      <c r="BK85" s="46">
        <f t="shared" ca="1" si="85"/>
        <v>47424</v>
      </c>
      <c r="BL85" s="46">
        <f t="shared" ca="1" si="86"/>
        <v>1574.6708841029067</v>
      </c>
      <c r="BM85" s="46">
        <v>78</v>
      </c>
      <c r="BN85" s="46" t="e">
        <f t="shared" si="97"/>
        <v>#N/A</v>
      </c>
      <c r="BO85" s="46" t="e">
        <f t="shared" ca="1" si="98"/>
        <v>#N/A</v>
      </c>
      <c r="BP85" s="46" t="e">
        <f t="shared" ca="1" si="87"/>
        <v>#N/A</v>
      </c>
      <c r="BQ85" s="46" t="e">
        <f t="shared" ca="1" si="88"/>
        <v>#N/A</v>
      </c>
      <c r="BR85" s="46">
        <v>78</v>
      </c>
      <c r="BS85" s="46">
        <f t="shared" si="99"/>
        <v>71</v>
      </c>
      <c r="BT85" s="46">
        <f t="shared" ca="1" si="100"/>
        <v>79821</v>
      </c>
      <c r="BU85" s="46">
        <f t="shared" ca="1" si="89"/>
        <v>78682</v>
      </c>
      <c r="BV85" s="46">
        <f t="shared" ca="1" si="90"/>
        <v>1574.6708841029067</v>
      </c>
      <c r="BW85" s="46">
        <v>78</v>
      </c>
      <c r="BX85" s="46" t="e">
        <f t="shared" si="101"/>
        <v>#N/A</v>
      </c>
      <c r="BY85" s="46" t="e">
        <f t="shared" ca="1" si="102"/>
        <v>#N/A</v>
      </c>
      <c r="BZ85" s="46" t="e">
        <f t="shared" ca="1" si="91"/>
        <v>#N/A</v>
      </c>
      <c r="CA85" s="46" t="e">
        <f t="shared" ca="1" si="92"/>
        <v>#N/A</v>
      </c>
      <c r="CC85" s="50"/>
      <c r="CD85" s="50"/>
      <c r="CE85" s="50"/>
      <c r="CF85" s="50"/>
      <c r="CG85" s="50"/>
      <c r="CH85" s="50"/>
      <c r="CI85" s="50"/>
      <c r="CJ85" s="50"/>
      <c r="CO85" s="43"/>
      <c r="CP85" s="43"/>
      <c r="CQ85" s="43"/>
    </row>
    <row r="86" spans="1:95" x14ac:dyDescent="0.25">
      <c r="A86" s="43"/>
      <c r="C86" s="42"/>
      <c r="I86" s="42"/>
      <c r="J86" s="42"/>
      <c r="K86" s="42"/>
      <c r="O86" s="43"/>
      <c r="Q86" s="43"/>
      <c r="R86" s="42"/>
      <c r="V86" s="43"/>
      <c r="AC86" s="43"/>
      <c r="AD86" s="43"/>
      <c r="AF86" s="42"/>
      <c r="AG86" s="42"/>
      <c r="AH86" s="42"/>
      <c r="AI86" s="42"/>
      <c r="AJ86" s="42"/>
      <c r="AK86" s="42"/>
      <c r="AL86" s="42"/>
      <c r="AM86" s="42"/>
      <c r="AN86" s="43"/>
      <c r="AO86" s="43"/>
      <c r="AP86" s="43"/>
      <c r="AQ86" s="43"/>
      <c r="AR86" s="43"/>
      <c r="AS86" s="43"/>
      <c r="AT86" s="43"/>
      <c r="AU86" s="43"/>
      <c r="AV86" s="43"/>
      <c r="AW86" s="46"/>
      <c r="AX86" s="46"/>
      <c r="AY86" s="46">
        <v>81</v>
      </c>
      <c r="AZ86" s="46">
        <f t="shared" si="81"/>
        <v>0</v>
      </c>
      <c r="BA86" s="46">
        <f t="shared" si="82"/>
        <v>89343</v>
      </c>
      <c r="BB86" s="46">
        <v>81</v>
      </c>
      <c r="BC86" s="46">
        <v>79</v>
      </c>
      <c r="BD86" s="46" t="e">
        <f t="shared" si="93"/>
        <v>#N/A</v>
      </c>
      <c r="BE86" s="46" t="e">
        <f t="shared" ca="1" si="94"/>
        <v>#N/A</v>
      </c>
      <c r="BF86" s="46" t="e">
        <f t="shared" ca="1" si="83"/>
        <v>#N/A</v>
      </c>
      <c r="BG86" s="46" t="e">
        <f t="shared" ca="1" si="84"/>
        <v>#N/A</v>
      </c>
      <c r="BH86" s="46">
        <v>79</v>
      </c>
      <c r="BI86" s="46">
        <f t="shared" si="95"/>
        <v>43</v>
      </c>
      <c r="BJ86" s="46">
        <f t="shared" ca="1" si="96"/>
        <v>48563</v>
      </c>
      <c r="BK86" s="46">
        <f t="shared" ca="1" si="85"/>
        <v>48558</v>
      </c>
      <c r="BL86" s="46">
        <f t="shared" ca="1" si="86"/>
        <v>1574.6708841029067</v>
      </c>
      <c r="BM86" s="46">
        <v>79</v>
      </c>
      <c r="BN86" s="46" t="e">
        <f t="shared" si="97"/>
        <v>#N/A</v>
      </c>
      <c r="BO86" s="46" t="e">
        <f t="shared" ca="1" si="98"/>
        <v>#N/A</v>
      </c>
      <c r="BP86" s="46" t="e">
        <f t="shared" ca="1" si="87"/>
        <v>#N/A</v>
      </c>
      <c r="BQ86" s="46" t="e">
        <f t="shared" ca="1" si="88"/>
        <v>#N/A</v>
      </c>
      <c r="BR86" s="46">
        <v>79</v>
      </c>
      <c r="BS86" s="46">
        <f t="shared" si="99"/>
        <v>71</v>
      </c>
      <c r="BT86" s="46">
        <f t="shared" ca="1" si="100"/>
        <v>79821</v>
      </c>
      <c r="BU86" s="46">
        <f t="shared" ca="1" si="89"/>
        <v>79816</v>
      </c>
      <c r="BV86" s="46">
        <f t="shared" ca="1" si="90"/>
        <v>1574.6708841029067</v>
      </c>
      <c r="BW86" s="46">
        <v>79</v>
      </c>
      <c r="BX86" s="46" t="e">
        <f t="shared" si="101"/>
        <v>#N/A</v>
      </c>
      <c r="BY86" s="46" t="e">
        <f t="shared" ca="1" si="102"/>
        <v>#N/A</v>
      </c>
      <c r="BZ86" s="46" t="e">
        <f t="shared" ca="1" si="91"/>
        <v>#N/A</v>
      </c>
      <c r="CA86" s="46" t="e">
        <f t="shared" ca="1" si="92"/>
        <v>#N/A</v>
      </c>
      <c r="CC86" s="50"/>
      <c r="CD86" s="50"/>
      <c r="CE86" s="50"/>
      <c r="CF86" s="50"/>
      <c r="CG86" s="50"/>
      <c r="CH86" s="50"/>
      <c r="CI86" s="50"/>
      <c r="CJ86" s="50"/>
      <c r="CO86" s="43"/>
      <c r="CP86" s="43"/>
      <c r="CQ86" s="43"/>
    </row>
    <row r="87" spans="1:95" x14ac:dyDescent="0.25">
      <c r="A87" s="43"/>
      <c r="C87" s="42"/>
      <c r="I87" s="42"/>
      <c r="J87" s="42"/>
      <c r="K87" s="42"/>
      <c r="O87" s="43"/>
      <c r="Q87" s="43"/>
      <c r="R87" s="42"/>
      <c r="V87" s="43"/>
      <c r="AC87" s="43"/>
      <c r="AD87" s="43"/>
      <c r="AF87" s="42"/>
      <c r="AG87" s="42"/>
      <c r="AH87" s="42"/>
      <c r="AI87" s="42"/>
      <c r="AJ87" s="42"/>
      <c r="AK87" s="42"/>
      <c r="AL87" s="42"/>
      <c r="AM87" s="42"/>
      <c r="AN87" s="43"/>
      <c r="AO87" s="43"/>
      <c r="AP87" s="43"/>
      <c r="AQ87" s="43"/>
      <c r="AR87" s="43"/>
      <c r="AS87" s="43"/>
      <c r="AT87" s="43"/>
      <c r="AU87" s="43"/>
      <c r="AV87" s="43"/>
      <c r="AW87" s="46"/>
      <c r="AX87" s="46"/>
      <c r="AY87" s="46">
        <v>82</v>
      </c>
      <c r="AZ87" s="46">
        <f t="shared" si="81"/>
        <v>0</v>
      </c>
      <c r="BA87" s="46">
        <f t="shared" si="82"/>
        <v>90487</v>
      </c>
      <c r="BB87" s="46">
        <v>82</v>
      </c>
      <c r="BC87" s="46">
        <v>80</v>
      </c>
      <c r="BD87" s="46" t="e">
        <f t="shared" si="93"/>
        <v>#N/A</v>
      </c>
      <c r="BE87" s="46" t="e">
        <f t="shared" ca="1" si="94"/>
        <v>#N/A</v>
      </c>
      <c r="BF87" s="46" t="e">
        <f t="shared" ca="1" si="83"/>
        <v>#N/A</v>
      </c>
      <c r="BG87" s="46" t="e">
        <f t="shared" ca="1" si="84"/>
        <v>#N/A</v>
      </c>
      <c r="BH87" s="46">
        <v>80</v>
      </c>
      <c r="BI87" s="46">
        <f t="shared" si="95"/>
        <v>43</v>
      </c>
      <c r="BJ87" s="46">
        <f t="shared" ca="1" si="96"/>
        <v>48563</v>
      </c>
      <c r="BK87" s="46">
        <f t="shared" ca="1" si="85"/>
        <v>48563</v>
      </c>
      <c r="BL87" s="46">
        <f t="shared" ca="1" si="86"/>
        <v>1429.6708841029067</v>
      </c>
      <c r="BM87" s="46">
        <v>80</v>
      </c>
      <c r="BN87" s="46" t="e">
        <f t="shared" si="97"/>
        <v>#N/A</v>
      </c>
      <c r="BO87" s="46" t="e">
        <f t="shared" ca="1" si="98"/>
        <v>#N/A</v>
      </c>
      <c r="BP87" s="46" t="e">
        <f t="shared" ca="1" si="87"/>
        <v>#N/A</v>
      </c>
      <c r="BQ87" s="46" t="e">
        <f t="shared" ca="1" si="88"/>
        <v>#N/A</v>
      </c>
      <c r="BR87" s="46">
        <v>80</v>
      </c>
      <c r="BS87" s="46">
        <f t="shared" si="99"/>
        <v>71</v>
      </c>
      <c r="BT87" s="46">
        <f t="shared" ca="1" si="100"/>
        <v>79821</v>
      </c>
      <c r="BU87" s="46">
        <f t="shared" ca="1" si="89"/>
        <v>79821</v>
      </c>
      <c r="BV87" s="46">
        <f t="shared" ca="1" si="90"/>
        <v>1429.6708841029067</v>
      </c>
      <c r="BW87" s="46">
        <v>80</v>
      </c>
      <c r="BX87" s="46" t="e">
        <f t="shared" si="101"/>
        <v>#N/A</v>
      </c>
      <c r="BY87" s="46" t="e">
        <f t="shared" ca="1" si="102"/>
        <v>#N/A</v>
      </c>
      <c r="BZ87" s="46" t="e">
        <f t="shared" ca="1" si="91"/>
        <v>#N/A</v>
      </c>
      <c r="CA87" s="46" t="e">
        <f t="shared" ca="1" si="92"/>
        <v>#N/A</v>
      </c>
      <c r="CC87" s="50"/>
      <c r="CD87" s="50"/>
      <c r="CE87" s="50"/>
      <c r="CF87" s="50"/>
      <c r="CG87" s="50"/>
      <c r="CH87" s="50"/>
      <c r="CI87" s="50"/>
      <c r="CJ87" s="50"/>
      <c r="CO87" s="43"/>
      <c r="CP87" s="43"/>
      <c r="CQ87" s="43"/>
    </row>
    <row r="88" spans="1:95" x14ac:dyDescent="0.25">
      <c r="A88" s="43"/>
      <c r="C88" s="42"/>
      <c r="I88" s="42"/>
      <c r="J88" s="42"/>
      <c r="K88" s="42"/>
      <c r="O88" s="43"/>
      <c r="Q88" s="43"/>
      <c r="R88" s="42"/>
      <c r="V88" s="43"/>
      <c r="AC88" s="43"/>
      <c r="AD88" s="43"/>
      <c r="AF88" s="42"/>
      <c r="AG88" s="42"/>
      <c r="AH88" s="42"/>
      <c r="AI88" s="42"/>
      <c r="AJ88" s="42"/>
      <c r="AK88" s="42"/>
      <c r="AL88" s="42"/>
      <c r="AM88" s="42"/>
      <c r="AN88" s="43"/>
      <c r="AO88" s="43"/>
      <c r="AP88" s="43"/>
      <c r="AQ88" s="43"/>
      <c r="AR88" s="43"/>
      <c r="AS88" s="43"/>
      <c r="AT88" s="43"/>
      <c r="AU88" s="43"/>
      <c r="AV88" s="43"/>
      <c r="AW88" s="46"/>
      <c r="AX88" s="46"/>
      <c r="AY88" s="46">
        <v>83</v>
      </c>
      <c r="AZ88" s="46">
        <f t="shared" si="81"/>
        <v>0</v>
      </c>
      <c r="BA88" s="46">
        <f t="shared" si="82"/>
        <v>91631</v>
      </c>
      <c r="BB88" s="46">
        <v>83</v>
      </c>
      <c r="BC88" s="46">
        <v>81</v>
      </c>
      <c r="BD88" s="46" t="e">
        <f t="shared" si="93"/>
        <v>#N/A</v>
      </c>
      <c r="BE88" s="46" t="e">
        <f t="shared" ca="1" si="94"/>
        <v>#N/A</v>
      </c>
      <c r="BF88" s="46" t="e">
        <f t="shared" ca="1" si="83"/>
        <v>#N/A</v>
      </c>
      <c r="BG88" s="46" t="e">
        <f t="shared" ca="1" si="84"/>
        <v>#N/A</v>
      </c>
      <c r="BH88" s="46">
        <v>81</v>
      </c>
      <c r="BI88" s="46" t="e">
        <f t="shared" si="95"/>
        <v>#N/A</v>
      </c>
      <c r="BJ88" s="46" t="e">
        <f t="shared" ca="1" si="96"/>
        <v>#N/A</v>
      </c>
      <c r="BK88" s="46" t="e">
        <f t="shared" ca="1" si="85"/>
        <v>#N/A</v>
      </c>
      <c r="BL88" s="46" t="e">
        <f t="shared" ca="1" si="86"/>
        <v>#N/A</v>
      </c>
      <c r="BM88" s="46">
        <v>81</v>
      </c>
      <c r="BN88" s="46" t="e">
        <f t="shared" si="97"/>
        <v>#N/A</v>
      </c>
      <c r="BO88" s="46" t="e">
        <f t="shared" ca="1" si="98"/>
        <v>#N/A</v>
      </c>
      <c r="BP88" s="46" t="e">
        <f t="shared" ca="1" si="87"/>
        <v>#N/A</v>
      </c>
      <c r="BQ88" s="46" t="e">
        <f t="shared" ca="1" si="88"/>
        <v>#N/A</v>
      </c>
      <c r="BR88" s="46">
        <v>81</v>
      </c>
      <c r="BS88" s="46" t="e">
        <f t="shared" si="99"/>
        <v>#N/A</v>
      </c>
      <c r="BT88" s="46" t="e">
        <f t="shared" ca="1" si="100"/>
        <v>#N/A</v>
      </c>
      <c r="BU88" s="46" t="e">
        <f t="shared" ca="1" si="89"/>
        <v>#N/A</v>
      </c>
      <c r="BV88" s="46" t="e">
        <f t="shared" ca="1" si="90"/>
        <v>#N/A</v>
      </c>
      <c r="BW88" s="46">
        <v>81</v>
      </c>
      <c r="BX88" s="46" t="e">
        <f t="shared" si="101"/>
        <v>#N/A</v>
      </c>
      <c r="BY88" s="46" t="e">
        <f t="shared" ca="1" si="102"/>
        <v>#N/A</v>
      </c>
      <c r="BZ88" s="46" t="e">
        <f t="shared" ca="1" si="91"/>
        <v>#N/A</v>
      </c>
      <c r="CA88" s="46" t="e">
        <f t="shared" ca="1" si="92"/>
        <v>#N/A</v>
      </c>
      <c r="CC88" s="50"/>
      <c r="CD88" s="50"/>
      <c r="CE88" s="50"/>
      <c r="CF88" s="50"/>
      <c r="CG88" s="50"/>
      <c r="CH88" s="50"/>
      <c r="CI88" s="50"/>
      <c r="CJ88" s="50"/>
      <c r="CO88" s="43"/>
      <c r="CP88" s="43"/>
      <c r="CQ88" s="43"/>
    </row>
    <row r="89" spans="1:95" x14ac:dyDescent="0.25">
      <c r="A89" s="43"/>
      <c r="C89" s="42"/>
      <c r="I89" s="42"/>
      <c r="J89" s="42"/>
      <c r="K89" s="42"/>
      <c r="O89" s="43"/>
      <c r="Q89" s="43"/>
      <c r="R89" s="42"/>
      <c r="V89" s="43"/>
      <c r="AC89" s="43"/>
      <c r="AD89" s="43"/>
      <c r="AF89" s="42"/>
      <c r="AG89" s="42"/>
      <c r="AH89" s="42"/>
      <c r="AI89" s="42"/>
      <c r="AJ89" s="42"/>
      <c r="AK89" s="42"/>
      <c r="AL89" s="42"/>
      <c r="AM89" s="42"/>
      <c r="AN89" s="43"/>
      <c r="AO89" s="43"/>
      <c r="AP89" s="43"/>
      <c r="AQ89" s="43"/>
      <c r="AR89" s="43"/>
      <c r="AS89" s="43"/>
      <c r="AT89" s="43"/>
      <c r="AU89" s="43"/>
      <c r="AV89" s="43"/>
      <c r="AW89" s="46"/>
      <c r="AX89" s="46"/>
      <c r="AY89" s="46">
        <v>84</v>
      </c>
      <c r="AZ89" s="46">
        <f t="shared" si="81"/>
        <v>0</v>
      </c>
      <c r="BA89" s="46">
        <f t="shared" si="82"/>
        <v>92775</v>
      </c>
      <c r="BB89" s="46">
        <v>84</v>
      </c>
      <c r="BC89" s="46">
        <v>82</v>
      </c>
      <c r="BD89" s="46" t="e">
        <f t="shared" si="93"/>
        <v>#N/A</v>
      </c>
      <c r="BE89" s="46" t="e">
        <f t="shared" ca="1" si="94"/>
        <v>#N/A</v>
      </c>
      <c r="BF89" s="46" t="e">
        <f t="shared" ca="1" si="83"/>
        <v>#N/A</v>
      </c>
      <c r="BG89" s="46" t="e">
        <f t="shared" ca="1" si="84"/>
        <v>#N/A</v>
      </c>
      <c r="BH89" s="46">
        <v>82</v>
      </c>
      <c r="BI89" s="46" t="e">
        <f t="shared" si="95"/>
        <v>#N/A</v>
      </c>
      <c r="BJ89" s="46" t="e">
        <f t="shared" ca="1" si="96"/>
        <v>#N/A</v>
      </c>
      <c r="BK89" s="46" t="e">
        <f t="shared" ca="1" si="85"/>
        <v>#N/A</v>
      </c>
      <c r="BL89" s="46" t="e">
        <f t="shared" ca="1" si="86"/>
        <v>#N/A</v>
      </c>
      <c r="BM89" s="46">
        <v>82</v>
      </c>
      <c r="BN89" s="46" t="e">
        <f t="shared" si="97"/>
        <v>#N/A</v>
      </c>
      <c r="BO89" s="46" t="e">
        <f t="shared" ca="1" si="98"/>
        <v>#N/A</v>
      </c>
      <c r="BP89" s="46" t="e">
        <f t="shared" ca="1" si="87"/>
        <v>#N/A</v>
      </c>
      <c r="BQ89" s="46" t="e">
        <f t="shared" ca="1" si="88"/>
        <v>#N/A</v>
      </c>
      <c r="BR89" s="46">
        <v>82</v>
      </c>
      <c r="BS89" s="46" t="e">
        <f t="shared" si="99"/>
        <v>#N/A</v>
      </c>
      <c r="BT89" s="46" t="e">
        <f t="shared" ca="1" si="100"/>
        <v>#N/A</v>
      </c>
      <c r="BU89" s="46" t="e">
        <f t="shared" ca="1" si="89"/>
        <v>#N/A</v>
      </c>
      <c r="BV89" s="46" t="e">
        <f t="shared" ca="1" si="90"/>
        <v>#N/A</v>
      </c>
      <c r="BW89" s="46">
        <v>82</v>
      </c>
      <c r="BX89" s="46" t="e">
        <f t="shared" si="101"/>
        <v>#N/A</v>
      </c>
      <c r="BY89" s="46" t="e">
        <f t="shared" ca="1" si="102"/>
        <v>#N/A</v>
      </c>
      <c r="BZ89" s="46" t="e">
        <f t="shared" ca="1" si="91"/>
        <v>#N/A</v>
      </c>
      <c r="CA89" s="46" t="e">
        <f t="shared" ca="1" si="92"/>
        <v>#N/A</v>
      </c>
      <c r="CC89" s="50"/>
      <c r="CD89" s="50"/>
      <c r="CE89" s="50"/>
      <c r="CF89" s="50"/>
      <c r="CG89" s="50"/>
      <c r="CH89" s="50"/>
      <c r="CI89" s="50"/>
      <c r="CJ89" s="50"/>
      <c r="CO89" s="43"/>
      <c r="CP89" s="43"/>
      <c r="CQ89" s="43"/>
    </row>
    <row r="90" spans="1:95" x14ac:dyDescent="0.25">
      <c r="A90" s="43"/>
      <c r="C90" s="42"/>
      <c r="I90" s="42"/>
      <c r="J90" s="42"/>
      <c r="K90" s="42"/>
      <c r="O90" s="43"/>
      <c r="Q90" s="43"/>
      <c r="R90" s="42"/>
      <c r="V90" s="43"/>
      <c r="AC90" s="43"/>
      <c r="AD90" s="43"/>
      <c r="AF90" s="42"/>
      <c r="AG90" s="42"/>
      <c r="AH90" s="42"/>
      <c r="AI90" s="42"/>
      <c r="AJ90" s="42"/>
      <c r="AK90" s="42"/>
      <c r="AL90" s="42"/>
      <c r="AM90" s="42"/>
      <c r="AN90" s="43"/>
      <c r="AO90" s="43"/>
      <c r="AP90" s="43"/>
      <c r="AQ90" s="43"/>
      <c r="AR90" s="43"/>
      <c r="AS90" s="43"/>
      <c r="AT90" s="43"/>
      <c r="AU90" s="43"/>
      <c r="AV90" s="43"/>
      <c r="AW90" s="46"/>
      <c r="AX90" s="46"/>
      <c r="AY90" s="46">
        <v>85</v>
      </c>
      <c r="AZ90" s="46">
        <f t="shared" si="81"/>
        <v>0</v>
      </c>
      <c r="BA90" s="46">
        <f t="shared" si="82"/>
        <v>93919</v>
      </c>
      <c r="BB90" s="46">
        <v>85</v>
      </c>
      <c r="BC90" s="46">
        <v>83</v>
      </c>
      <c r="BD90" s="46" t="e">
        <f t="shared" si="93"/>
        <v>#N/A</v>
      </c>
      <c r="BE90" s="46" t="e">
        <f t="shared" ca="1" si="94"/>
        <v>#N/A</v>
      </c>
      <c r="BF90" s="46" t="e">
        <f t="shared" ca="1" si="83"/>
        <v>#N/A</v>
      </c>
      <c r="BG90" s="46" t="e">
        <f t="shared" ca="1" si="84"/>
        <v>#N/A</v>
      </c>
      <c r="BH90" s="46">
        <v>83</v>
      </c>
      <c r="BI90" s="46" t="e">
        <f t="shared" si="95"/>
        <v>#N/A</v>
      </c>
      <c r="BJ90" s="46" t="e">
        <f t="shared" ca="1" si="96"/>
        <v>#N/A</v>
      </c>
      <c r="BK90" s="46" t="e">
        <f t="shared" ca="1" si="85"/>
        <v>#N/A</v>
      </c>
      <c r="BL90" s="46" t="e">
        <f t="shared" ca="1" si="86"/>
        <v>#N/A</v>
      </c>
      <c r="BM90" s="46">
        <v>83</v>
      </c>
      <c r="BN90" s="46" t="e">
        <f t="shared" si="97"/>
        <v>#N/A</v>
      </c>
      <c r="BO90" s="46" t="e">
        <f t="shared" ca="1" si="98"/>
        <v>#N/A</v>
      </c>
      <c r="BP90" s="46" t="e">
        <f t="shared" ca="1" si="87"/>
        <v>#N/A</v>
      </c>
      <c r="BQ90" s="46" t="e">
        <f t="shared" ca="1" si="88"/>
        <v>#N/A</v>
      </c>
      <c r="BR90" s="46">
        <v>83</v>
      </c>
      <c r="BS90" s="46" t="e">
        <f t="shared" si="99"/>
        <v>#N/A</v>
      </c>
      <c r="BT90" s="46" t="e">
        <f t="shared" ca="1" si="100"/>
        <v>#N/A</v>
      </c>
      <c r="BU90" s="46" t="e">
        <f t="shared" ca="1" si="89"/>
        <v>#N/A</v>
      </c>
      <c r="BV90" s="46" t="e">
        <f t="shared" ca="1" si="90"/>
        <v>#N/A</v>
      </c>
      <c r="BW90" s="46">
        <v>83</v>
      </c>
      <c r="BX90" s="46" t="e">
        <f t="shared" si="101"/>
        <v>#N/A</v>
      </c>
      <c r="BY90" s="46" t="e">
        <f t="shared" ca="1" si="102"/>
        <v>#N/A</v>
      </c>
      <c r="BZ90" s="46" t="e">
        <f t="shared" ca="1" si="91"/>
        <v>#N/A</v>
      </c>
      <c r="CA90" s="46" t="e">
        <f t="shared" ca="1" si="92"/>
        <v>#N/A</v>
      </c>
      <c r="CC90" s="50"/>
      <c r="CD90" s="50"/>
      <c r="CE90" s="50"/>
      <c r="CF90" s="50"/>
      <c r="CG90" s="50"/>
      <c r="CH90" s="50"/>
      <c r="CI90" s="50"/>
      <c r="CJ90" s="50"/>
      <c r="CO90" s="43"/>
      <c r="CP90" s="43"/>
      <c r="CQ90" s="43"/>
    </row>
    <row r="91" spans="1:95" x14ac:dyDescent="0.25">
      <c r="A91" s="43"/>
      <c r="C91" s="42"/>
      <c r="I91" s="42"/>
      <c r="J91" s="42"/>
      <c r="K91" s="42"/>
      <c r="O91" s="43"/>
      <c r="Q91" s="43"/>
      <c r="R91" s="42"/>
      <c r="V91" s="43"/>
      <c r="AC91" s="43"/>
      <c r="AD91" s="43"/>
      <c r="AF91" s="42"/>
      <c r="AG91" s="42"/>
      <c r="AH91" s="42"/>
      <c r="AI91" s="42"/>
      <c r="AJ91" s="42"/>
      <c r="AK91" s="42"/>
      <c r="AL91" s="42"/>
      <c r="AM91" s="42"/>
      <c r="AN91" s="43"/>
      <c r="AO91" s="43"/>
      <c r="AP91" s="43"/>
      <c r="AQ91" s="43"/>
      <c r="AR91" s="43"/>
      <c r="AS91" s="43"/>
      <c r="AT91" s="43"/>
      <c r="AU91" s="43"/>
      <c r="AV91" s="43"/>
      <c r="AW91" s="46"/>
      <c r="AX91" s="46"/>
      <c r="AY91" s="46">
        <v>86</v>
      </c>
      <c r="AZ91" s="46">
        <f t="shared" si="81"/>
        <v>0</v>
      </c>
      <c r="BA91" s="46">
        <f t="shared" si="82"/>
        <v>95063</v>
      </c>
      <c r="BB91" s="46">
        <v>86</v>
      </c>
      <c r="BC91" s="46">
        <v>84</v>
      </c>
      <c r="BD91" s="46" t="e">
        <f t="shared" si="93"/>
        <v>#N/A</v>
      </c>
      <c r="BE91" s="46" t="e">
        <f t="shared" ca="1" si="94"/>
        <v>#N/A</v>
      </c>
      <c r="BF91" s="46" t="e">
        <f t="shared" ca="1" si="83"/>
        <v>#N/A</v>
      </c>
      <c r="BG91" s="46" t="e">
        <f t="shared" ca="1" si="84"/>
        <v>#N/A</v>
      </c>
      <c r="BH91" s="46">
        <v>84</v>
      </c>
      <c r="BI91" s="46" t="e">
        <f t="shared" si="95"/>
        <v>#N/A</v>
      </c>
      <c r="BJ91" s="46" t="e">
        <f t="shared" ca="1" si="96"/>
        <v>#N/A</v>
      </c>
      <c r="BK91" s="46" t="e">
        <f t="shared" ca="1" si="85"/>
        <v>#N/A</v>
      </c>
      <c r="BL91" s="46" t="e">
        <f t="shared" ca="1" si="86"/>
        <v>#N/A</v>
      </c>
      <c r="BM91" s="46">
        <v>84</v>
      </c>
      <c r="BN91" s="46" t="e">
        <f t="shared" si="97"/>
        <v>#N/A</v>
      </c>
      <c r="BO91" s="46" t="e">
        <f t="shared" ca="1" si="98"/>
        <v>#N/A</v>
      </c>
      <c r="BP91" s="46" t="e">
        <f t="shared" ca="1" si="87"/>
        <v>#N/A</v>
      </c>
      <c r="BQ91" s="46" t="e">
        <f t="shared" ca="1" si="88"/>
        <v>#N/A</v>
      </c>
      <c r="BR91" s="46">
        <v>84</v>
      </c>
      <c r="BS91" s="46" t="e">
        <f t="shared" si="99"/>
        <v>#N/A</v>
      </c>
      <c r="BT91" s="46" t="e">
        <f t="shared" ca="1" si="100"/>
        <v>#N/A</v>
      </c>
      <c r="BU91" s="46" t="e">
        <f t="shared" ca="1" si="89"/>
        <v>#N/A</v>
      </c>
      <c r="BV91" s="46" t="e">
        <f t="shared" ca="1" si="90"/>
        <v>#N/A</v>
      </c>
      <c r="BW91" s="46">
        <v>84</v>
      </c>
      <c r="BX91" s="46" t="e">
        <f t="shared" si="101"/>
        <v>#N/A</v>
      </c>
      <c r="BY91" s="46" t="e">
        <f t="shared" ca="1" si="102"/>
        <v>#N/A</v>
      </c>
      <c r="BZ91" s="46" t="e">
        <f t="shared" ca="1" si="91"/>
        <v>#N/A</v>
      </c>
      <c r="CA91" s="46" t="e">
        <f t="shared" ca="1" si="92"/>
        <v>#N/A</v>
      </c>
      <c r="CC91" s="50"/>
      <c r="CD91" s="50"/>
      <c r="CE91" s="50"/>
      <c r="CF91" s="50"/>
      <c r="CG91" s="50"/>
      <c r="CH91" s="50"/>
      <c r="CI91" s="50"/>
      <c r="CJ91" s="50"/>
      <c r="CO91" s="43"/>
      <c r="CP91" s="43"/>
      <c r="CQ91" s="43"/>
    </row>
    <row r="92" spans="1:95" x14ac:dyDescent="0.25">
      <c r="A92" s="43"/>
      <c r="C92" s="42"/>
      <c r="I92" s="42"/>
      <c r="J92" s="42"/>
      <c r="K92" s="42"/>
      <c r="O92" s="43"/>
      <c r="Q92" s="43"/>
      <c r="R92" s="42"/>
      <c r="V92" s="43"/>
      <c r="AC92" s="43"/>
      <c r="AD92" s="43"/>
      <c r="AF92" s="42"/>
      <c r="AG92" s="42"/>
      <c r="AH92" s="42"/>
      <c r="AI92" s="42"/>
      <c r="AJ92" s="42"/>
      <c r="AK92" s="42"/>
      <c r="AL92" s="42"/>
      <c r="AM92" s="42"/>
      <c r="AN92" s="43"/>
      <c r="AO92" s="43"/>
      <c r="AP92" s="43"/>
      <c r="AQ92" s="43"/>
      <c r="AR92" s="43"/>
      <c r="AS92" s="43"/>
      <c r="AT92" s="43"/>
      <c r="AU92" s="43"/>
      <c r="AV92" s="43"/>
      <c r="AW92" s="46"/>
      <c r="AX92" s="46"/>
      <c r="AY92" s="46">
        <v>87</v>
      </c>
      <c r="AZ92" s="46">
        <f t="shared" si="81"/>
        <v>0</v>
      </c>
      <c r="BA92" s="46">
        <f t="shared" si="82"/>
        <v>96207</v>
      </c>
      <c r="BB92" s="46">
        <v>87</v>
      </c>
      <c r="BC92" s="46">
        <v>85</v>
      </c>
      <c r="BD92" s="46" t="e">
        <f t="shared" si="93"/>
        <v>#N/A</v>
      </c>
      <c r="BE92" s="46" t="e">
        <f t="shared" ca="1" si="94"/>
        <v>#N/A</v>
      </c>
      <c r="BF92" s="46" t="e">
        <f t="shared" ca="1" si="83"/>
        <v>#N/A</v>
      </c>
      <c r="BG92" s="46" t="e">
        <f t="shared" ca="1" si="84"/>
        <v>#N/A</v>
      </c>
      <c r="BH92" s="46">
        <v>85</v>
      </c>
      <c r="BI92" s="46" t="e">
        <f t="shared" si="95"/>
        <v>#N/A</v>
      </c>
      <c r="BJ92" s="46" t="e">
        <f t="shared" ca="1" si="96"/>
        <v>#N/A</v>
      </c>
      <c r="BK92" s="46" t="e">
        <f t="shared" ca="1" si="85"/>
        <v>#N/A</v>
      </c>
      <c r="BL92" s="46" t="e">
        <f t="shared" ca="1" si="86"/>
        <v>#N/A</v>
      </c>
      <c r="BM92" s="46">
        <v>85</v>
      </c>
      <c r="BN92" s="46" t="e">
        <f t="shared" si="97"/>
        <v>#N/A</v>
      </c>
      <c r="BO92" s="46" t="e">
        <f t="shared" ca="1" si="98"/>
        <v>#N/A</v>
      </c>
      <c r="BP92" s="46" t="e">
        <f t="shared" ca="1" si="87"/>
        <v>#N/A</v>
      </c>
      <c r="BQ92" s="46" t="e">
        <f t="shared" ca="1" si="88"/>
        <v>#N/A</v>
      </c>
      <c r="BR92" s="46">
        <v>85</v>
      </c>
      <c r="BS92" s="46" t="e">
        <f t="shared" si="99"/>
        <v>#N/A</v>
      </c>
      <c r="BT92" s="46" t="e">
        <f t="shared" ca="1" si="100"/>
        <v>#N/A</v>
      </c>
      <c r="BU92" s="46" t="e">
        <f t="shared" ca="1" si="89"/>
        <v>#N/A</v>
      </c>
      <c r="BV92" s="46" t="e">
        <f t="shared" ca="1" si="90"/>
        <v>#N/A</v>
      </c>
      <c r="BW92" s="46">
        <v>85</v>
      </c>
      <c r="BX92" s="46" t="e">
        <f t="shared" si="101"/>
        <v>#N/A</v>
      </c>
      <c r="BY92" s="46" t="e">
        <f t="shared" ca="1" si="102"/>
        <v>#N/A</v>
      </c>
      <c r="BZ92" s="46" t="e">
        <f t="shared" ca="1" si="91"/>
        <v>#N/A</v>
      </c>
      <c r="CA92" s="46" t="e">
        <f t="shared" ca="1" si="92"/>
        <v>#N/A</v>
      </c>
      <c r="CC92" s="50"/>
      <c r="CD92" s="50"/>
      <c r="CE92" s="50"/>
      <c r="CF92" s="50"/>
      <c r="CG92" s="50"/>
      <c r="CH92" s="50"/>
      <c r="CI92" s="50"/>
      <c r="CJ92" s="50"/>
      <c r="CO92" s="43"/>
      <c r="CP92" s="43"/>
      <c r="CQ92" s="43"/>
    </row>
    <row r="93" spans="1:95" x14ac:dyDescent="0.25">
      <c r="A93" s="43"/>
      <c r="C93" s="42"/>
      <c r="I93" s="42"/>
      <c r="J93" s="42"/>
      <c r="K93" s="42"/>
      <c r="O93" s="43"/>
      <c r="Q93" s="43"/>
      <c r="R93" s="42"/>
      <c r="V93" s="43"/>
      <c r="AC93" s="43"/>
      <c r="AD93" s="43"/>
      <c r="AF93" s="42"/>
      <c r="AG93" s="42"/>
      <c r="AH93" s="42"/>
      <c r="AI93" s="42"/>
      <c r="AJ93" s="42"/>
      <c r="AK93" s="42"/>
      <c r="AL93" s="42"/>
      <c r="AM93" s="42"/>
      <c r="AN93" s="43"/>
      <c r="AO93" s="43"/>
      <c r="AP93" s="43"/>
      <c r="AQ93" s="43"/>
      <c r="AR93" s="43"/>
      <c r="AS93" s="43"/>
      <c r="AT93" s="43"/>
      <c r="AU93" s="43"/>
      <c r="AV93" s="43"/>
      <c r="AW93" s="46"/>
      <c r="AX93" s="46"/>
      <c r="AY93" s="46">
        <v>88</v>
      </c>
      <c r="AZ93" s="46">
        <f t="shared" si="81"/>
        <v>0</v>
      </c>
      <c r="BA93" s="46">
        <f t="shared" si="82"/>
        <v>97351</v>
      </c>
      <c r="BB93" s="46">
        <v>88</v>
      </c>
      <c r="BC93" s="46">
        <v>86</v>
      </c>
      <c r="BD93" s="46" t="e">
        <f t="shared" si="93"/>
        <v>#N/A</v>
      </c>
      <c r="BE93" s="46" t="e">
        <f t="shared" ca="1" si="94"/>
        <v>#N/A</v>
      </c>
      <c r="BF93" s="46" t="e">
        <f t="shared" ca="1" si="83"/>
        <v>#N/A</v>
      </c>
      <c r="BG93" s="46" t="e">
        <f t="shared" ca="1" si="84"/>
        <v>#N/A</v>
      </c>
      <c r="BH93" s="46">
        <v>86</v>
      </c>
      <c r="BI93" s="46" t="e">
        <f t="shared" si="95"/>
        <v>#N/A</v>
      </c>
      <c r="BJ93" s="46" t="e">
        <f t="shared" ca="1" si="96"/>
        <v>#N/A</v>
      </c>
      <c r="BK93" s="46" t="e">
        <f t="shared" ca="1" si="85"/>
        <v>#N/A</v>
      </c>
      <c r="BL93" s="46" t="e">
        <f t="shared" ca="1" si="86"/>
        <v>#N/A</v>
      </c>
      <c r="BM93" s="46">
        <v>86</v>
      </c>
      <c r="BN93" s="46" t="e">
        <f t="shared" si="97"/>
        <v>#N/A</v>
      </c>
      <c r="BO93" s="46" t="e">
        <f t="shared" ca="1" si="98"/>
        <v>#N/A</v>
      </c>
      <c r="BP93" s="46" t="e">
        <f t="shared" ca="1" si="87"/>
        <v>#N/A</v>
      </c>
      <c r="BQ93" s="46" t="e">
        <f t="shared" ca="1" si="88"/>
        <v>#N/A</v>
      </c>
      <c r="BR93" s="46">
        <v>86</v>
      </c>
      <c r="BS93" s="46" t="e">
        <f t="shared" si="99"/>
        <v>#N/A</v>
      </c>
      <c r="BT93" s="46" t="e">
        <f t="shared" ca="1" si="100"/>
        <v>#N/A</v>
      </c>
      <c r="BU93" s="46" t="e">
        <f t="shared" ca="1" si="89"/>
        <v>#N/A</v>
      </c>
      <c r="BV93" s="46" t="e">
        <f t="shared" ca="1" si="90"/>
        <v>#N/A</v>
      </c>
      <c r="BW93" s="46">
        <v>86</v>
      </c>
      <c r="BX93" s="46" t="e">
        <f t="shared" si="101"/>
        <v>#N/A</v>
      </c>
      <c r="BY93" s="46" t="e">
        <f t="shared" ca="1" si="102"/>
        <v>#N/A</v>
      </c>
      <c r="BZ93" s="46" t="e">
        <f t="shared" ca="1" si="91"/>
        <v>#N/A</v>
      </c>
      <c r="CA93" s="46" t="e">
        <f t="shared" ca="1" si="92"/>
        <v>#N/A</v>
      </c>
      <c r="CC93" s="50"/>
      <c r="CD93" s="50"/>
      <c r="CE93" s="50"/>
      <c r="CF93" s="50"/>
      <c r="CG93" s="50"/>
      <c r="CH93" s="50"/>
      <c r="CI93" s="50"/>
      <c r="CJ93" s="50"/>
      <c r="CO93" s="43"/>
      <c r="CP93" s="43"/>
      <c r="CQ93" s="43"/>
    </row>
    <row r="94" spans="1:95" x14ac:dyDescent="0.25">
      <c r="A94" s="43"/>
      <c r="C94" s="42"/>
      <c r="I94" s="42"/>
      <c r="J94" s="42"/>
      <c r="K94" s="42"/>
      <c r="O94" s="43"/>
      <c r="Q94" s="43"/>
      <c r="R94" s="42"/>
      <c r="V94" s="43"/>
      <c r="AC94" s="43"/>
      <c r="AD94" s="43"/>
      <c r="AF94" s="42"/>
      <c r="AG94" s="42"/>
      <c r="AH94" s="42"/>
      <c r="AI94" s="42"/>
      <c r="AJ94" s="42"/>
      <c r="AK94" s="42"/>
      <c r="AL94" s="42"/>
      <c r="AM94" s="42"/>
      <c r="AN94" s="43"/>
      <c r="AO94" s="43"/>
      <c r="AP94" s="43"/>
      <c r="AQ94" s="43"/>
      <c r="AR94" s="43"/>
      <c r="AS94" s="43"/>
      <c r="AT94" s="43"/>
      <c r="AU94" s="43"/>
      <c r="AV94" s="43"/>
      <c r="AW94" s="46"/>
      <c r="AX94" s="46"/>
      <c r="AY94" s="46">
        <v>89</v>
      </c>
      <c r="AZ94" s="46">
        <f t="shared" si="81"/>
        <v>0</v>
      </c>
      <c r="BA94" s="46" t="b">
        <f t="shared" si="82"/>
        <v>0</v>
      </c>
      <c r="BB94" s="46">
        <v>89</v>
      </c>
      <c r="BC94" s="46">
        <v>87</v>
      </c>
      <c r="BD94" s="46" t="e">
        <f t="shared" si="93"/>
        <v>#N/A</v>
      </c>
      <c r="BE94" s="46" t="e">
        <f t="shared" ca="1" si="94"/>
        <v>#N/A</v>
      </c>
      <c r="BF94" s="46" t="e">
        <f t="shared" ca="1" si="83"/>
        <v>#N/A</v>
      </c>
      <c r="BG94" s="46" t="e">
        <f t="shared" ca="1" si="84"/>
        <v>#N/A</v>
      </c>
      <c r="BH94" s="46">
        <v>87</v>
      </c>
      <c r="BI94" s="46" t="e">
        <f t="shared" si="95"/>
        <v>#N/A</v>
      </c>
      <c r="BJ94" s="46" t="e">
        <f t="shared" ca="1" si="96"/>
        <v>#N/A</v>
      </c>
      <c r="BK94" s="46" t="e">
        <f t="shared" ca="1" si="85"/>
        <v>#N/A</v>
      </c>
      <c r="BL94" s="46" t="e">
        <f t="shared" ca="1" si="86"/>
        <v>#N/A</v>
      </c>
      <c r="BM94" s="46">
        <v>87</v>
      </c>
      <c r="BN94" s="46" t="e">
        <f t="shared" si="97"/>
        <v>#N/A</v>
      </c>
      <c r="BO94" s="46" t="e">
        <f t="shared" ca="1" si="98"/>
        <v>#N/A</v>
      </c>
      <c r="BP94" s="46" t="e">
        <f t="shared" ca="1" si="87"/>
        <v>#N/A</v>
      </c>
      <c r="BQ94" s="46" t="e">
        <f t="shared" ca="1" si="88"/>
        <v>#N/A</v>
      </c>
      <c r="BR94" s="46">
        <v>87</v>
      </c>
      <c r="BS94" s="46" t="e">
        <f t="shared" si="99"/>
        <v>#N/A</v>
      </c>
      <c r="BT94" s="46" t="e">
        <f t="shared" ca="1" si="100"/>
        <v>#N/A</v>
      </c>
      <c r="BU94" s="46" t="e">
        <f t="shared" ca="1" si="89"/>
        <v>#N/A</v>
      </c>
      <c r="BV94" s="46" t="e">
        <f t="shared" ca="1" si="90"/>
        <v>#N/A</v>
      </c>
      <c r="BW94" s="46">
        <v>87</v>
      </c>
      <c r="BX94" s="46" t="e">
        <f t="shared" si="101"/>
        <v>#N/A</v>
      </c>
      <c r="BY94" s="46" t="e">
        <f t="shared" ca="1" si="102"/>
        <v>#N/A</v>
      </c>
      <c r="BZ94" s="46" t="e">
        <f t="shared" ca="1" si="91"/>
        <v>#N/A</v>
      </c>
      <c r="CA94" s="46" t="e">
        <f t="shared" ca="1" si="92"/>
        <v>#N/A</v>
      </c>
      <c r="CC94" s="50"/>
      <c r="CD94" s="50"/>
      <c r="CE94" s="50"/>
      <c r="CF94" s="50"/>
      <c r="CG94" s="50"/>
      <c r="CH94" s="50"/>
      <c r="CI94" s="50"/>
      <c r="CJ94" s="50"/>
      <c r="CO94" s="43"/>
      <c r="CP94" s="43"/>
      <c r="CQ94" s="43"/>
    </row>
    <row r="95" spans="1:95" x14ac:dyDescent="0.25">
      <c r="A95" s="43"/>
      <c r="C95" s="42"/>
      <c r="I95" s="42"/>
      <c r="J95" s="42"/>
      <c r="K95" s="42"/>
      <c r="O95" s="43"/>
      <c r="Q95" s="43"/>
      <c r="R95" s="42"/>
      <c r="V95" s="43"/>
      <c r="AC95" s="43"/>
      <c r="AD95" s="43"/>
      <c r="AF95" s="42"/>
      <c r="AG95" s="42"/>
      <c r="AH95" s="42"/>
      <c r="AI95" s="42"/>
      <c r="AJ95" s="42"/>
      <c r="AK95" s="42"/>
      <c r="AL95" s="42"/>
      <c r="AM95" s="42"/>
      <c r="AN95" s="43"/>
      <c r="AO95" s="43"/>
      <c r="AP95" s="43"/>
      <c r="AQ95" s="43"/>
      <c r="AR95" s="43"/>
      <c r="AS95" s="43"/>
      <c r="AT95" s="43"/>
      <c r="AU95" s="43"/>
      <c r="AV95" s="43"/>
      <c r="AW95" s="46"/>
      <c r="AX95" s="46"/>
      <c r="AY95" s="46">
        <v>90</v>
      </c>
      <c r="AZ95" s="46">
        <f t="shared" si="81"/>
        <v>0</v>
      </c>
      <c r="BA95" s="46" t="b">
        <f t="shared" si="82"/>
        <v>0</v>
      </c>
      <c r="BB95" s="46">
        <v>90</v>
      </c>
      <c r="BC95" s="46">
        <v>88</v>
      </c>
      <c r="BD95" s="46" t="e">
        <f t="shared" si="93"/>
        <v>#N/A</v>
      </c>
      <c r="BE95" s="46" t="e">
        <f t="shared" ca="1" si="94"/>
        <v>#N/A</v>
      </c>
      <c r="BF95" s="46" t="e">
        <f t="shared" ca="1" si="83"/>
        <v>#N/A</v>
      </c>
      <c r="BG95" s="46" t="e">
        <f t="shared" ca="1" si="84"/>
        <v>#N/A</v>
      </c>
      <c r="BH95" s="46">
        <v>88</v>
      </c>
      <c r="BI95" s="46" t="e">
        <f t="shared" si="95"/>
        <v>#N/A</v>
      </c>
      <c r="BJ95" s="46" t="e">
        <f t="shared" ca="1" si="96"/>
        <v>#N/A</v>
      </c>
      <c r="BK95" s="46" t="e">
        <f t="shared" ca="1" si="85"/>
        <v>#N/A</v>
      </c>
      <c r="BL95" s="46" t="e">
        <f t="shared" ca="1" si="86"/>
        <v>#N/A</v>
      </c>
      <c r="BM95" s="46">
        <v>88</v>
      </c>
      <c r="BN95" s="46" t="e">
        <f t="shared" si="97"/>
        <v>#N/A</v>
      </c>
      <c r="BO95" s="46" t="e">
        <f t="shared" ca="1" si="98"/>
        <v>#N/A</v>
      </c>
      <c r="BP95" s="46" t="e">
        <f t="shared" ca="1" si="87"/>
        <v>#N/A</v>
      </c>
      <c r="BQ95" s="46" t="e">
        <f t="shared" ca="1" si="88"/>
        <v>#N/A</v>
      </c>
      <c r="BR95" s="46">
        <v>88</v>
      </c>
      <c r="BS95" s="46" t="e">
        <f t="shared" si="99"/>
        <v>#N/A</v>
      </c>
      <c r="BT95" s="46" t="e">
        <f t="shared" ca="1" si="100"/>
        <v>#N/A</v>
      </c>
      <c r="BU95" s="46" t="e">
        <f t="shared" ca="1" si="89"/>
        <v>#N/A</v>
      </c>
      <c r="BV95" s="46" t="e">
        <f t="shared" ca="1" si="90"/>
        <v>#N/A</v>
      </c>
      <c r="BW95" s="46">
        <v>88</v>
      </c>
      <c r="BX95" s="46" t="e">
        <f t="shared" si="101"/>
        <v>#N/A</v>
      </c>
      <c r="BY95" s="46" t="e">
        <f t="shared" ca="1" si="102"/>
        <v>#N/A</v>
      </c>
      <c r="BZ95" s="46" t="e">
        <f t="shared" ca="1" si="91"/>
        <v>#N/A</v>
      </c>
      <c r="CA95" s="46" t="e">
        <f t="shared" ca="1" si="92"/>
        <v>#N/A</v>
      </c>
      <c r="CC95" s="50"/>
      <c r="CD95" s="50"/>
      <c r="CE95" s="50"/>
      <c r="CF95" s="50"/>
      <c r="CG95" s="50"/>
      <c r="CH95" s="50"/>
      <c r="CI95" s="50"/>
      <c r="CJ95" s="50"/>
      <c r="CO95" s="43"/>
      <c r="CP95" s="43"/>
      <c r="CQ95" s="43"/>
    </row>
    <row r="96" spans="1:95" x14ac:dyDescent="0.25">
      <c r="A96" s="43"/>
      <c r="C96" s="42"/>
      <c r="I96" s="42"/>
      <c r="J96" s="42"/>
      <c r="K96" s="42"/>
      <c r="O96" s="43"/>
      <c r="Q96" s="43"/>
      <c r="R96" s="42"/>
      <c r="V96" s="43"/>
      <c r="AC96" s="43"/>
      <c r="AD96" s="43"/>
      <c r="AF96" s="42"/>
      <c r="AG96" s="42"/>
      <c r="AH96" s="42"/>
      <c r="AI96" s="42"/>
      <c r="AJ96" s="42"/>
      <c r="AK96" s="42"/>
      <c r="AL96" s="42"/>
      <c r="AM96" s="42"/>
      <c r="AN96" s="43"/>
      <c r="AO96" s="43"/>
      <c r="AP96" s="43"/>
      <c r="AQ96" s="43"/>
      <c r="AR96" s="43"/>
      <c r="AS96" s="43"/>
      <c r="AT96" s="43"/>
      <c r="AU96" s="43"/>
      <c r="AV96" s="43"/>
      <c r="AW96" s="46"/>
      <c r="AX96" s="46"/>
      <c r="AY96" s="46">
        <v>91</v>
      </c>
      <c r="AZ96" s="46">
        <f t="shared" si="81"/>
        <v>0</v>
      </c>
      <c r="BA96" s="46" t="b">
        <f t="shared" si="82"/>
        <v>0</v>
      </c>
      <c r="BB96" s="46">
        <v>91</v>
      </c>
      <c r="BC96" s="46">
        <v>89</v>
      </c>
      <c r="BD96" s="46" t="e">
        <f t="shared" si="93"/>
        <v>#N/A</v>
      </c>
      <c r="BE96" s="46" t="e">
        <f t="shared" ca="1" si="94"/>
        <v>#N/A</v>
      </c>
      <c r="BF96" s="46" t="e">
        <f t="shared" ca="1" si="83"/>
        <v>#N/A</v>
      </c>
      <c r="BG96" s="46" t="e">
        <f t="shared" ca="1" si="84"/>
        <v>#N/A</v>
      </c>
      <c r="BH96" s="46">
        <v>89</v>
      </c>
      <c r="BI96" s="46" t="e">
        <f t="shared" si="95"/>
        <v>#N/A</v>
      </c>
      <c r="BJ96" s="46" t="e">
        <f t="shared" ca="1" si="96"/>
        <v>#N/A</v>
      </c>
      <c r="BK96" s="46" t="e">
        <f t="shared" ca="1" si="85"/>
        <v>#N/A</v>
      </c>
      <c r="BL96" s="46" t="e">
        <f t="shared" ca="1" si="86"/>
        <v>#N/A</v>
      </c>
      <c r="BM96" s="46">
        <v>89</v>
      </c>
      <c r="BN96" s="46" t="e">
        <f t="shared" si="97"/>
        <v>#N/A</v>
      </c>
      <c r="BO96" s="46" t="e">
        <f t="shared" ca="1" si="98"/>
        <v>#N/A</v>
      </c>
      <c r="BP96" s="46" t="e">
        <f t="shared" ca="1" si="87"/>
        <v>#N/A</v>
      </c>
      <c r="BQ96" s="46" t="e">
        <f t="shared" ca="1" si="88"/>
        <v>#N/A</v>
      </c>
      <c r="BR96" s="46">
        <v>89</v>
      </c>
      <c r="BS96" s="46" t="e">
        <f t="shared" si="99"/>
        <v>#N/A</v>
      </c>
      <c r="BT96" s="46" t="e">
        <f t="shared" ca="1" si="100"/>
        <v>#N/A</v>
      </c>
      <c r="BU96" s="46" t="e">
        <f t="shared" ca="1" si="89"/>
        <v>#N/A</v>
      </c>
      <c r="BV96" s="46" t="e">
        <f t="shared" ca="1" si="90"/>
        <v>#N/A</v>
      </c>
      <c r="BW96" s="46">
        <v>89</v>
      </c>
      <c r="BX96" s="46" t="e">
        <f t="shared" si="101"/>
        <v>#N/A</v>
      </c>
      <c r="BY96" s="46" t="e">
        <f t="shared" ca="1" si="102"/>
        <v>#N/A</v>
      </c>
      <c r="BZ96" s="46" t="e">
        <f t="shared" ca="1" si="91"/>
        <v>#N/A</v>
      </c>
      <c r="CA96" s="46" t="e">
        <f t="shared" ca="1" si="92"/>
        <v>#N/A</v>
      </c>
      <c r="CC96" s="50"/>
      <c r="CD96" s="50"/>
      <c r="CE96" s="50"/>
      <c r="CF96" s="50"/>
      <c r="CG96" s="50"/>
      <c r="CH96" s="50"/>
      <c r="CI96" s="50"/>
      <c r="CJ96" s="50"/>
      <c r="CO96" s="43"/>
      <c r="CP96" s="43"/>
      <c r="CQ96" s="43"/>
    </row>
    <row r="97" spans="1:95" x14ac:dyDescent="0.25">
      <c r="A97" s="43"/>
      <c r="C97" s="42"/>
      <c r="I97" s="42"/>
      <c r="J97" s="42"/>
      <c r="K97" s="42"/>
      <c r="O97" s="43"/>
      <c r="Q97" s="43"/>
      <c r="R97" s="42"/>
      <c r="V97" s="43"/>
      <c r="AC97" s="43"/>
      <c r="AD97" s="43"/>
      <c r="AF97" s="42"/>
      <c r="AG97" s="42"/>
      <c r="AH97" s="42"/>
      <c r="AI97" s="42"/>
      <c r="AJ97" s="42"/>
      <c r="AK97" s="42"/>
      <c r="AL97" s="42"/>
      <c r="AM97" s="42"/>
      <c r="AN97" s="43"/>
      <c r="AO97" s="43"/>
      <c r="AP97" s="43"/>
      <c r="AQ97" s="43"/>
      <c r="AR97" s="43"/>
      <c r="AS97" s="43"/>
      <c r="AT97" s="43"/>
      <c r="AU97" s="43"/>
      <c r="AV97" s="43"/>
      <c r="AW97" s="46"/>
      <c r="AX97" s="46"/>
      <c r="AY97" s="46">
        <v>92</v>
      </c>
      <c r="AZ97" s="46">
        <f t="shared" si="81"/>
        <v>0</v>
      </c>
      <c r="BA97" s="46" t="b">
        <f t="shared" si="82"/>
        <v>0</v>
      </c>
      <c r="BB97" s="46">
        <v>92</v>
      </c>
      <c r="BC97" s="46">
        <v>90</v>
      </c>
      <c r="BD97" s="46" t="e">
        <f t="shared" si="93"/>
        <v>#N/A</v>
      </c>
      <c r="BE97" s="46" t="e">
        <f t="shared" ca="1" si="94"/>
        <v>#N/A</v>
      </c>
      <c r="BF97" s="46" t="e">
        <f t="shared" ca="1" si="83"/>
        <v>#N/A</v>
      </c>
      <c r="BG97" s="46" t="e">
        <f t="shared" ca="1" si="84"/>
        <v>#N/A</v>
      </c>
      <c r="BH97" s="46">
        <v>90</v>
      </c>
      <c r="BI97" s="46" t="e">
        <f t="shared" si="95"/>
        <v>#N/A</v>
      </c>
      <c r="BJ97" s="46" t="e">
        <f t="shared" ca="1" si="96"/>
        <v>#N/A</v>
      </c>
      <c r="BK97" s="46" t="e">
        <f t="shared" ca="1" si="85"/>
        <v>#N/A</v>
      </c>
      <c r="BL97" s="46" t="e">
        <f t="shared" ca="1" si="86"/>
        <v>#N/A</v>
      </c>
      <c r="BM97" s="46">
        <v>90</v>
      </c>
      <c r="BN97" s="46" t="e">
        <f t="shared" si="97"/>
        <v>#N/A</v>
      </c>
      <c r="BO97" s="46" t="e">
        <f t="shared" ca="1" si="98"/>
        <v>#N/A</v>
      </c>
      <c r="BP97" s="46" t="e">
        <f t="shared" ca="1" si="87"/>
        <v>#N/A</v>
      </c>
      <c r="BQ97" s="46" t="e">
        <f t="shared" ca="1" si="88"/>
        <v>#N/A</v>
      </c>
      <c r="BR97" s="46">
        <v>90</v>
      </c>
      <c r="BS97" s="46" t="e">
        <f t="shared" si="99"/>
        <v>#N/A</v>
      </c>
      <c r="BT97" s="46" t="e">
        <f t="shared" ca="1" si="100"/>
        <v>#N/A</v>
      </c>
      <c r="BU97" s="46" t="e">
        <f t="shared" ca="1" si="89"/>
        <v>#N/A</v>
      </c>
      <c r="BV97" s="46" t="e">
        <f t="shared" ca="1" si="90"/>
        <v>#N/A</v>
      </c>
      <c r="BW97" s="46">
        <v>90</v>
      </c>
      <c r="BX97" s="46" t="e">
        <f t="shared" si="101"/>
        <v>#N/A</v>
      </c>
      <c r="BY97" s="46" t="e">
        <f t="shared" ca="1" si="102"/>
        <v>#N/A</v>
      </c>
      <c r="BZ97" s="46" t="e">
        <f t="shared" ca="1" si="91"/>
        <v>#N/A</v>
      </c>
      <c r="CA97" s="46" t="e">
        <f t="shared" ca="1" si="92"/>
        <v>#N/A</v>
      </c>
      <c r="CC97" s="50"/>
      <c r="CD97" s="50"/>
      <c r="CE97" s="50"/>
      <c r="CF97" s="50"/>
      <c r="CG97" s="50"/>
      <c r="CH97" s="50"/>
      <c r="CI97" s="50"/>
      <c r="CJ97" s="50"/>
      <c r="CO97" s="43"/>
      <c r="CP97" s="43"/>
      <c r="CQ97" s="43"/>
    </row>
    <row r="98" spans="1:95" x14ac:dyDescent="0.25">
      <c r="A98" s="43"/>
      <c r="C98" s="42"/>
      <c r="I98" s="42"/>
      <c r="J98" s="42"/>
      <c r="K98" s="42"/>
      <c r="O98" s="43"/>
      <c r="Q98" s="43"/>
      <c r="R98" s="42"/>
      <c r="V98" s="43"/>
      <c r="AC98" s="43"/>
      <c r="AD98" s="43"/>
      <c r="AF98" s="42"/>
      <c r="AG98" s="42"/>
      <c r="AH98" s="42"/>
      <c r="AI98" s="42"/>
      <c r="AJ98" s="42"/>
      <c r="AK98" s="42"/>
      <c r="AL98" s="42"/>
      <c r="AM98" s="42"/>
      <c r="AN98" s="43"/>
      <c r="AO98" s="43"/>
      <c r="AP98" s="43"/>
      <c r="AQ98" s="43"/>
      <c r="AR98" s="43"/>
      <c r="AS98" s="43"/>
      <c r="AT98" s="43"/>
      <c r="AU98" s="43"/>
      <c r="AV98" s="43"/>
      <c r="AW98" s="46"/>
      <c r="AX98" s="46"/>
      <c r="AY98" s="46">
        <v>93</v>
      </c>
      <c r="AZ98" s="46">
        <f t="shared" si="81"/>
        <v>0</v>
      </c>
      <c r="BA98" s="46" t="b">
        <f t="shared" si="82"/>
        <v>0</v>
      </c>
      <c r="BB98" s="46">
        <v>93</v>
      </c>
      <c r="BC98" s="46">
        <v>91</v>
      </c>
      <c r="BD98" s="46" t="e">
        <f t="shared" si="93"/>
        <v>#N/A</v>
      </c>
      <c r="BE98" s="46" t="e">
        <f t="shared" ca="1" si="94"/>
        <v>#N/A</v>
      </c>
      <c r="BF98" s="46" t="e">
        <f t="shared" ca="1" si="83"/>
        <v>#N/A</v>
      </c>
      <c r="BG98" s="46" t="e">
        <f t="shared" ca="1" si="84"/>
        <v>#N/A</v>
      </c>
      <c r="BH98" s="46">
        <v>91</v>
      </c>
      <c r="BI98" s="46" t="e">
        <f t="shared" si="95"/>
        <v>#N/A</v>
      </c>
      <c r="BJ98" s="46" t="e">
        <f t="shared" ca="1" si="96"/>
        <v>#N/A</v>
      </c>
      <c r="BK98" s="46" t="e">
        <f t="shared" ca="1" si="85"/>
        <v>#N/A</v>
      </c>
      <c r="BL98" s="46" t="e">
        <f t="shared" ca="1" si="86"/>
        <v>#N/A</v>
      </c>
      <c r="BM98" s="46">
        <v>91</v>
      </c>
      <c r="BN98" s="46" t="e">
        <f t="shared" si="97"/>
        <v>#N/A</v>
      </c>
      <c r="BO98" s="46" t="e">
        <f t="shared" ca="1" si="98"/>
        <v>#N/A</v>
      </c>
      <c r="BP98" s="46" t="e">
        <f t="shared" ca="1" si="87"/>
        <v>#N/A</v>
      </c>
      <c r="BQ98" s="46" t="e">
        <f t="shared" ca="1" si="88"/>
        <v>#N/A</v>
      </c>
      <c r="BR98" s="46">
        <v>91</v>
      </c>
      <c r="BS98" s="46" t="e">
        <f t="shared" si="99"/>
        <v>#N/A</v>
      </c>
      <c r="BT98" s="46" t="e">
        <f t="shared" ca="1" si="100"/>
        <v>#N/A</v>
      </c>
      <c r="BU98" s="46" t="e">
        <f t="shared" ca="1" si="89"/>
        <v>#N/A</v>
      </c>
      <c r="BV98" s="46" t="e">
        <f t="shared" ca="1" si="90"/>
        <v>#N/A</v>
      </c>
      <c r="BW98" s="46">
        <v>91</v>
      </c>
      <c r="BX98" s="46" t="e">
        <f t="shared" si="101"/>
        <v>#N/A</v>
      </c>
      <c r="BY98" s="46" t="e">
        <f t="shared" ca="1" si="102"/>
        <v>#N/A</v>
      </c>
      <c r="BZ98" s="46" t="e">
        <f t="shared" ca="1" si="91"/>
        <v>#N/A</v>
      </c>
      <c r="CA98" s="46" t="e">
        <f t="shared" ca="1" si="92"/>
        <v>#N/A</v>
      </c>
      <c r="CC98" s="50"/>
      <c r="CD98" s="50"/>
      <c r="CE98" s="50"/>
      <c r="CF98" s="50"/>
      <c r="CG98" s="50"/>
      <c r="CH98" s="50"/>
      <c r="CI98" s="50"/>
      <c r="CJ98" s="50"/>
      <c r="CO98" s="43"/>
      <c r="CP98" s="43"/>
      <c r="CQ98" s="43"/>
    </row>
    <row r="99" spans="1:95" x14ac:dyDescent="0.25">
      <c r="A99" s="43"/>
      <c r="C99" s="42"/>
      <c r="I99" s="42"/>
      <c r="J99" s="42"/>
      <c r="K99" s="42"/>
      <c r="O99" s="43"/>
      <c r="Q99" s="43"/>
      <c r="R99" s="42"/>
      <c r="V99" s="43"/>
      <c r="AC99" s="43"/>
      <c r="AD99" s="43"/>
      <c r="AF99" s="42"/>
      <c r="AG99" s="42"/>
      <c r="AH99" s="42"/>
      <c r="AI99" s="42"/>
      <c r="AJ99" s="42"/>
      <c r="AK99" s="42"/>
      <c r="AL99" s="42"/>
      <c r="AM99" s="42"/>
      <c r="AN99" s="43"/>
      <c r="AO99" s="43"/>
      <c r="AP99" s="43"/>
      <c r="AQ99" s="43"/>
      <c r="AR99" s="43"/>
      <c r="AS99" s="43"/>
      <c r="AT99" s="43"/>
      <c r="AU99" s="43"/>
      <c r="AV99" s="43"/>
      <c r="AW99" s="46"/>
      <c r="AX99" s="46"/>
      <c r="AY99" s="46">
        <v>94</v>
      </c>
      <c r="AZ99" s="46">
        <f t="shared" si="81"/>
        <v>0</v>
      </c>
      <c r="BA99" s="46" t="b">
        <f t="shared" si="82"/>
        <v>0</v>
      </c>
      <c r="BB99" s="46">
        <v>94</v>
      </c>
      <c r="BC99" s="46">
        <v>92</v>
      </c>
      <c r="BD99" s="46" t="e">
        <f t="shared" si="93"/>
        <v>#N/A</v>
      </c>
      <c r="BE99" s="46" t="e">
        <f t="shared" ca="1" si="94"/>
        <v>#N/A</v>
      </c>
      <c r="BF99" s="46" t="e">
        <f t="shared" ca="1" si="83"/>
        <v>#N/A</v>
      </c>
      <c r="BG99" s="46" t="e">
        <f t="shared" ca="1" si="84"/>
        <v>#N/A</v>
      </c>
      <c r="BH99" s="46">
        <v>92</v>
      </c>
      <c r="BI99" s="46" t="e">
        <f t="shared" si="95"/>
        <v>#N/A</v>
      </c>
      <c r="BJ99" s="46" t="e">
        <f t="shared" ca="1" si="96"/>
        <v>#N/A</v>
      </c>
      <c r="BK99" s="46" t="e">
        <f t="shared" ca="1" si="85"/>
        <v>#N/A</v>
      </c>
      <c r="BL99" s="46" t="e">
        <f t="shared" ca="1" si="86"/>
        <v>#N/A</v>
      </c>
      <c r="BM99" s="46">
        <v>92</v>
      </c>
      <c r="BN99" s="46" t="e">
        <f t="shared" si="97"/>
        <v>#N/A</v>
      </c>
      <c r="BO99" s="46" t="e">
        <f t="shared" ca="1" si="98"/>
        <v>#N/A</v>
      </c>
      <c r="BP99" s="46" t="e">
        <f t="shared" ca="1" si="87"/>
        <v>#N/A</v>
      </c>
      <c r="BQ99" s="46" t="e">
        <f t="shared" ca="1" si="88"/>
        <v>#N/A</v>
      </c>
      <c r="BR99" s="46">
        <v>92</v>
      </c>
      <c r="BS99" s="46" t="e">
        <f t="shared" si="99"/>
        <v>#N/A</v>
      </c>
      <c r="BT99" s="46" t="e">
        <f t="shared" ca="1" si="100"/>
        <v>#N/A</v>
      </c>
      <c r="BU99" s="46" t="e">
        <f t="shared" ca="1" si="89"/>
        <v>#N/A</v>
      </c>
      <c r="BV99" s="46" t="e">
        <f t="shared" ca="1" si="90"/>
        <v>#N/A</v>
      </c>
      <c r="BW99" s="46">
        <v>92</v>
      </c>
      <c r="BX99" s="46" t="e">
        <f t="shared" si="101"/>
        <v>#N/A</v>
      </c>
      <c r="BY99" s="46" t="e">
        <f t="shared" ca="1" si="102"/>
        <v>#N/A</v>
      </c>
      <c r="BZ99" s="46" t="e">
        <f t="shared" ca="1" si="91"/>
        <v>#N/A</v>
      </c>
      <c r="CA99" s="46" t="e">
        <f t="shared" ca="1" si="92"/>
        <v>#N/A</v>
      </c>
      <c r="CC99" s="50"/>
      <c r="CD99" s="50"/>
      <c r="CE99" s="50"/>
      <c r="CF99" s="50"/>
      <c r="CG99" s="50"/>
      <c r="CH99" s="50"/>
      <c r="CI99" s="50"/>
      <c r="CJ99" s="50"/>
      <c r="CO99" s="43"/>
      <c r="CP99" s="43"/>
      <c r="CQ99" s="43"/>
    </row>
    <row r="100" spans="1:95" x14ac:dyDescent="0.25">
      <c r="A100" s="43"/>
      <c r="C100" s="42"/>
      <c r="I100" s="42"/>
      <c r="J100" s="42"/>
      <c r="K100" s="42"/>
      <c r="O100" s="43"/>
      <c r="Q100" s="43"/>
      <c r="R100" s="42"/>
      <c r="V100" s="43"/>
      <c r="AC100" s="43"/>
      <c r="AD100" s="43"/>
      <c r="AF100" s="42"/>
      <c r="AG100" s="42"/>
      <c r="AH100" s="42"/>
      <c r="AI100" s="42"/>
      <c r="AJ100" s="42"/>
      <c r="AK100" s="42"/>
      <c r="AL100" s="42"/>
      <c r="AM100" s="42"/>
      <c r="AN100" s="43"/>
      <c r="AO100" s="43"/>
      <c r="AP100" s="43"/>
      <c r="AQ100" s="43"/>
      <c r="AR100" s="43"/>
      <c r="AS100" s="43"/>
      <c r="AT100" s="43"/>
      <c r="AU100" s="43"/>
      <c r="AV100" s="43"/>
      <c r="AW100" s="46"/>
      <c r="AX100" s="46"/>
      <c r="AY100" s="46">
        <v>95</v>
      </c>
      <c r="AZ100" s="46">
        <f t="shared" si="81"/>
        <v>0</v>
      </c>
      <c r="BA100" s="46" t="b">
        <f t="shared" si="82"/>
        <v>0</v>
      </c>
      <c r="BB100" s="46">
        <v>95</v>
      </c>
      <c r="BC100" s="46">
        <v>93</v>
      </c>
      <c r="BD100" s="46" t="e">
        <f t="shared" si="93"/>
        <v>#N/A</v>
      </c>
      <c r="BE100" s="46" t="e">
        <f t="shared" ca="1" si="94"/>
        <v>#N/A</v>
      </c>
      <c r="BF100" s="46" t="e">
        <f t="shared" ca="1" si="83"/>
        <v>#N/A</v>
      </c>
      <c r="BG100" s="46" t="e">
        <f t="shared" ca="1" si="84"/>
        <v>#N/A</v>
      </c>
      <c r="BH100" s="46">
        <v>93</v>
      </c>
      <c r="BI100" s="46" t="e">
        <f t="shared" si="95"/>
        <v>#N/A</v>
      </c>
      <c r="BJ100" s="46" t="e">
        <f t="shared" ca="1" si="96"/>
        <v>#N/A</v>
      </c>
      <c r="BK100" s="46" t="e">
        <f t="shared" ca="1" si="85"/>
        <v>#N/A</v>
      </c>
      <c r="BL100" s="46" t="e">
        <f t="shared" ca="1" si="86"/>
        <v>#N/A</v>
      </c>
      <c r="BM100" s="46">
        <v>93</v>
      </c>
      <c r="BN100" s="46" t="e">
        <f t="shared" si="97"/>
        <v>#N/A</v>
      </c>
      <c r="BO100" s="46" t="e">
        <f t="shared" ca="1" si="98"/>
        <v>#N/A</v>
      </c>
      <c r="BP100" s="46" t="e">
        <f t="shared" ca="1" si="87"/>
        <v>#N/A</v>
      </c>
      <c r="BQ100" s="46" t="e">
        <f t="shared" ca="1" si="88"/>
        <v>#N/A</v>
      </c>
      <c r="BR100" s="46">
        <v>93</v>
      </c>
      <c r="BS100" s="46" t="e">
        <f t="shared" si="99"/>
        <v>#N/A</v>
      </c>
      <c r="BT100" s="46" t="e">
        <f t="shared" ca="1" si="100"/>
        <v>#N/A</v>
      </c>
      <c r="BU100" s="46" t="e">
        <f t="shared" ca="1" si="89"/>
        <v>#N/A</v>
      </c>
      <c r="BV100" s="46" t="e">
        <f t="shared" ca="1" si="90"/>
        <v>#N/A</v>
      </c>
      <c r="BW100" s="46">
        <v>93</v>
      </c>
      <c r="BX100" s="46" t="e">
        <f t="shared" si="101"/>
        <v>#N/A</v>
      </c>
      <c r="BY100" s="46" t="e">
        <f t="shared" ca="1" si="102"/>
        <v>#N/A</v>
      </c>
      <c r="BZ100" s="46" t="e">
        <f t="shared" ca="1" si="91"/>
        <v>#N/A</v>
      </c>
      <c r="CA100" s="46" t="e">
        <f t="shared" ca="1" si="92"/>
        <v>#N/A</v>
      </c>
      <c r="CC100" s="50"/>
      <c r="CD100" s="50"/>
      <c r="CE100" s="50"/>
      <c r="CF100" s="50"/>
      <c r="CG100" s="50"/>
      <c r="CH100" s="50"/>
      <c r="CI100" s="50"/>
      <c r="CJ100" s="50"/>
      <c r="CO100" s="43"/>
      <c r="CP100" s="43"/>
      <c r="CQ100" s="43"/>
    </row>
    <row r="101" spans="1:95" x14ac:dyDescent="0.25">
      <c r="A101" s="43"/>
      <c r="C101" s="42"/>
      <c r="I101" s="42"/>
      <c r="J101" s="42"/>
      <c r="K101" s="42"/>
      <c r="O101" s="43"/>
      <c r="Q101" s="43"/>
      <c r="R101" s="42"/>
      <c r="V101" s="43"/>
      <c r="AC101" s="43"/>
      <c r="AD101" s="43"/>
      <c r="AF101" s="42"/>
      <c r="AG101" s="42"/>
      <c r="AH101" s="42"/>
      <c r="AI101" s="42"/>
      <c r="AJ101" s="42"/>
      <c r="AK101" s="42"/>
      <c r="AL101" s="42"/>
      <c r="AM101" s="42"/>
      <c r="AN101" s="43"/>
      <c r="AO101" s="43"/>
      <c r="AP101" s="43"/>
      <c r="AQ101" s="43"/>
      <c r="AR101" s="43"/>
      <c r="AS101" s="43"/>
      <c r="AT101" s="43"/>
      <c r="AU101" s="43"/>
      <c r="AV101" s="43"/>
      <c r="AW101" s="46"/>
      <c r="AX101" s="46"/>
      <c r="AY101" s="46">
        <v>96</v>
      </c>
      <c r="AZ101" s="46">
        <f t="shared" si="81"/>
        <v>0</v>
      </c>
      <c r="BA101" s="46" t="b">
        <f t="shared" si="82"/>
        <v>0</v>
      </c>
      <c r="BB101" s="46">
        <v>96</v>
      </c>
      <c r="BC101" s="46">
        <v>94</v>
      </c>
      <c r="BD101" s="46" t="e">
        <f t="shared" si="93"/>
        <v>#N/A</v>
      </c>
      <c r="BE101" s="46" t="e">
        <f t="shared" ca="1" si="94"/>
        <v>#N/A</v>
      </c>
      <c r="BF101" s="46" t="e">
        <f t="shared" ca="1" si="83"/>
        <v>#N/A</v>
      </c>
      <c r="BG101" s="46" t="e">
        <f t="shared" ca="1" si="84"/>
        <v>#N/A</v>
      </c>
      <c r="BH101" s="46">
        <v>94</v>
      </c>
      <c r="BI101" s="46" t="e">
        <f t="shared" si="95"/>
        <v>#N/A</v>
      </c>
      <c r="BJ101" s="46" t="e">
        <f t="shared" ca="1" si="96"/>
        <v>#N/A</v>
      </c>
      <c r="BK101" s="46" t="e">
        <f t="shared" ca="1" si="85"/>
        <v>#N/A</v>
      </c>
      <c r="BL101" s="46" t="e">
        <f t="shared" ca="1" si="86"/>
        <v>#N/A</v>
      </c>
      <c r="BM101" s="46">
        <v>94</v>
      </c>
      <c r="BN101" s="46" t="e">
        <f t="shared" si="97"/>
        <v>#N/A</v>
      </c>
      <c r="BO101" s="46" t="e">
        <f t="shared" ca="1" si="98"/>
        <v>#N/A</v>
      </c>
      <c r="BP101" s="46" t="e">
        <f t="shared" ca="1" si="87"/>
        <v>#N/A</v>
      </c>
      <c r="BQ101" s="46" t="e">
        <f t="shared" ca="1" si="88"/>
        <v>#N/A</v>
      </c>
      <c r="BR101" s="46">
        <v>94</v>
      </c>
      <c r="BS101" s="46" t="e">
        <f t="shared" si="99"/>
        <v>#N/A</v>
      </c>
      <c r="BT101" s="46" t="e">
        <f t="shared" ca="1" si="100"/>
        <v>#N/A</v>
      </c>
      <c r="BU101" s="46" t="e">
        <f t="shared" ca="1" si="89"/>
        <v>#N/A</v>
      </c>
      <c r="BV101" s="46" t="e">
        <f t="shared" ca="1" si="90"/>
        <v>#N/A</v>
      </c>
      <c r="BW101" s="46">
        <v>94</v>
      </c>
      <c r="BX101" s="46" t="e">
        <f t="shared" si="101"/>
        <v>#N/A</v>
      </c>
      <c r="BY101" s="46" t="e">
        <f t="shared" ca="1" si="102"/>
        <v>#N/A</v>
      </c>
      <c r="BZ101" s="46" t="e">
        <f t="shared" ca="1" si="91"/>
        <v>#N/A</v>
      </c>
      <c r="CA101" s="46" t="e">
        <f t="shared" ca="1" si="92"/>
        <v>#N/A</v>
      </c>
      <c r="CC101" s="50"/>
      <c r="CD101" s="50"/>
      <c r="CE101" s="50"/>
      <c r="CF101" s="50"/>
      <c r="CG101" s="50"/>
      <c r="CH101" s="50"/>
      <c r="CI101" s="50"/>
      <c r="CJ101" s="50"/>
      <c r="CO101" s="43"/>
      <c r="CP101" s="43"/>
      <c r="CQ101" s="43"/>
    </row>
    <row r="102" spans="1:95" x14ac:dyDescent="0.25">
      <c r="A102" s="43"/>
      <c r="C102" s="42"/>
      <c r="I102" s="42"/>
      <c r="J102" s="42"/>
      <c r="K102" s="42"/>
      <c r="O102" s="43"/>
      <c r="Q102" s="43"/>
      <c r="R102" s="42"/>
      <c r="V102" s="43"/>
      <c r="AC102" s="43"/>
      <c r="AD102" s="43"/>
      <c r="AF102" s="42"/>
      <c r="AG102" s="42"/>
      <c r="AH102" s="42"/>
      <c r="AI102" s="42"/>
      <c r="AJ102" s="42"/>
      <c r="AK102" s="42"/>
      <c r="AL102" s="42"/>
      <c r="AM102" s="42"/>
      <c r="AN102" s="43"/>
      <c r="AO102" s="43"/>
      <c r="AP102" s="43"/>
      <c r="AQ102" s="43"/>
      <c r="AR102" s="43"/>
      <c r="AS102" s="43"/>
      <c r="AT102" s="43"/>
      <c r="AU102" s="43"/>
      <c r="AV102" s="43"/>
      <c r="AW102" s="46"/>
      <c r="AX102" s="46"/>
      <c r="AY102" s="46">
        <v>97</v>
      </c>
      <c r="AZ102" s="46">
        <f t="shared" si="81"/>
        <v>0</v>
      </c>
      <c r="BA102" s="46" t="b">
        <f t="shared" si="82"/>
        <v>0</v>
      </c>
      <c r="BB102" s="46">
        <v>97</v>
      </c>
      <c r="BC102" s="46">
        <v>95</v>
      </c>
      <c r="BD102" s="46" t="e">
        <f t="shared" si="93"/>
        <v>#N/A</v>
      </c>
      <c r="BE102" s="46" t="e">
        <f t="shared" ca="1" si="94"/>
        <v>#N/A</v>
      </c>
      <c r="BF102" s="46" t="e">
        <f t="shared" ca="1" si="83"/>
        <v>#N/A</v>
      </c>
      <c r="BG102" s="46" t="e">
        <f t="shared" ca="1" si="84"/>
        <v>#N/A</v>
      </c>
      <c r="BH102" s="46">
        <v>95</v>
      </c>
      <c r="BI102" s="46" t="e">
        <f t="shared" si="95"/>
        <v>#N/A</v>
      </c>
      <c r="BJ102" s="46" t="e">
        <f t="shared" ca="1" si="96"/>
        <v>#N/A</v>
      </c>
      <c r="BK102" s="46" t="e">
        <f t="shared" ca="1" si="85"/>
        <v>#N/A</v>
      </c>
      <c r="BL102" s="46" t="e">
        <f t="shared" ca="1" si="86"/>
        <v>#N/A</v>
      </c>
      <c r="BM102" s="46">
        <v>95</v>
      </c>
      <c r="BN102" s="46" t="e">
        <f t="shared" si="97"/>
        <v>#N/A</v>
      </c>
      <c r="BO102" s="46" t="e">
        <f t="shared" ca="1" si="98"/>
        <v>#N/A</v>
      </c>
      <c r="BP102" s="46" t="e">
        <f t="shared" ca="1" si="87"/>
        <v>#N/A</v>
      </c>
      <c r="BQ102" s="46" t="e">
        <f t="shared" ca="1" si="88"/>
        <v>#N/A</v>
      </c>
      <c r="BR102" s="46">
        <v>95</v>
      </c>
      <c r="BS102" s="46" t="e">
        <f t="shared" si="99"/>
        <v>#N/A</v>
      </c>
      <c r="BT102" s="46" t="e">
        <f t="shared" ca="1" si="100"/>
        <v>#N/A</v>
      </c>
      <c r="BU102" s="46" t="e">
        <f t="shared" ca="1" si="89"/>
        <v>#N/A</v>
      </c>
      <c r="BV102" s="46" t="e">
        <f t="shared" ca="1" si="90"/>
        <v>#N/A</v>
      </c>
      <c r="BW102" s="46">
        <v>95</v>
      </c>
      <c r="BX102" s="46" t="e">
        <f t="shared" si="101"/>
        <v>#N/A</v>
      </c>
      <c r="BY102" s="46" t="e">
        <f t="shared" ca="1" si="102"/>
        <v>#N/A</v>
      </c>
      <c r="BZ102" s="46" t="e">
        <f t="shared" ca="1" si="91"/>
        <v>#N/A</v>
      </c>
      <c r="CA102" s="46" t="e">
        <f t="shared" ca="1" si="92"/>
        <v>#N/A</v>
      </c>
      <c r="CC102" s="50"/>
      <c r="CD102" s="50"/>
      <c r="CE102" s="50"/>
      <c r="CF102" s="50"/>
      <c r="CG102" s="50"/>
      <c r="CH102" s="50"/>
      <c r="CI102" s="50"/>
      <c r="CJ102" s="50"/>
      <c r="CO102" s="43"/>
      <c r="CP102" s="43"/>
      <c r="CQ102" s="43"/>
    </row>
    <row r="103" spans="1:95" x14ac:dyDescent="0.25">
      <c r="A103" s="43"/>
      <c r="C103" s="42"/>
      <c r="I103" s="42"/>
      <c r="J103" s="42"/>
      <c r="K103" s="42"/>
      <c r="O103" s="43"/>
      <c r="Q103" s="43"/>
      <c r="R103" s="42"/>
      <c r="V103" s="43"/>
      <c r="AC103" s="43"/>
      <c r="AD103" s="43"/>
      <c r="AF103" s="42"/>
      <c r="AG103" s="42"/>
      <c r="AH103" s="42"/>
      <c r="AI103" s="42"/>
      <c r="AJ103" s="42"/>
      <c r="AK103" s="42"/>
      <c r="AL103" s="42"/>
      <c r="AM103" s="42"/>
      <c r="AN103" s="43"/>
      <c r="AO103" s="43"/>
      <c r="AP103" s="43"/>
      <c r="AQ103" s="43"/>
      <c r="AR103" s="43"/>
      <c r="AS103" s="43"/>
      <c r="AT103" s="43"/>
      <c r="AU103" s="43"/>
      <c r="AV103" s="43"/>
      <c r="AW103" s="46"/>
      <c r="AX103" s="46"/>
      <c r="AY103" s="46">
        <v>98</v>
      </c>
      <c r="AZ103" s="46">
        <f t="shared" ref="AZ103:AZ134" si="103" xml:space="preserve"> IFERROR(MATCH(AY103, $AW$7:$AW$10, 0), 0)</f>
        <v>0</v>
      </c>
      <c r="BA103" s="46" t="b">
        <f t="shared" ref="BA103:BA134" si="104">IF(AY103 &lt;= $AX$11, IF(AZ103 = 0, BA102 + $AI$6 + $AI$11, BA102 + ($AI$13 - $AI$11)))</f>
        <v>0</v>
      </c>
      <c r="BB103" s="46">
        <v>98</v>
      </c>
      <c r="BC103" s="46">
        <v>96</v>
      </c>
      <c r="BD103" s="46" t="e">
        <f t="shared" si="93"/>
        <v>#N/A</v>
      </c>
      <c r="BE103" s="46" t="e">
        <f t="shared" ca="1" si="94"/>
        <v>#N/A</v>
      </c>
      <c r="BF103" s="46" t="e">
        <f t="shared" ref="BF103:BF134" ca="1" si="105" xml:space="preserve"> IF(BE103, IF(MOD(BC103, 3) = 0, BE103 - $AI$11 / 2 - $AI$6, IF(MOD(BC103, 3) = 1, BE103 - $AI$11 / 2, BE103)))</f>
        <v>#N/A</v>
      </c>
      <c r="BG103" s="46" t="e">
        <f t="shared" ref="BG103:BG134" ca="1" si="106" xml:space="preserve"> IF(BE103, IF(MOD(BC103, 3) = 2, $AI$22, $AI$22 + 60 + 50 + 35))</f>
        <v>#N/A</v>
      </c>
      <c r="BH103" s="46">
        <v>96</v>
      </c>
      <c r="BI103" s="46" t="e">
        <f t="shared" si="95"/>
        <v>#N/A</v>
      </c>
      <c r="BJ103" s="46" t="e">
        <f t="shared" ca="1" si="96"/>
        <v>#N/A</v>
      </c>
      <c r="BK103" s="46" t="e">
        <f t="shared" ref="BK103:BK134" ca="1" si="107" xml:space="preserve"> IF(BJ103, IF(MOD(BH103, 3) = 0, BJ103 - $AI$11 / 2 - $AI$6, IF(MOD(BH103, 3) = 1, BJ103 - $AI$11 / 2, BJ103)))</f>
        <v>#N/A</v>
      </c>
      <c r="BL103" s="46" t="e">
        <f t="shared" ref="BL103:BL134" ca="1" si="108" xml:space="preserve"> IF(BJ103, IF(MOD(BH103, 3) = 2, $AI$22, $AI$22 + 60 + 50 + 35))</f>
        <v>#N/A</v>
      </c>
      <c r="BM103" s="46">
        <v>96</v>
      </c>
      <c r="BN103" s="46" t="e">
        <f t="shared" si="97"/>
        <v>#N/A</v>
      </c>
      <c r="BO103" s="46" t="e">
        <f t="shared" ca="1" si="98"/>
        <v>#N/A</v>
      </c>
      <c r="BP103" s="46" t="e">
        <f t="shared" ref="BP103:BP134" ca="1" si="109" xml:space="preserve"> IF(BO103, IF(MOD(BM103, 3) = 0, BO103 - $AI$11 / 2 - $AI$6, IF(MOD(BM103, 3) = 1, BO103 - $AI$11 / 2, BO103)))</f>
        <v>#N/A</v>
      </c>
      <c r="BQ103" s="46" t="e">
        <f t="shared" ref="BQ103:BQ134" ca="1" si="110" xml:space="preserve"> IF(BO103, IF(MOD(BM103, 3) = 2, $AI$22, $AI$22 + 60 + 50 + 35))</f>
        <v>#N/A</v>
      </c>
      <c r="BR103" s="46">
        <v>96</v>
      </c>
      <c r="BS103" s="46" t="e">
        <f t="shared" si="99"/>
        <v>#N/A</v>
      </c>
      <c r="BT103" s="46" t="e">
        <f t="shared" ca="1" si="100"/>
        <v>#N/A</v>
      </c>
      <c r="BU103" s="46" t="e">
        <f t="shared" ref="BU103:BU134" ca="1" si="111" xml:space="preserve"> IF(BT103, IF(MOD(BR103, 3) = 0, BT103 - $AI$11 / 2 - $AI$6, IF(MOD(BR103, 3) = 1, BT103 - $AI$11 / 2, BT103)))</f>
        <v>#N/A</v>
      </c>
      <c r="BV103" s="46" t="e">
        <f t="shared" ref="BV103:BV134" ca="1" si="112" xml:space="preserve"> IF(BT103, IF(MOD(BR103, 3) = 2, $AI$22, $AI$22 + 60 + 50 + 35))</f>
        <v>#N/A</v>
      </c>
      <c r="BW103" s="46">
        <v>96</v>
      </c>
      <c r="BX103" s="46" t="e">
        <f t="shared" si="101"/>
        <v>#N/A</v>
      </c>
      <c r="BY103" s="46" t="e">
        <f t="shared" ca="1" si="102"/>
        <v>#N/A</v>
      </c>
      <c r="BZ103" s="46" t="e">
        <f t="shared" ref="BZ103:BZ134" ca="1" si="113" xml:space="preserve"> IF(BY103, IF(MOD(BW103, 3) = 0, BY103 - $AI$11 / 2 - $AI$6, IF(MOD(BW103, 3) = 1, BY103 - $AI$11 / 2, BY103)))</f>
        <v>#N/A</v>
      </c>
      <c r="CA103" s="46" t="e">
        <f t="shared" ref="CA103:CA134" ca="1" si="114" xml:space="preserve"> IF(BY103, IF(MOD(BW103, 3) = 2, $AI$22, $AI$22 + 60 + 50 + 35))</f>
        <v>#N/A</v>
      </c>
      <c r="CC103" s="50"/>
      <c r="CD103" s="50"/>
      <c r="CE103" s="50"/>
      <c r="CF103" s="50"/>
      <c r="CG103" s="50"/>
      <c r="CH103" s="50"/>
      <c r="CI103" s="50"/>
      <c r="CJ103" s="50"/>
      <c r="CO103" s="43"/>
      <c r="CP103" s="43"/>
      <c r="CQ103" s="43"/>
    </row>
    <row r="104" spans="1:95" x14ac:dyDescent="0.25">
      <c r="A104" s="43"/>
      <c r="C104" s="42"/>
      <c r="I104" s="42"/>
      <c r="J104" s="42"/>
      <c r="K104" s="42"/>
      <c r="O104" s="43"/>
      <c r="Q104" s="43"/>
      <c r="R104" s="42"/>
      <c r="V104" s="43"/>
      <c r="AC104" s="43"/>
      <c r="AD104" s="43"/>
      <c r="AF104" s="42"/>
      <c r="AG104" s="42"/>
      <c r="AH104" s="42"/>
      <c r="AI104" s="42"/>
      <c r="AJ104" s="42"/>
      <c r="AK104" s="42"/>
      <c r="AL104" s="42"/>
      <c r="AM104" s="42"/>
      <c r="AN104" s="43"/>
      <c r="AO104" s="43"/>
      <c r="AP104" s="43"/>
      <c r="AQ104" s="43"/>
      <c r="AR104" s="43"/>
      <c r="AS104" s="43"/>
      <c r="AT104" s="43"/>
      <c r="AU104" s="43"/>
      <c r="AV104" s="43"/>
      <c r="AW104" s="46"/>
      <c r="AX104" s="46"/>
      <c r="AY104" s="46">
        <v>99</v>
      </c>
      <c r="AZ104" s="46">
        <f t="shared" si="103"/>
        <v>0</v>
      </c>
      <c r="BA104" s="46" t="b">
        <f t="shared" si="104"/>
        <v>0</v>
      </c>
      <c r="BB104" s="46">
        <v>99</v>
      </c>
      <c r="BC104" s="46">
        <v>97</v>
      </c>
      <c r="BD104" s="46" t="e">
        <f t="shared" si="93"/>
        <v>#N/A</v>
      </c>
      <c r="BE104" s="46" t="e">
        <f t="shared" ca="1" si="94"/>
        <v>#N/A</v>
      </c>
      <c r="BF104" s="46" t="e">
        <f t="shared" ca="1" si="105"/>
        <v>#N/A</v>
      </c>
      <c r="BG104" s="46" t="e">
        <f t="shared" ca="1" si="106"/>
        <v>#N/A</v>
      </c>
      <c r="BH104" s="46">
        <v>97</v>
      </c>
      <c r="BI104" s="46" t="e">
        <f t="shared" si="95"/>
        <v>#N/A</v>
      </c>
      <c r="BJ104" s="46" t="e">
        <f t="shared" ca="1" si="96"/>
        <v>#N/A</v>
      </c>
      <c r="BK104" s="46" t="e">
        <f t="shared" ca="1" si="107"/>
        <v>#N/A</v>
      </c>
      <c r="BL104" s="46" t="e">
        <f t="shared" ca="1" si="108"/>
        <v>#N/A</v>
      </c>
      <c r="BM104" s="46">
        <v>97</v>
      </c>
      <c r="BN104" s="46" t="e">
        <f t="shared" si="97"/>
        <v>#N/A</v>
      </c>
      <c r="BO104" s="46" t="e">
        <f t="shared" ca="1" si="98"/>
        <v>#N/A</v>
      </c>
      <c r="BP104" s="46" t="e">
        <f t="shared" ca="1" si="109"/>
        <v>#N/A</v>
      </c>
      <c r="BQ104" s="46" t="e">
        <f t="shared" ca="1" si="110"/>
        <v>#N/A</v>
      </c>
      <c r="BR104" s="46">
        <v>97</v>
      </c>
      <c r="BS104" s="46" t="e">
        <f t="shared" si="99"/>
        <v>#N/A</v>
      </c>
      <c r="BT104" s="46" t="e">
        <f t="shared" ca="1" si="100"/>
        <v>#N/A</v>
      </c>
      <c r="BU104" s="46" t="e">
        <f t="shared" ca="1" si="111"/>
        <v>#N/A</v>
      </c>
      <c r="BV104" s="46" t="e">
        <f t="shared" ca="1" si="112"/>
        <v>#N/A</v>
      </c>
      <c r="BW104" s="46">
        <v>97</v>
      </c>
      <c r="BX104" s="46" t="e">
        <f t="shared" si="101"/>
        <v>#N/A</v>
      </c>
      <c r="BY104" s="46" t="e">
        <f t="shared" ca="1" si="102"/>
        <v>#N/A</v>
      </c>
      <c r="BZ104" s="46" t="e">
        <f t="shared" ca="1" si="113"/>
        <v>#N/A</v>
      </c>
      <c r="CA104" s="46" t="e">
        <f t="shared" ca="1" si="114"/>
        <v>#N/A</v>
      </c>
      <c r="CC104" s="50"/>
      <c r="CD104" s="50"/>
      <c r="CE104" s="50"/>
      <c r="CF104" s="50"/>
      <c r="CG104" s="50"/>
      <c r="CH104" s="50"/>
      <c r="CI104" s="50"/>
      <c r="CJ104" s="50"/>
      <c r="CO104" s="43"/>
      <c r="CP104" s="43"/>
      <c r="CQ104" s="43"/>
    </row>
    <row r="105" spans="1:95" x14ac:dyDescent="0.25">
      <c r="A105" s="43"/>
      <c r="C105" s="42"/>
      <c r="I105" s="42"/>
      <c r="J105" s="42"/>
      <c r="K105" s="42"/>
      <c r="O105" s="43"/>
      <c r="Q105" s="43"/>
      <c r="R105" s="42"/>
      <c r="V105" s="43"/>
      <c r="AC105" s="43"/>
      <c r="AD105" s="43"/>
      <c r="AF105" s="42"/>
      <c r="AG105" s="42"/>
      <c r="AH105" s="42"/>
      <c r="AI105" s="42"/>
      <c r="AJ105" s="42"/>
      <c r="AK105" s="42"/>
      <c r="AL105" s="42"/>
      <c r="AM105" s="42"/>
      <c r="AN105" s="43"/>
      <c r="AO105" s="43"/>
      <c r="AP105" s="43"/>
      <c r="AQ105" s="43"/>
      <c r="AR105" s="43"/>
      <c r="AS105" s="43"/>
      <c r="AT105" s="43"/>
      <c r="AU105" s="43"/>
      <c r="AV105" s="43"/>
      <c r="AW105" s="46"/>
      <c r="AX105" s="46"/>
      <c r="AY105" s="46">
        <v>100</v>
      </c>
      <c r="AZ105" s="46">
        <f t="shared" si="103"/>
        <v>0</v>
      </c>
      <c r="BA105" s="46" t="b">
        <f t="shared" si="104"/>
        <v>0</v>
      </c>
      <c r="BB105" s="46">
        <v>100</v>
      </c>
      <c r="BC105" s="46">
        <v>98</v>
      </c>
      <c r="BD105" s="46" t="e">
        <f t="shared" si="93"/>
        <v>#N/A</v>
      </c>
      <c r="BE105" s="46" t="e">
        <f t="shared" ca="1" si="94"/>
        <v>#N/A</v>
      </c>
      <c r="BF105" s="46" t="e">
        <f t="shared" ca="1" si="105"/>
        <v>#N/A</v>
      </c>
      <c r="BG105" s="46" t="e">
        <f t="shared" ca="1" si="106"/>
        <v>#N/A</v>
      </c>
      <c r="BH105" s="46">
        <v>98</v>
      </c>
      <c r="BI105" s="46" t="e">
        <f t="shared" si="95"/>
        <v>#N/A</v>
      </c>
      <c r="BJ105" s="46" t="e">
        <f t="shared" ca="1" si="96"/>
        <v>#N/A</v>
      </c>
      <c r="BK105" s="46" t="e">
        <f t="shared" ca="1" si="107"/>
        <v>#N/A</v>
      </c>
      <c r="BL105" s="46" t="e">
        <f t="shared" ca="1" si="108"/>
        <v>#N/A</v>
      </c>
      <c r="BM105" s="46">
        <v>98</v>
      </c>
      <c r="BN105" s="46" t="e">
        <f t="shared" si="97"/>
        <v>#N/A</v>
      </c>
      <c r="BO105" s="46" t="e">
        <f t="shared" ca="1" si="98"/>
        <v>#N/A</v>
      </c>
      <c r="BP105" s="46" t="e">
        <f t="shared" ca="1" si="109"/>
        <v>#N/A</v>
      </c>
      <c r="BQ105" s="46" t="e">
        <f t="shared" ca="1" si="110"/>
        <v>#N/A</v>
      </c>
      <c r="BR105" s="46">
        <v>98</v>
      </c>
      <c r="BS105" s="46" t="e">
        <f t="shared" si="99"/>
        <v>#N/A</v>
      </c>
      <c r="BT105" s="46" t="e">
        <f t="shared" ca="1" si="100"/>
        <v>#N/A</v>
      </c>
      <c r="BU105" s="46" t="e">
        <f t="shared" ca="1" si="111"/>
        <v>#N/A</v>
      </c>
      <c r="BV105" s="46" t="e">
        <f t="shared" ca="1" si="112"/>
        <v>#N/A</v>
      </c>
      <c r="BW105" s="46">
        <v>98</v>
      </c>
      <c r="BX105" s="46" t="e">
        <f t="shared" si="101"/>
        <v>#N/A</v>
      </c>
      <c r="BY105" s="46" t="e">
        <f t="shared" ca="1" si="102"/>
        <v>#N/A</v>
      </c>
      <c r="BZ105" s="46" t="e">
        <f t="shared" ca="1" si="113"/>
        <v>#N/A</v>
      </c>
      <c r="CA105" s="46" t="e">
        <f t="shared" ca="1" si="114"/>
        <v>#N/A</v>
      </c>
      <c r="CC105" s="50"/>
      <c r="CD105" s="50"/>
      <c r="CE105" s="50"/>
      <c r="CF105" s="50"/>
      <c r="CG105" s="50"/>
      <c r="CH105" s="50"/>
      <c r="CI105" s="50"/>
      <c r="CJ105" s="50"/>
      <c r="CO105" s="43"/>
      <c r="CP105" s="43"/>
      <c r="CQ105" s="43"/>
    </row>
    <row r="106" spans="1:95" x14ac:dyDescent="0.25">
      <c r="A106" s="43"/>
      <c r="C106" s="42"/>
      <c r="I106" s="42"/>
      <c r="J106" s="42"/>
      <c r="K106" s="42"/>
      <c r="O106" s="43"/>
      <c r="Q106" s="43"/>
      <c r="R106" s="42"/>
      <c r="V106" s="43"/>
      <c r="AC106" s="43"/>
      <c r="AD106" s="43"/>
      <c r="AF106" s="42"/>
      <c r="AG106" s="42"/>
      <c r="AH106" s="42"/>
      <c r="AI106" s="42"/>
      <c r="AJ106" s="42"/>
      <c r="AK106" s="42"/>
      <c r="AL106" s="42"/>
      <c r="AM106" s="42"/>
      <c r="AN106" s="43"/>
      <c r="AO106" s="43"/>
      <c r="AP106" s="43"/>
      <c r="AQ106" s="43"/>
      <c r="AR106" s="43"/>
      <c r="AS106" s="43"/>
      <c r="AT106" s="43"/>
      <c r="AU106" s="43"/>
      <c r="AV106" s="43"/>
      <c r="AW106" s="46"/>
      <c r="AX106" s="46"/>
      <c r="AY106" s="46">
        <v>101</v>
      </c>
      <c r="AZ106" s="46">
        <f t="shared" si="103"/>
        <v>0</v>
      </c>
      <c r="BA106" s="46" t="b">
        <f t="shared" si="104"/>
        <v>0</v>
      </c>
      <c r="BB106" s="46">
        <v>101</v>
      </c>
      <c r="BC106" s="46">
        <v>99</v>
      </c>
      <c r="BD106" s="46" t="e">
        <f t="shared" si="93"/>
        <v>#N/A</v>
      </c>
      <c r="BE106" s="46" t="e">
        <f t="shared" ca="1" si="94"/>
        <v>#N/A</v>
      </c>
      <c r="BF106" s="46" t="e">
        <f t="shared" ca="1" si="105"/>
        <v>#N/A</v>
      </c>
      <c r="BG106" s="46" t="e">
        <f t="shared" ca="1" si="106"/>
        <v>#N/A</v>
      </c>
      <c r="BH106" s="46">
        <v>99</v>
      </c>
      <c r="BI106" s="46" t="e">
        <f t="shared" si="95"/>
        <v>#N/A</v>
      </c>
      <c r="BJ106" s="46" t="e">
        <f t="shared" ca="1" si="96"/>
        <v>#N/A</v>
      </c>
      <c r="BK106" s="46" t="e">
        <f t="shared" ca="1" si="107"/>
        <v>#N/A</v>
      </c>
      <c r="BL106" s="46" t="e">
        <f t="shared" ca="1" si="108"/>
        <v>#N/A</v>
      </c>
      <c r="BM106" s="46">
        <v>99</v>
      </c>
      <c r="BN106" s="46" t="e">
        <f t="shared" si="97"/>
        <v>#N/A</v>
      </c>
      <c r="BO106" s="46" t="e">
        <f t="shared" ca="1" si="98"/>
        <v>#N/A</v>
      </c>
      <c r="BP106" s="46" t="e">
        <f t="shared" ca="1" si="109"/>
        <v>#N/A</v>
      </c>
      <c r="BQ106" s="46" t="e">
        <f t="shared" ca="1" si="110"/>
        <v>#N/A</v>
      </c>
      <c r="BR106" s="46">
        <v>99</v>
      </c>
      <c r="BS106" s="46" t="e">
        <f t="shared" si="99"/>
        <v>#N/A</v>
      </c>
      <c r="BT106" s="46" t="e">
        <f t="shared" ca="1" si="100"/>
        <v>#N/A</v>
      </c>
      <c r="BU106" s="46" t="e">
        <f t="shared" ca="1" si="111"/>
        <v>#N/A</v>
      </c>
      <c r="BV106" s="46" t="e">
        <f t="shared" ca="1" si="112"/>
        <v>#N/A</v>
      </c>
      <c r="BW106" s="46">
        <v>99</v>
      </c>
      <c r="BX106" s="46" t="e">
        <f t="shared" si="101"/>
        <v>#N/A</v>
      </c>
      <c r="BY106" s="46" t="e">
        <f t="shared" ca="1" si="102"/>
        <v>#N/A</v>
      </c>
      <c r="BZ106" s="46" t="e">
        <f t="shared" ca="1" si="113"/>
        <v>#N/A</v>
      </c>
      <c r="CA106" s="46" t="e">
        <f t="shared" ca="1" si="114"/>
        <v>#N/A</v>
      </c>
      <c r="CC106" s="50"/>
      <c r="CD106" s="50"/>
      <c r="CE106" s="50"/>
      <c r="CF106" s="50"/>
      <c r="CG106" s="50"/>
      <c r="CH106" s="50"/>
      <c r="CI106" s="50"/>
      <c r="CJ106" s="50"/>
      <c r="CO106" s="43"/>
      <c r="CP106" s="43"/>
      <c r="CQ106" s="43"/>
    </row>
    <row r="107" spans="1:95" x14ac:dyDescent="0.25">
      <c r="A107" s="43"/>
      <c r="C107" s="42"/>
      <c r="I107" s="42"/>
      <c r="J107" s="42"/>
      <c r="K107" s="42"/>
      <c r="O107" s="43"/>
      <c r="Q107" s="43"/>
      <c r="R107" s="42"/>
      <c r="V107" s="43"/>
      <c r="AC107" s="43"/>
      <c r="AD107" s="43"/>
      <c r="AF107" s="42"/>
      <c r="AG107" s="42"/>
      <c r="AH107" s="42"/>
      <c r="AI107" s="42"/>
      <c r="AJ107" s="42"/>
      <c r="AK107" s="42"/>
      <c r="AL107" s="42"/>
      <c r="AM107" s="42"/>
      <c r="AN107" s="43"/>
      <c r="AO107" s="43"/>
      <c r="AP107" s="43"/>
      <c r="AQ107" s="43"/>
      <c r="AR107" s="43"/>
      <c r="AS107" s="43"/>
      <c r="AT107" s="43"/>
      <c r="AU107" s="43"/>
      <c r="AV107" s="43"/>
      <c r="AW107" s="46"/>
      <c r="AX107" s="46"/>
      <c r="AY107" s="46">
        <v>102</v>
      </c>
      <c r="AZ107" s="46">
        <f t="shared" si="103"/>
        <v>0</v>
      </c>
      <c r="BA107" s="46" t="b">
        <f t="shared" si="104"/>
        <v>0</v>
      </c>
      <c r="BB107" s="46">
        <v>102</v>
      </c>
      <c r="BC107" s="46">
        <v>100</v>
      </c>
      <c r="BD107" s="46" t="e">
        <f t="shared" si="93"/>
        <v>#N/A</v>
      </c>
      <c r="BE107" s="46" t="e">
        <f t="shared" ca="1" si="94"/>
        <v>#N/A</v>
      </c>
      <c r="BF107" s="46" t="e">
        <f t="shared" ca="1" si="105"/>
        <v>#N/A</v>
      </c>
      <c r="BG107" s="46" t="e">
        <f t="shared" ca="1" si="106"/>
        <v>#N/A</v>
      </c>
      <c r="BH107" s="46">
        <v>100</v>
      </c>
      <c r="BI107" s="46" t="e">
        <f t="shared" si="95"/>
        <v>#N/A</v>
      </c>
      <c r="BJ107" s="46" t="e">
        <f t="shared" ca="1" si="96"/>
        <v>#N/A</v>
      </c>
      <c r="BK107" s="46" t="e">
        <f t="shared" ca="1" si="107"/>
        <v>#N/A</v>
      </c>
      <c r="BL107" s="46" t="e">
        <f t="shared" ca="1" si="108"/>
        <v>#N/A</v>
      </c>
      <c r="BM107" s="46">
        <v>100</v>
      </c>
      <c r="BN107" s="46" t="e">
        <f t="shared" si="97"/>
        <v>#N/A</v>
      </c>
      <c r="BO107" s="46" t="e">
        <f t="shared" ca="1" si="98"/>
        <v>#N/A</v>
      </c>
      <c r="BP107" s="46" t="e">
        <f t="shared" ca="1" si="109"/>
        <v>#N/A</v>
      </c>
      <c r="BQ107" s="46" t="e">
        <f t="shared" ca="1" si="110"/>
        <v>#N/A</v>
      </c>
      <c r="BR107" s="46">
        <v>100</v>
      </c>
      <c r="BS107" s="46" t="e">
        <f t="shared" si="99"/>
        <v>#N/A</v>
      </c>
      <c r="BT107" s="46" t="e">
        <f t="shared" ca="1" si="100"/>
        <v>#N/A</v>
      </c>
      <c r="BU107" s="46" t="e">
        <f t="shared" ca="1" si="111"/>
        <v>#N/A</v>
      </c>
      <c r="BV107" s="46" t="e">
        <f t="shared" ca="1" si="112"/>
        <v>#N/A</v>
      </c>
      <c r="BW107" s="46">
        <v>100</v>
      </c>
      <c r="BX107" s="46" t="e">
        <f t="shared" si="101"/>
        <v>#N/A</v>
      </c>
      <c r="BY107" s="46" t="e">
        <f t="shared" ca="1" si="102"/>
        <v>#N/A</v>
      </c>
      <c r="BZ107" s="46" t="e">
        <f t="shared" ca="1" si="113"/>
        <v>#N/A</v>
      </c>
      <c r="CA107" s="46" t="e">
        <f t="shared" ca="1" si="114"/>
        <v>#N/A</v>
      </c>
      <c r="CC107" s="50"/>
      <c r="CD107" s="50"/>
      <c r="CE107" s="50"/>
      <c r="CF107" s="50"/>
      <c r="CG107" s="50"/>
      <c r="CH107" s="50"/>
      <c r="CI107" s="50"/>
      <c r="CJ107" s="50"/>
      <c r="CO107" s="43"/>
      <c r="CP107" s="43"/>
      <c r="CQ107" s="43"/>
    </row>
    <row r="108" spans="1:95" x14ac:dyDescent="0.25">
      <c r="A108" s="43"/>
      <c r="C108" s="42"/>
      <c r="I108" s="42"/>
      <c r="J108" s="42"/>
      <c r="K108" s="42"/>
      <c r="O108" s="43"/>
      <c r="Q108" s="43"/>
      <c r="R108" s="42"/>
      <c r="V108" s="43"/>
      <c r="AC108" s="43"/>
      <c r="AD108" s="43"/>
      <c r="AF108" s="42"/>
      <c r="AG108" s="42"/>
      <c r="AH108" s="42"/>
      <c r="AI108" s="42"/>
      <c r="AJ108" s="42"/>
      <c r="AK108" s="42"/>
      <c r="AL108" s="42"/>
      <c r="AM108" s="42"/>
      <c r="AN108" s="43"/>
      <c r="AO108" s="43"/>
      <c r="AP108" s="43"/>
      <c r="AQ108" s="43"/>
      <c r="AR108" s="43"/>
      <c r="AS108" s="43"/>
      <c r="AT108" s="43"/>
      <c r="AU108" s="43"/>
      <c r="AV108" s="43"/>
      <c r="AW108" s="46"/>
      <c r="AX108" s="46"/>
      <c r="AY108" s="46">
        <v>103</v>
      </c>
      <c r="AZ108" s="46">
        <f t="shared" si="103"/>
        <v>0</v>
      </c>
      <c r="BA108" s="46" t="b">
        <f t="shared" si="104"/>
        <v>0</v>
      </c>
      <c r="BB108" s="46">
        <v>103</v>
      </c>
      <c r="BC108" s="46">
        <v>101</v>
      </c>
      <c r="BD108" s="46" t="e">
        <f t="shared" si="93"/>
        <v>#N/A</v>
      </c>
      <c r="BE108" s="46" t="e">
        <f t="shared" ca="1" si="94"/>
        <v>#N/A</v>
      </c>
      <c r="BF108" s="46" t="e">
        <f t="shared" ca="1" si="105"/>
        <v>#N/A</v>
      </c>
      <c r="BG108" s="46" t="e">
        <f t="shared" ca="1" si="106"/>
        <v>#N/A</v>
      </c>
      <c r="BH108" s="46">
        <v>101</v>
      </c>
      <c r="BI108" s="46" t="e">
        <f t="shared" si="95"/>
        <v>#N/A</v>
      </c>
      <c r="BJ108" s="46" t="e">
        <f t="shared" ca="1" si="96"/>
        <v>#N/A</v>
      </c>
      <c r="BK108" s="46" t="e">
        <f t="shared" ca="1" si="107"/>
        <v>#N/A</v>
      </c>
      <c r="BL108" s="46" t="e">
        <f t="shared" ca="1" si="108"/>
        <v>#N/A</v>
      </c>
      <c r="BM108" s="46">
        <v>101</v>
      </c>
      <c r="BN108" s="46" t="e">
        <f t="shared" si="97"/>
        <v>#N/A</v>
      </c>
      <c r="BO108" s="46" t="e">
        <f t="shared" ca="1" si="98"/>
        <v>#N/A</v>
      </c>
      <c r="BP108" s="46" t="e">
        <f t="shared" ca="1" si="109"/>
        <v>#N/A</v>
      </c>
      <c r="BQ108" s="46" t="e">
        <f t="shared" ca="1" si="110"/>
        <v>#N/A</v>
      </c>
      <c r="BR108" s="46">
        <v>101</v>
      </c>
      <c r="BS108" s="46" t="e">
        <f t="shared" si="99"/>
        <v>#N/A</v>
      </c>
      <c r="BT108" s="46" t="e">
        <f t="shared" ca="1" si="100"/>
        <v>#N/A</v>
      </c>
      <c r="BU108" s="46" t="e">
        <f t="shared" ca="1" si="111"/>
        <v>#N/A</v>
      </c>
      <c r="BV108" s="46" t="e">
        <f t="shared" ca="1" si="112"/>
        <v>#N/A</v>
      </c>
      <c r="BW108" s="46">
        <v>101</v>
      </c>
      <c r="BX108" s="46" t="e">
        <f t="shared" si="101"/>
        <v>#N/A</v>
      </c>
      <c r="BY108" s="46" t="e">
        <f t="shared" ca="1" si="102"/>
        <v>#N/A</v>
      </c>
      <c r="BZ108" s="46" t="e">
        <f t="shared" ca="1" si="113"/>
        <v>#N/A</v>
      </c>
      <c r="CA108" s="46" t="e">
        <f t="shared" ca="1" si="114"/>
        <v>#N/A</v>
      </c>
      <c r="CC108" s="50"/>
      <c r="CD108" s="50"/>
      <c r="CE108" s="50"/>
      <c r="CF108" s="50"/>
      <c r="CG108" s="50"/>
      <c r="CH108" s="50"/>
      <c r="CI108" s="50"/>
      <c r="CJ108" s="50"/>
      <c r="CO108" s="43"/>
      <c r="CP108" s="43"/>
      <c r="CQ108" s="43"/>
    </row>
    <row r="109" spans="1:95" x14ac:dyDescent="0.25">
      <c r="A109" s="43"/>
      <c r="C109" s="42"/>
      <c r="I109" s="42"/>
      <c r="J109" s="42"/>
      <c r="K109" s="42"/>
      <c r="O109" s="43"/>
      <c r="Q109" s="43"/>
      <c r="R109" s="42"/>
      <c r="V109" s="43"/>
      <c r="AC109" s="43"/>
      <c r="AD109" s="43"/>
      <c r="AF109" s="42"/>
      <c r="AG109" s="42"/>
      <c r="AH109" s="42"/>
      <c r="AI109" s="42"/>
      <c r="AJ109" s="42"/>
      <c r="AK109" s="42"/>
      <c r="AL109" s="42"/>
      <c r="AM109" s="42"/>
      <c r="AN109" s="43"/>
      <c r="AO109" s="43"/>
      <c r="AP109" s="43"/>
      <c r="AQ109" s="43"/>
      <c r="AR109" s="43"/>
      <c r="AS109" s="43"/>
      <c r="AT109" s="43"/>
      <c r="AU109" s="43"/>
      <c r="AV109" s="43"/>
      <c r="AW109" s="46"/>
      <c r="AX109" s="46"/>
      <c r="AY109" s="46">
        <v>104</v>
      </c>
      <c r="AZ109" s="46">
        <f t="shared" si="103"/>
        <v>0</v>
      </c>
      <c r="BA109" s="46" t="b">
        <f t="shared" si="104"/>
        <v>0</v>
      </c>
      <c r="BB109" s="46">
        <v>104</v>
      </c>
      <c r="BC109" s="46">
        <v>102</v>
      </c>
      <c r="BD109" s="46" t="e">
        <f t="shared" si="93"/>
        <v>#N/A</v>
      </c>
      <c r="BE109" s="46" t="e">
        <f t="shared" ca="1" si="94"/>
        <v>#N/A</v>
      </c>
      <c r="BF109" s="46" t="e">
        <f t="shared" ca="1" si="105"/>
        <v>#N/A</v>
      </c>
      <c r="BG109" s="46" t="e">
        <f t="shared" ca="1" si="106"/>
        <v>#N/A</v>
      </c>
      <c r="BH109" s="46">
        <v>102</v>
      </c>
      <c r="BI109" s="46" t="e">
        <f t="shared" si="95"/>
        <v>#N/A</v>
      </c>
      <c r="BJ109" s="46" t="e">
        <f t="shared" ca="1" si="96"/>
        <v>#N/A</v>
      </c>
      <c r="BK109" s="46" t="e">
        <f t="shared" ca="1" si="107"/>
        <v>#N/A</v>
      </c>
      <c r="BL109" s="46" t="e">
        <f t="shared" ca="1" si="108"/>
        <v>#N/A</v>
      </c>
      <c r="BM109" s="46">
        <v>102</v>
      </c>
      <c r="BN109" s="46" t="e">
        <f t="shared" si="97"/>
        <v>#N/A</v>
      </c>
      <c r="BO109" s="46" t="e">
        <f t="shared" ca="1" si="98"/>
        <v>#N/A</v>
      </c>
      <c r="BP109" s="46" t="e">
        <f t="shared" ca="1" si="109"/>
        <v>#N/A</v>
      </c>
      <c r="BQ109" s="46" t="e">
        <f t="shared" ca="1" si="110"/>
        <v>#N/A</v>
      </c>
      <c r="BR109" s="46">
        <v>102</v>
      </c>
      <c r="BS109" s="46" t="e">
        <f t="shared" si="99"/>
        <v>#N/A</v>
      </c>
      <c r="BT109" s="46" t="e">
        <f t="shared" ca="1" si="100"/>
        <v>#N/A</v>
      </c>
      <c r="BU109" s="46" t="e">
        <f t="shared" ca="1" si="111"/>
        <v>#N/A</v>
      </c>
      <c r="BV109" s="46" t="e">
        <f t="shared" ca="1" si="112"/>
        <v>#N/A</v>
      </c>
      <c r="BW109" s="46">
        <v>102</v>
      </c>
      <c r="BX109" s="46" t="e">
        <f t="shared" si="101"/>
        <v>#N/A</v>
      </c>
      <c r="BY109" s="46" t="e">
        <f t="shared" ca="1" si="102"/>
        <v>#N/A</v>
      </c>
      <c r="BZ109" s="46" t="e">
        <f t="shared" ca="1" si="113"/>
        <v>#N/A</v>
      </c>
      <c r="CA109" s="46" t="e">
        <f t="shared" ca="1" si="114"/>
        <v>#N/A</v>
      </c>
      <c r="CC109" s="50"/>
      <c r="CD109" s="50"/>
      <c r="CE109" s="50"/>
      <c r="CF109" s="50"/>
      <c r="CG109" s="50"/>
      <c r="CH109" s="50"/>
      <c r="CI109" s="50"/>
      <c r="CJ109" s="50"/>
      <c r="CO109" s="43"/>
      <c r="CP109" s="43"/>
      <c r="CQ109" s="43"/>
    </row>
    <row r="110" spans="1:95" x14ac:dyDescent="0.25">
      <c r="A110" s="43"/>
      <c r="C110" s="42"/>
      <c r="I110" s="42"/>
      <c r="J110" s="42"/>
      <c r="K110" s="42"/>
      <c r="O110" s="43"/>
      <c r="Q110" s="43"/>
      <c r="R110" s="42"/>
      <c r="V110" s="43"/>
      <c r="AC110" s="43"/>
      <c r="AD110" s="43"/>
      <c r="AF110" s="42"/>
      <c r="AG110" s="42"/>
      <c r="AH110" s="42"/>
      <c r="AI110" s="42"/>
      <c r="AJ110" s="42"/>
      <c r="AK110" s="42"/>
      <c r="AL110" s="42"/>
      <c r="AM110" s="42"/>
      <c r="AN110" s="43"/>
      <c r="AO110" s="43"/>
      <c r="AP110" s="43"/>
      <c r="AQ110" s="43"/>
      <c r="AR110" s="43"/>
      <c r="AS110" s="43"/>
      <c r="AT110" s="43"/>
      <c r="AU110" s="43"/>
      <c r="AV110" s="43"/>
      <c r="AW110" s="46"/>
      <c r="AX110" s="46"/>
      <c r="AY110" s="46">
        <v>105</v>
      </c>
      <c r="AZ110" s="46">
        <f t="shared" si="103"/>
        <v>0</v>
      </c>
      <c r="BA110" s="46" t="b">
        <f t="shared" si="104"/>
        <v>0</v>
      </c>
      <c r="BB110" s="46">
        <v>105</v>
      </c>
      <c r="BC110" s="46">
        <v>103</v>
      </c>
      <c r="BD110" s="46" t="e">
        <f t="shared" si="93"/>
        <v>#N/A</v>
      </c>
      <c r="BE110" s="46" t="e">
        <f t="shared" ca="1" si="94"/>
        <v>#N/A</v>
      </c>
      <c r="BF110" s="46" t="e">
        <f t="shared" ca="1" si="105"/>
        <v>#N/A</v>
      </c>
      <c r="BG110" s="46" t="e">
        <f t="shared" ca="1" si="106"/>
        <v>#N/A</v>
      </c>
      <c r="BH110" s="46">
        <v>103</v>
      </c>
      <c r="BI110" s="46" t="e">
        <f t="shared" si="95"/>
        <v>#N/A</v>
      </c>
      <c r="BJ110" s="46" t="e">
        <f t="shared" ca="1" si="96"/>
        <v>#N/A</v>
      </c>
      <c r="BK110" s="46" t="e">
        <f t="shared" ca="1" si="107"/>
        <v>#N/A</v>
      </c>
      <c r="BL110" s="46" t="e">
        <f t="shared" ca="1" si="108"/>
        <v>#N/A</v>
      </c>
      <c r="BM110" s="46">
        <v>103</v>
      </c>
      <c r="BN110" s="46" t="e">
        <f t="shared" si="97"/>
        <v>#N/A</v>
      </c>
      <c r="BO110" s="46" t="e">
        <f t="shared" ca="1" si="98"/>
        <v>#N/A</v>
      </c>
      <c r="BP110" s="46" t="e">
        <f t="shared" ca="1" si="109"/>
        <v>#N/A</v>
      </c>
      <c r="BQ110" s="46" t="e">
        <f t="shared" ca="1" si="110"/>
        <v>#N/A</v>
      </c>
      <c r="BR110" s="46">
        <v>103</v>
      </c>
      <c r="BS110" s="46" t="e">
        <f t="shared" si="99"/>
        <v>#N/A</v>
      </c>
      <c r="BT110" s="46" t="e">
        <f t="shared" ca="1" si="100"/>
        <v>#N/A</v>
      </c>
      <c r="BU110" s="46" t="e">
        <f t="shared" ca="1" si="111"/>
        <v>#N/A</v>
      </c>
      <c r="BV110" s="46" t="e">
        <f t="shared" ca="1" si="112"/>
        <v>#N/A</v>
      </c>
      <c r="BW110" s="46">
        <v>103</v>
      </c>
      <c r="BX110" s="46" t="e">
        <f t="shared" si="101"/>
        <v>#N/A</v>
      </c>
      <c r="BY110" s="46" t="e">
        <f t="shared" ca="1" si="102"/>
        <v>#N/A</v>
      </c>
      <c r="BZ110" s="46" t="e">
        <f t="shared" ca="1" si="113"/>
        <v>#N/A</v>
      </c>
      <c r="CA110" s="46" t="e">
        <f t="shared" ca="1" si="114"/>
        <v>#N/A</v>
      </c>
      <c r="CC110" s="50"/>
      <c r="CD110" s="50"/>
      <c r="CE110" s="50"/>
      <c r="CF110" s="50"/>
      <c r="CG110" s="50"/>
      <c r="CH110" s="50"/>
      <c r="CI110" s="50"/>
      <c r="CJ110" s="50"/>
      <c r="CO110" s="43"/>
      <c r="CP110" s="43"/>
      <c r="CQ110" s="43"/>
    </row>
    <row r="111" spans="1:95" x14ac:dyDescent="0.25">
      <c r="A111" s="43"/>
      <c r="C111" s="42"/>
      <c r="I111" s="42"/>
      <c r="J111" s="42"/>
      <c r="K111" s="42"/>
      <c r="O111" s="43"/>
      <c r="Q111" s="43"/>
      <c r="R111" s="42"/>
      <c r="V111" s="43"/>
      <c r="AC111" s="43"/>
      <c r="AD111" s="43"/>
      <c r="AF111" s="42"/>
      <c r="AG111" s="42"/>
      <c r="AH111" s="42"/>
      <c r="AI111" s="42"/>
      <c r="AJ111" s="42"/>
      <c r="AK111" s="42"/>
      <c r="AL111" s="42"/>
      <c r="AM111" s="42"/>
      <c r="AN111" s="43"/>
      <c r="AO111" s="43"/>
      <c r="AP111" s="43"/>
      <c r="AQ111" s="43"/>
      <c r="AR111" s="43"/>
      <c r="AS111" s="43"/>
      <c r="AT111" s="43"/>
      <c r="AU111" s="43"/>
      <c r="AV111" s="43"/>
      <c r="AW111" s="46"/>
      <c r="AX111" s="46"/>
      <c r="AY111" s="46">
        <v>106</v>
      </c>
      <c r="AZ111" s="46">
        <f t="shared" si="103"/>
        <v>0</v>
      </c>
      <c r="BA111" s="46" t="b">
        <f t="shared" si="104"/>
        <v>0</v>
      </c>
      <c r="BB111" s="46">
        <v>106</v>
      </c>
      <c r="BC111" s="46">
        <v>104</v>
      </c>
      <c r="BD111" s="46" t="e">
        <f t="shared" si="93"/>
        <v>#N/A</v>
      </c>
      <c r="BE111" s="46" t="e">
        <f t="shared" ca="1" si="94"/>
        <v>#N/A</v>
      </c>
      <c r="BF111" s="46" t="e">
        <f t="shared" ca="1" si="105"/>
        <v>#N/A</v>
      </c>
      <c r="BG111" s="46" t="e">
        <f t="shared" ca="1" si="106"/>
        <v>#N/A</v>
      </c>
      <c r="BH111" s="46">
        <v>104</v>
      </c>
      <c r="BI111" s="46" t="e">
        <f t="shared" si="95"/>
        <v>#N/A</v>
      </c>
      <c r="BJ111" s="46" t="e">
        <f t="shared" ca="1" si="96"/>
        <v>#N/A</v>
      </c>
      <c r="BK111" s="46" t="e">
        <f t="shared" ca="1" si="107"/>
        <v>#N/A</v>
      </c>
      <c r="BL111" s="46" t="e">
        <f t="shared" ca="1" si="108"/>
        <v>#N/A</v>
      </c>
      <c r="BM111" s="46">
        <v>104</v>
      </c>
      <c r="BN111" s="46" t="e">
        <f t="shared" si="97"/>
        <v>#N/A</v>
      </c>
      <c r="BO111" s="46" t="e">
        <f t="shared" ca="1" si="98"/>
        <v>#N/A</v>
      </c>
      <c r="BP111" s="46" t="e">
        <f t="shared" ca="1" si="109"/>
        <v>#N/A</v>
      </c>
      <c r="BQ111" s="46" t="e">
        <f t="shared" ca="1" si="110"/>
        <v>#N/A</v>
      </c>
      <c r="BR111" s="46">
        <v>104</v>
      </c>
      <c r="BS111" s="46" t="e">
        <f t="shared" si="99"/>
        <v>#N/A</v>
      </c>
      <c r="BT111" s="46" t="e">
        <f t="shared" ca="1" si="100"/>
        <v>#N/A</v>
      </c>
      <c r="BU111" s="46" t="e">
        <f t="shared" ca="1" si="111"/>
        <v>#N/A</v>
      </c>
      <c r="BV111" s="46" t="e">
        <f t="shared" ca="1" si="112"/>
        <v>#N/A</v>
      </c>
      <c r="BW111" s="46">
        <v>104</v>
      </c>
      <c r="BX111" s="46" t="e">
        <f t="shared" si="101"/>
        <v>#N/A</v>
      </c>
      <c r="BY111" s="46" t="e">
        <f t="shared" ca="1" si="102"/>
        <v>#N/A</v>
      </c>
      <c r="BZ111" s="46" t="e">
        <f t="shared" ca="1" si="113"/>
        <v>#N/A</v>
      </c>
      <c r="CA111" s="46" t="e">
        <f t="shared" ca="1" si="114"/>
        <v>#N/A</v>
      </c>
      <c r="CC111" s="50"/>
      <c r="CD111" s="50"/>
      <c r="CE111" s="50"/>
      <c r="CF111" s="50"/>
      <c r="CG111" s="50"/>
      <c r="CH111" s="50"/>
      <c r="CI111" s="50"/>
      <c r="CJ111" s="50"/>
      <c r="CO111" s="43"/>
      <c r="CP111" s="43"/>
      <c r="CQ111" s="43"/>
    </row>
    <row r="112" spans="1:95" x14ac:dyDescent="0.25">
      <c r="A112" s="43"/>
      <c r="C112" s="42"/>
      <c r="I112" s="42"/>
      <c r="J112" s="42"/>
      <c r="K112" s="42"/>
      <c r="O112" s="43"/>
      <c r="Q112" s="43"/>
      <c r="R112" s="42"/>
      <c r="V112" s="43"/>
      <c r="AC112" s="43"/>
      <c r="AD112" s="43"/>
      <c r="AF112" s="42"/>
      <c r="AG112" s="42"/>
      <c r="AH112" s="42"/>
      <c r="AI112" s="42"/>
      <c r="AJ112" s="42"/>
      <c r="AK112" s="42"/>
      <c r="AL112" s="42"/>
      <c r="AM112" s="42"/>
      <c r="AN112" s="43"/>
      <c r="AO112" s="43"/>
      <c r="AP112" s="43"/>
      <c r="AQ112" s="43"/>
      <c r="AR112" s="43"/>
      <c r="AS112" s="43"/>
      <c r="AT112" s="43"/>
      <c r="AU112" s="43"/>
      <c r="AV112" s="43"/>
      <c r="AW112" s="46"/>
      <c r="AX112" s="46"/>
      <c r="AY112" s="46">
        <v>107</v>
      </c>
      <c r="AZ112" s="46">
        <f t="shared" si="103"/>
        <v>0</v>
      </c>
      <c r="BA112" s="46" t="b">
        <f t="shared" si="104"/>
        <v>0</v>
      </c>
      <c r="BB112" s="46">
        <v>107</v>
      </c>
      <c r="BC112" s="46">
        <v>105</v>
      </c>
      <c r="BD112" s="46" t="e">
        <f t="shared" si="93"/>
        <v>#N/A</v>
      </c>
      <c r="BE112" s="46" t="e">
        <f t="shared" ca="1" si="94"/>
        <v>#N/A</v>
      </c>
      <c r="BF112" s="46" t="e">
        <f t="shared" ca="1" si="105"/>
        <v>#N/A</v>
      </c>
      <c r="BG112" s="46" t="e">
        <f t="shared" ca="1" si="106"/>
        <v>#N/A</v>
      </c>
      <c r="BH112" s="46">
        <v>105</v>
      </c>
      <c r="BI112" s="46" t="e">
        <f t="shared" si="95"/>
        <v>#N/A</v>
      </c>
      <c r="BJ112" s="46" t="e">
        <f t="shared" ca="1" si="96"/>
        <v>#N/A</v>
      </c>
      <c r="BK112" s="46" t="e">
        <f t="shared" ca="1" si="107"/>
        <v>#N/A</v>
      </c>
      <c r="BL112" s="46" t="e">
        <f t="shared" ca="1" si="108"/>
        <v>#N/A</v>
      </c>
      <c r="BM112" s="46">
        <v>105</v>
      </c>
      <c r="BN112" s="46" t="e">
        <f t="shared" si="97"/>
        <v>#N/A</v>
      </c>
      <c r="BO112" s="46" t="e">
        <f t="shared" ca="1" si="98"/>
        <v>#N/A</v>
      </c>
      <c r="BP112" s="46" t="e">
        <f t="shared" ca="1" si="109"/>
        <v>#N/A</v>
      </c>
      <c r="BQ112" s="46" t="e">
        <f t="shared" ca="1" si="110"/>
        <v>#N/A</v>
      </c>
      <c r="BR112" s="46">
        <v>105</v>
      </c>
      <c r="BS112" s="46" t="e">
        <f t="shared" si="99"/>
        <v>#N/A</v>
      </c>
      <c r="BT112" s="46" t="e">
        <f t="shared" ca="1" si="100"/>
        <v>#N/A</v>
      </c>
      <c r="BU112" s="46" t="e">
        <f t="shared" ca="1" si="111"/>
        <v>#N/A</v>
      </c>
      <c r="BV112" s="46" t="e">
        <f t="shared" ca="1" si="112"/>
        <v>#N/A</v>
      </c>
      <c r="BW112" s="46">
        <v>105</v>
      </c>
      <c r="BX112" s="46" t="e">
        <f t="shared" si="101"/>
        <v>#N/A</v>
      </c>
      <c r="BY112" s="46" t="e">
        <f t="shared" ca="1" si="102"/>
        <v>#N/A</v>
      </c>
      <c r="BZ112" s="46" t="e">
        <f t="shared" ca="1" si="113"/>
        <v>#N/A</v>
      </c>
      <c r="CA112" s="46" t="e">
        <f t="shared" ca="1" si="114"/>
        <v>#N/A</v>
      </c>
      <c r="CC112" s="50"/>
      <c r="CD112" s="50"/>
      <c r="CE112" s="50"/>
      <c r="CF112" s="50"/>
      <c r="CG112" s="50"/>
      <c r="CH112" s="50"/>
      <c r="CI112" s="50"/>
      <c r="CJ112" s="50"/>
      <c r="CO112" s="43"/>
      <c r="CP112" s="43"/>
      <c r="CQ112" s="43"/>
    </row>
    <row r="113" spans="1:95" x14ac:dyDescent="0.25">
      <c r="A113" s="43"/>
      <c r="C113" s="42"/>
      <c r="I113" s="42"/>
      <c r="J113" s="42"/>
      <c r="K113" s="42"/>
      <c r="O113" s="43"/>
      <c r="Q113" s="43"/>
      <c r="R113" s="42"/>
      <c r="V113" s="43"/>
      <c r="AC113" s="43"/>
      <c r="AD113" s="43"/>
      <c r="AF113" s="42"/>
      <c r="AG113" s="42"/>
      <c r="AH113" s="42"/>
      <c r="AI113" s="42"/>
      <c r="AJ113" s="42"/>
      <c r="AK113" s="42"/>
      <c r="AL113" s="42"/>
      <c r="AM113" s="42"/>
      <c r="AN113" s="43"/>
      <c r="AO113" s="43"/>
      <c r="AP113" s="43"/>
      <c r="AQ113" s="43"/>
      <c r="AR113" s="43"/>
      <c r="AS113" s="43"/>
      <c r="AT113" s="43"/>
      <c r="AU113" s="43"/>
      <c r="AV113" s="43"/>
      <c r="AW113" s="46"/>
      <c r="AX113" s="46"/>
      <c r="AY113" s="46">
        <v>108</v>
      </c>
      <c r="AZ113" s="46">
        <f t="shared" si="103"/>
        <v>0</v>
      </c>
      <c r="BA113" s="46" t="b">
        <f t="shared" si="104"/>
        <v>0</v>
      </c>
      <c r="BB113" s="46">
        <v>108</v>
      </c>
      <c r="BC113" s="46">
        <v>106</v>
      </c>
      <c r="BD113" s="46" t="e">
        <f t="shared" si="93"/>
        <v>#N/A</v>
      </c>
      <c r="BE113" s="46" t="e">
        <f t="shared" ca="1" si="94"/>
        <v>#N/A</v>
      </c>
      <c r="BF113" s="46" t="e">
        <f t="shared" ca="1" si="105"/>
        <v>#N/A</v>
      </c>
      <c r="BG113" s="46" t="e">
        <f t="shared" ca="1" si="106"/>
        <v>#N/A</v>
      </c>
      <c r="BH113" s="46">
        <v>106</v>
      </c>
      <c r="BI113" s="46" t="e">
        <f t="shared" si="95"/>
        <v>#N/A</v>
      </c>
      <c r="BJ113" s="46" t="e">
        <f t="shared" ca="1" si="96"/>
        <v>#N/A</v>
      </c>
      <c r="BK113" s="46" t="e">
        <f t="shared" ca="1" si="107"/>
        <v>#N/A</v>
      </c>
      <c r="BL113" s="46" t="e">
        <f t="shared" ca="1" si="108"/>
        <v>#N/A</v>
      </c>
      <c r="BM113" s="46">
        <v>106</v>
      </c>
      <c r="BN113" s="46" t="e">
        <f t="shared" si="97"/>
        <v>#N/A</v>
      </c>
      <c r="BO113" s="46" t="e">
        <f t="shared" ca="1" si="98"/>
        <v>#N/A</v>
      </c>
      <c r="BP113" s="46" t="e">
        <f t="shared" ca="1" si="109"/>
        <v>#N/A</v>
      </c>
      <c r="BQ113" s="46" t="e">
        <f t="shared" ca="1" si="110"/>
        <v>#N/A</v>
      </c>
      <c r="BR113" s="46">
        <v>106</v>
      </c>
      <c r="BS113" s="46" t="e">
        <f t="shared" si="99"/>
        <v>#N/A</v>
      </c>
      <c r="BT113" s="46" t="e">
        <f t="shared" ca="1" si="100"/>
        <v>#N/A</v>
      </c>
      <c r="BU113" s="46" t="e">
        <f t="shared" ca="1" si="111"/>
        <v>#N/A</v>
      </c>
      <c r="BV113" s="46" t="e">
        <f t="shared" ca="1" si="112"/>
        <v>#N/A</v>
      </c>
      <c r="BW113" s="46">
        <v>106</v>
      </c>
      <c r="BX113" s="46" t="e">
        <f t="shared" si="101"/>
        <v>#N/A</v>
      </c>
      <c r="BY113" s="46" t="e">
        <f t="shared" ca="1" si="102"/>
        <v>#N/A</v>
      </c>
      <c r="BZ113" s="46" t="e">
        <f t="shared" ca="1" si="113"/>
        <v>#N/A</v>
      </c>
      <c r="CA113" s="46" t="e">
        <f t="shared" ca="1" si="114"/>
        <v>#N/A</v>
      </c>
      <c r="CC113" s="50"/>
      <c r="CD113" s="50"/>
      <c r="CE113" s="50"/>
      <c r="CF113" s="50"/>
      <c r="CG113" s="50"/>
      <c r="CH113" s="50"/>
      <c r="CI113" s="50"/>
      <c r="CJ113" s="50"/>
      <c r="CO113" s="43"/>
      <c r="CP113" s="43"/>
      <c r="CQ113" s="43"/>
    </row>
    <row r="114" spans="1:95" x14ac:dyDescent="0.25">
      <c r="A114" s="43"/>
      <c r="C114" s="42"/>
      <c r="I114" s="42"/>
      <c r="J114" s="42"/>
      <c r="K114" s="42"/>
      <c r="O114" s="43"/>
      <c r="Q114" s="43"/>
      <c r="R114" s="42"/>
      <c r="V114" s="43"/>
      <c r="AC114" s="43"/>
      <c r="AD114" s="43"/>
      <c r="AF114" s="42"/>
      <c r="AG114" s="42"/>
      <c r="AH114" s="42"/>
      <c r="AI114" s="42"/>
      <c r="AJ114" s="42"/>
      <c r="AK114" s="42"/>
      <c r="AL114" s="42"/>
      <c r="AM114" s="42"/>
      <c r="AN114" s="43"/>
      <c r="AO114" s="43"/>
      <c r="AP114" s="43"/>
      <c r="AQ114" s="43"/>
      <c r="AR114" s="43"/>
      <c r="AS114" s="43"/>
      <c r="AT114" s="43"/>
      <c r="AU114" s="43"/>
      <c r="AV114" s="43"/>
      <c r="AW114" s="46"/>
      <c r="AX114" s="46"/>
      <c r="AY114" s="46">
        <v>109</v>
      </c>
      <c r="AZ114" s="46">
        <f t="shared" si="103"/>
        <v>0</v>
      </c>
      <c r="BA114" s="46" t="b">
        <f t="shared" si="104"/>
        <v>0</v>
      </c>
      <c r="BB114" s="46">
        <v>109</v>
      </c>
      <c r="BC114" s="46">
        <v>107</v>
      </c>
      <c r="BD114" s="46" t="e">
        <f t="shared" si="93"/>
        <v>#N/A</v>
      </c>
      <c r="BE114" s="46" t="e">
        <f t="shared" ca="1" si="94"/>
        <v>#N/A</v>
      </c>
      <c r="BF114" s="46" t="e">
        <f t="shared" ca="1" si="105"/>
        <v>#N/A</v>
      </c>
      <c r="BG114" s="46" t="e">
        <f t="shared" ca="1" si="106"/>
        <v>#N/A</v>
      </c>
      <c r="BH114" s="46">
        <v>107</v>
      </c>
      <c r="BI114" s="46" t="e">
        <f t="shared" si="95"/>
        <v>#N/A</v>
      </c>
      <c r="BJ114" s="46" t="e">
        <f t="shared" ca="1" si="96"/>
        <v>#N/A</v>
      </c>
      <c r="BK114" s="46" t="e">
        <f t="shared" ca="1" si="107"/>
        <v>#N/A</v>
      </c>
      <c r="BL114" s="46" t="e">
        <f t="shared" ca="1" si="108"/>
        <v>#N/A</v>
      </c>
      <c r="BM114" s="46">
        <v>107</v>
      </c>
      <c r="BN114" s="46" t="e">
        <f t="shared" si="97"/>
        <v>#N/A</v>
      </c>
      <c r="BO114" s="46" t="e">
        <f t="shared" ca="1" si="98"/>
        <v>#N/A</v>
      </c>
      <c r="BP114" s="46" t="e">
        <f t="shared" ca="1" si="109"/>
        <v>#N/A</v>
      </c>
      <c r="BQ114" s="46" t="e">
        <f t="shared" ca="1" si="110"/>
        <v>#N/A</v>
      </c>
      <c r="BR114" s="46">
        <v>107</v>
      </c>
      <c r="BS114" s="46" t="e">
        <f t="shared" si="99"/>
        <v>#N/A</v>
      </c>
      <c r="BT114" s="46" t="e">
        <f t="shared" ca="1" si="100"/>
        <v>#N/A</v>
      </c>
      <c r="BU114" s="46" t="e">
        <f t="shared" ca="1" si="111"/>
        <v>#N/A</v>
      </c>
      <c r="BV114" s="46" t="e">
        <f t="shared" ca="1" si="112"/>
        <v>#N/A</v>
      </c>
      <c r="BW114" s="46">
        <v>107</v>
      </c>
      <c r="BX114" s="46" t="e">
        <f t="shared" si="101"/>
        <v>#N/A</v>
      </c>
      <c r="BY114" s="46" t="e">
        <f t="shared" ca="1" si="102"/>
        <v>#N/A</v>
      </c>
      <c r="BZ114" s="46" t="e">
        <f t="shared" ca="1" si="113"/>
        <v>#N/A</v>
      </c>
      <c r="CA114" s="46" t="e">
        <f t="shared" ca="1" si="114"/>
        <v>#N/A</v>
      </c>
      <c r="CC114" s="50"/>
      <c r="CD114" s="50"/>
      <c r="CE114" s="50"/>
      <c r="CF114" s="50"/>
      <c r="CG114" s="50"/>
      <c r="CH114" s="50"/>
      <c r="CI114" s="50"/>
      <c r="CJ114" s="50"/>
      <c r="CO114" s="43"/>
      <c r="CP114" s="43"/>
      <c r="CQ114" s="43"/>
    </row>
    <row r="115" spans="1:95" x14ac:dyDescent="0.25">
      <c r="A115" s="43"/>
      <c r="C115" s="42"/>
      <c r="I115" s="42"/>
      <c r="J115" s="42"/>
      <c r="K115" s="42"/>
      <c r="O115" s="43"/>
      <c r="Q115" s="43"/>
      <c r="R115" s="42"/>
      <c r="V115" s="43"/>
      <c r="AC115" s="43"/>
      <c r="AD115" s="43"/>
      <c r="AF115" s="42"/>
      <c r="AG115" s="42"/>
      <c r="AH115" s="42"/>
      <c r="AI115" s="42"/>
      <c r="AJ115" s="42"/>
      <c r="AK115" s="42"/>
      <c r="AL115" s="42"/>
      <c r="AM115" s="42"/>
      <c r="AN115" s="43"/>
      <c r="AO115" s="43"/>
      <c r="AP115" s="43"/>
      <c r="AQ115" s="43"/>
      <c r="AR115" s="43"/>
      <c r="AS115" s="43"/>
      <c r="AT115" s="43"/>
      <c r="AU115" s="43"/>
      <c r="AV115" s="43"/>
      <c r="AW115" s="46"/>
      <c r="AX115" s="46"/>
      <c r="AY115" s="46">
        <v>110</v>
      </c>
      <c r="AZ115" s="46">
        <f t="shared" si="103"/>
        <v>0</v>
      </c>
      <c r="BA115" s="46" t="b">
        <f t="shared" si="104"/>
        <v>0</v>
      </c>
      <c r="BB115" s="46">
        <v>110</v>
      </c>
      <c r="BC115" s="46">
        <v>108</v>
      </c>
      <c r="BD115" s="46" t="e">
        <f t="shared" si="93"/>
        <v>#N/A</v>
      </c>
      <c r="BE115" s="46" t="e">
        <f t="shared" ca="1" si="94"/>
        <v>#N/A</v>
      </c>
      <c r="BF115" s="46" t="e">
        <f t="shared" ca="1" si="105"/>
        <v>#N/A</v>
      </c>
      <c r="BG115" s="46" t="e">
        <f t="shared" ca="1" si="106"/>
        <v>#N/A</v>
      </c>
      <c r="BH115" s="46">
        <v>108</v>
      </c>
      <c r="BI115" s="46" t="e">
        <f t="shared" si="95"/>
        <v>#N/A</v>
      </c>
      <c r="BJ115" s="46" t="e">
        <f t="shared" ca="1" si="96"/>
        <v>#N/A</v>
      </c>
      <c r="BK115" s="46" t="e">
        <f t="shared" ca="1" si="107"/>
        <v>#N/A</v>
      </c>
      <c r="BL115" s="46" t="e">
        <f t="shared" ca="1" si="108"/>
        <v>#N/A</v>
      </c>
      <c r="BM115" s="46">
        <v>108</v>
      </c>
      <c r="BN115" s="46" t="e">
        <f t="shared" si="97"/>
        <v>#N/A</v>
      </c>
      <c r="BO115" s="46" t="e">
        <f t="shared" ca="1" si="98"/>
        <v>#N/A</v>
      </c>
      <c r="BP115" s="46" t="e">
        <f t="shared" ca="1" si="109"/>
        <v>#N/A</v>
      </c>
      <c r="BQ115" s="46" t="e">
        <f t="shared" ca="1" si="110"/>
        <v>#N/A</v>
      </c>
      <c r="BR115" s="46">
        <v>108</v>
      </c>
      <c r="BS115" s="46" t="e">
        <f t="shared" si="99"/>
        <v>#N/A</v>
      </c>
      <c r="BT115" s="46" t="e">
        <f t="shared" ca="1" si="100"/>
        <v>#N/A</v>
      </c>
      <c r="BU115" s="46" t="e">
        <f t="shared" ca="1" si="111"/>
        <v>#N/A</v>
      </c>
      <c r="BV115" s="46" t="e">
        <f t="shared" ca="1" si="112"/>
        <v>#N/A</v>
      </c>
      <c r="BW115" s="46">
        <v>108</v>
      </c>
      <c r="BX115" s="46" t="e">
        <f t="shared" si="101"/>
        <v>#N/A</v>
      </c>
      <c r="BY115" s="46" t="e">
        <f t="shared" ca="1" si="102"/>
        <v>#N/A</v>
      </c>
      <c r="BZ115" s="46" t="e">
        <f t="shared" ca="1" si="113"/>
        <v>#N/A</v>
      </c>
      <c r="CA115" s="46" t="e">
        <f t="shared" ca="1" si="114"/>
        <v>#N/A</v>
      </c>
      <c r="CC115" s="50"/>
      <c r="CD115" s="50"/>
      <c r="CE115" s="50"/>
      <c r="CF115" s="50"/>
      <c r="CG115" s="50"/>
      <c r="CH115" s="50"/>
      <c r="CI115" s="50"/>
      <c r="CJ115" s="50"/>
      <c r="CO115" s="43"/>
      <c r="CP115" s="43"/>
      <c r="CQ115" s="43"/>
    </row>
    <row r="116" spans="1:95" x14ac:dyDescent="0.25">
      <c r="A116" s="43"/>
      <c r="C116" s="42"/>
      <c r="I116" s="42"/>
      <c r="J116" s="42"/>
      <c r="K116" s="42"/>
      <c r="O116" s="43"/>
      <c r="Q116" s="43"/>
      <c r="R116" s="42"/>
      <c r="V116" s="43"/>
      <c r="AC116" s="43"/>
      <c r="AD116" s="43"/>
      <c r="AF116" s="42"/>
      <c r="AG116" s="42"/>
      <c r="AH116" s="42"/>
      <c r="AI116" s="42"/>
      <c r="AJ116" s="42"/>
      <c r="AK116" s="42"/>
      <c r="AL116" s="42"/>
      <c r="AM116" s="42"/>
      <c r="AN116" s="43"/>
      <c r="AO116" s="43"/>
      <c r="AP116" s="43"/>
      <c r="AQ116" s="43"/>
      <c r="AR116" s="43"/>
      <c r="AS116" s="43"/>
      <c r="AT116" s="43"/>
      <c r="AU116" s="43"/>
      <c r="AV116" s="43"/>
      <c r="AW116" s="46"/>
      <c r="AX116" s="46"/>
      <c r="AY116" s="46">
        <v>111</v>
      </c>
      <c r="AZ116" s="46">
        <f t="shared" si="103"/>
        <v>0</v>
      </c>
      <c r="BA116" s="46" t="b">
        <f t="shared" si="104"/>
        <v>0</v>
      </c>
      <c r="BB116" s="46">
        <v>111</v>
      </c>
      <c r="BC116" s="46">
        <v>109</v>
      </c>
      <c r="BD116" s="46" t="e">
        <f t="shared" si="93"/>
        <v>#N/A</v>
      </c>
      <c r="BE116" s="46" t="e">
        <f t="shared" ca="1" si="94"/>
        <v>#N/A</v>
      </c>
      <c r="BF116" s="46" t="e">
        <f t="shared" ca="1" si="105"/>
        <v>#N/A</v>
      </c>
      <c r="BG116" s="46" t="e">
        <f t="shared" ca="1" si="106"/>
        <v>#N/A</v>
      </c>
      <c r="BH116" s="46">
        <v>109</v>
      </c>
      <c r="BI116" s="46" t="e">
        <f t="shared" si="95"/>
        <v>#N/A</v>
      </c>
      <c r="BJ116" s="46" t="e">
        <f t="shared" ca="1" si="96"/>
        <v>#N/A</v>
      </c>
      <c r="BK116" s="46" t="e">
        <f t="shared" ca="1" si="107"/>
        <v>#N/A</v>
      </c>
      <c r="BL116" s="46" t="e">
        <f t="shared" ca="1" si="108"/>
        <v>#N/A</v>
      </c>
      <c r="BM116" s="46">
        <v>109</v>
      </c>
      <c r="BN116" s="46" t="e">
        <f t="shared" si="97"/>
        <v>#N/A</v>
      </c>
      <c r="BO116" s="46" t="e">
        <f t="shared" ca="1" si="98"/>
        <v>#N/A</v>
      </c>
      <c r="BP116" s="46" t="e">
        <f t="shared" ca="1" si="109"/>
        <v>#N/A</v>
      </c>
      <c r="BQ116" s="46" t="e">
        <f t="shared" ca="1" si="110"/>
        <v>#N/A</v>
      </c>
      <c r="BR116" s="46">
        <v>109</v>
      </c>
      <c r="BS116" s="46" t="e">
        <f t="shared" si="99"/>
        <v>#N/A</v>
      </c>
      <c r="BT116" s="46" t="e">
        <f t="shared" ca="1" si="100"/>
        <v>#N/A</v>
      </c>
      <c r="BU116" s="46" t="e">
        <f t="shared" ca="1" si="111"/>
        <v>#N/A</v>
      </c>
      <c r="BV116" s="46" t="e">
        <f t="shared" ca="1" si="112"/>
        <v>#N/A</v>
      </c>
      <c r="BW116" s="46">
        <v>109</v>
      </c>
      <c r="BX116" s="46" t="e">
        <f t="shared" si="101"/>
        <v>#N/A</v>
      </c>
      <c r="BY116" s="46" t="e">
        <f t="shared" ca="1" si="102"/>
        <v>#N/A</v>
      </c>
      <c r="BZ116" s="46" t="e">
        <f t="shared" ca="1" si="113"/>
        <v>#N/A</v>
      </c>
      <c r="CA116" s="46" t="e">
        <f t="shared" ca="1" si="114"/>
        <v>#N/A</v>
      </c>
      <c r="CC116" s="50"/>
      <c r="CD116" s="50"/>
      <c r="CE116" s="50"/>
      <c r="CF116" s="50"/>
      <c r="CG116" s="50"/>
      <c r="CH116" s="50"/>
      <c r="CI116" s="50"/>
      <c r="CJ116" s="50"/>
      <c r="CO116" s="43"/>
      <c r="CP116" s="43"/>
      <c r="CQ116" s="43"/>
    </row>
    <row r="117" spans="1:95" x14ac:dyDescent="0.25">
      <c r="A117" s="43"/>
      <c r="C117" s="42"/>
      <c r="I117" s="42"/>
      <c r="J117" s="42"/>
      <c r="K117" s="42"/>
      <c r="O117" s="43"/>
      <c r="Q117" s="43"/>
      <c r="R117" s="42"/>
      <c r="V117" s="43"/>
      <c r="AC117" s="43"/>
      <c r="AD117" s="43"/>
      <c r="AF117" s="42"/>
      <c r="AG117" s="42"/>
      <c r="AH117" s="42"/>
      <c r="AI117" s="42"/>
      <c r="AJ117" s="42"/>
      <c r="AK117" s="42"/>
      <c r="AL117" s="42"/>
      <c r="AM117" s="42"/>
      <c r="AN117" s="43"/>
      <c r="AO117" s="43"/>
      <c r="AP117" s="43"/>
      <c r="AQ117" s="43"/>
      <c r="AR117" s="43"/>
      <c r="AS117" s="43"/>
      <c r="AT117" s="43"/>
      <c r="AU117" s="43"/>
      <c r="AV117" s="43"/>
      <c r="AW117" s="46"/>
      <c r="AX117" s="46"/>
      <c r="AY117" s="46">
        <v>112</v>
      </c>
      <c r="AZ117" s="46">
        <f t="shared" si="103"/>
        <v>0</v>
      </c>
      <c r="BA117" s="46" t="b">
        <f t="shared" si="104"/>
        <v>0</v>
      </c>
      <c r="BB117" s="46">
        <v>112</v>
      </c>
      <c r="BC117" s="46">
        <v>110</v>
      </c>
      <c r="BD117" s="46" t="e">
        <f t="shared" si="93"/>
        <v>#N/A</v>
      </c>
      <c r="BE117" s="46" t="e">
        <f t="shared" ca="1" si="94"/>
        <v>#N/A</v>
      </c>
      <c r="BF117" s="46" t="e">
        <f t="shared" ca="1" si="105"/>
        <v>#N/A</v>
      </c>
      <c r="BG117" s="46" t="e">
        <f t="shared" ca="1" si="106"/>
        <v>#N/A</v>
      </c>
      <c r="BH117" s="46">
        <v>110</v>
      </c>
      <c r="BI117" s="46" t="e">
        <f t="shared" si="95"/>
        <v>#N/A</v>
      </c>
      <c r="BJ117" s="46" t="e">
        <f t="shared" ca="1" si="96"/>
        <v>#N/A</v>
      </c>
      <c r="BK117" s="46" t="e">
        <f t="shared" ca="1" si="107"/>
        <v>#N/A</v>
      </c>
      <c r="BL117" s="46" t="e">
        <f t="shared" ca="1" si="108"/>
        <v>#N/A</v>
      </c>
      <c r="BM117" s="46">
        <v>110</v>
      </c>
      <c r="BN117" s="46" t="e">
        <f t="shared" si="97"/>
        <v>#N/A</v>
      </c>
      <c r="BO117" s="46" t="e">
        <f t="shared" ca="1" si="98"/>
        <v>#N/A</v>
      </c>
      <c r="BP117" s="46" t="e">
        <f t="shared" ca="1" si="109"/>
        <v>#N/A</v>
      </c>
      <c r="BQ117" s="46" t="e">
        <f t="shared" ca="1" si="110"/>
        <v>#N/A</v>
      </c>
      <c r="BR117" s="46">
        <v>110</v>
      </c>
      <c r="BS117" s="46" t="e">
        <f t="shared" si="99"/>
        <v>#N/A</v>
      </c>
      <c r="BT117" s="46" t="e">
        <f t="shared" ca="1" si="100"/>
        <v>#N/A</v>
      </c>
      <c r="BU117" s="46" t="e">
        <f t="shared" ca="1" si="111"/>
        <v>#N/A</v>
      </c>
      <c r="BV117" s="46" t="e">
        <f t="shared" ca="1" si="112"/>
        <v>#N/A</v>
      </c>
      <c r="BW117" s="46">
        <v>110</v>
      </c>
      <c r="BX117" s="46" t="e">
        <f t="shared" si="101"/>
        <v>#N/A</v>
      </c>
      <c r="BY117" s="46" t="e">
        <f t="shared" ca="1" si="102"/>
        <v>#N/A</v>
      </c>
      <c r="BZ117" s="46" t="e">
        <f t="shared" ca="1" si="113"/>
        <v>#N/A</v>
      </c>
      <c r="CA117" s="46" t="e">
        <f t="shared" ca="1" si="114"/>
        <v>#N/A</v>
      </c>
      <c r="CC117" s="50"/>
      <c r="CD117" s="50"/>
      <c r="CE117" s="50"/>
      <c r="CF117" s="50"/>
      <c r="CG117" s="50"/>
      <c r="CH117" s="50"/>
      <c r="CI117" s="50"/>
      <c r="CJ117" s="50"/>
      <c r="CO117" s="43"/>
      <c r="CP117" s="43"/>
      <c r="CQ117" s="43"/>
    </row>
    <row r="118" spans="1:95" x14ac:dyDescent="0.25">
      <c r="A118" s="43"/>
      <c r="C118" s="42"/>
      <c r="I118" s="42"/>
      <c r="J118" s="42"/>
      <c r="K118" s="42"/>
      <c r="O118" s="43"/>
      <c r="Q118" s="43"/>
      <c r="R118" s="42"/>
      <c r="V118" s="43"/>
      <c r="AC118" s="43"/>
      <c r="AD118" s="43"/>
      <c r="AF118" s="42"/>
      <c r="AG118" s="42"/>
      <c r="AH118" s="42"/>
      <c r="AI118" s="42"/>
      <c r="AJ118" s="42"/>
      <c r="AK118" s="42"/>
      <c r="AL118" s="42"/>
      <c r="AM118" s="42"/>
      <c r="AN118" s="43"/>
      <c r="AO118" s="43"/>
      <c r="AP118" s="43"/>
      <c r="AQ118" s="43"/>
      <c r="AR118" s="43"/>
      <c r="AS118" s="43"/>
      <c r="AT118" s="43"/>
      <c r="AU118" s="43"/>
      <c r="AV118" s="43"/>
      <c r="AW118" s="46"/>
      <c r="AX118" s="46"/>
      <c r="AY118" s="46">
        <v>113</v>
      </c>
      <c r="AZ118" s="46">
        <f t="shared" si="103"/>
        <v>0</v>
      </c>
      <c r="BA118" s="46" t="b">
        <f t="shared" si="104"/>
        <v>0</v>
      </c>
      <c r="BB118" s="46">
        <v>113</v>
      </c>
      <c r="BC118" s="46">
        <v>111</v>
      </c>
      <c r="BD118" s="46" t="e">
        <f t="shared" si="93"/>
        <v>#N/A</v>
      </c>
      <c r="BE118" s="46" t="e">
        <f t="shared" ca="1" si="94"/>
        <v>#N/A</v>
      </c>
      <c r="BF118" s="46" t="e">
        <f t="shared" ca="1" si="105"/>
        <v>#N/A</v>
      </c>
      <c r="BG118" s="46" t="e">
        <f t="shared" ca="1" si="106"/>
        <v>#N/A</v>
      </c>
      <c r="BH118" s="46">
        <v>111</v>
      </c>
      <c r="BI118" s="46" t="e">
        <f t="shared" si="95"/>
        <v>#N/A</v>
      </c>
      <c r="BJ118" s="46" t="e">
        <f t="shared" ca="1" si="96"/>
        <v>#N/A</v>
      </c>
      <c r="BK118" s="46" t="e">
        <f t="shared" ca="1" si="107"/>
        <v>#N/A</v>
      </c>
      <c r="BL118" s="46" t="e">
        <f t="shared" ca="1" si="108"/>
        <v>#N/A</v>
      </c>
      <c r="BM118" s="46">
        <v>111</v>
      </c>
      <c r="BN118" s="46" t="e">
        <f t="shared" si="97"/>
        <v>#N/A</v>
      </c>
      <c r="BO118" s="46" t="e">
        <f t="shared" ca="1" si="98"/>
        <v>#N/A</v>
      </c>
      <c r="BP118" s="46" t="e">
        <f t="shared" ca="1" si="109"/>
        <v>#N/A</v>
      </c>
      <c r="BQ118" s="46" t="e">
        <f t="shared" ca="1" si="110"/>
        <v>#N/A</v>
      </c>
      <c r="BR118" s="46">
        <v>111</v>
      </c>
      <c r="BS118" s="46" t="e">
        <f t="shared" si="99"/>
        <v>#N/A</v>
      </c>
      <c r="BT118" s="46" t="e">
        <f t="shared" ca="1" si="100"/>
        <v>#N/A</v>
      </c>
      <c r="BU118" s="46" t="e">
        <f t="shared" ca="1" si="111"/>
        <v>#N/A</v>
      </c>
      <c r="BV118" s="46" t="e">
        <f t="shared" ca="1" si="112"/>
        <v>#N/A</v>
      </c>
      <c r="BW118" s="46">
        <v>111</v>
      </c>
      <c r="BX118" s="46" t="e">
        <f t="shared" si="101"/>
        <v>#N/A</v>
      </c>
      <c r="BY118" s="46" t="e">
        <f t="shared" ca="1" si="102"/>
        <v>#N/A</v>
      </c>
      <c r="BZ118" s="46" t="e">
        <f t="shared" ca="1" si="113"/>
        <v>#N/A</v>
      </c>
      <c r="CA118" s="46" t="e">
        <f t="shared" ca="1" si="114"/>
        <v>#N/A</v>
      </c>
      <c r="CC118" s="50"/>
      <c r="CD118" s="50"/>
      <c r="CE118" s="50"/>
      <c r="CF118" s="50"/>
      <c r="CG118" s="50"/>
      <c r="CH118" s="50"/>
      <c r="CI118" s="50"/>
      <c r="CJ118" s="50"/>
      <c r="CO118" s="43"/>
      <c r="CP118" s="43"/>
      <c r="CQ118" s="43"/>
    </row>
    <row r="119" spans="1:95" x14ac:dyDescent="0.25">
      <c r="A119" s="43"/>
      <c r="C119" s="42"/>
      <c r="I119" s="42"/>
      <c r="J119" s="42"/>
      <c r="K119" s="42"/>
      <c r="O119" s="43"/>
      <c r="Q119" s="43"/>
      <c r="R119" s="42"/>
      <c r="V119" s="43"/>
      <c r="AC119" s="43"/>
      <c r="AD119" s="43"/>
      <c r="AF119" s="42"/>
      <c r="AG119" s="42"/>
      <c r="AH119" s="42"/>
      <c r="AI119" s="42"/>
      <c r="AJ119" s="42"/>
      <c r="AK119" s="42"/>
      <c r="AL119" s="42"/>
      <c r="AM119" s="42"/>
      <c r="AN119" s="43"/>
      <c r="AO119" s="43"/>
      <c r="AP119" s="43"/>
      <c r="AQ119" s="43"/>
      <c r="AR119" s="43"/>
      <c r="AS119" s="43"/>
      <c r="AT119" s="43"/>
      <c r="AU119" s="43"/>
      <c r="AV119" s="43"/>
      <c r="AW119" s="46"/>
      <c r="AX119" s="46"/>
      <c r="AY119" s="46">
        <v>114</v>
      </c>
      <c r="AZ119" s="46">
        <f t="shared" si="103"/>
        <v>0</v>
      </c>
      <c r="BA119" s="46" t="b">
        <f t="shared" si="104"/>
        <v>0</v>
      </c>
      <c r="BB119" s="46">
        <v>114</v>
      </c>
      <c r="BC119" s="46">
        <v>112</v>
      </c>
      <c r="BD119" s="46" t="e">
        <f t="shared" si="93"/>
        <v>#N/A</v>
      </c>
      <c r="BE119" s="46" t="e">
        <f t="shared" ca="1" si="94"/>
        <v>#N/A</v>
      </c>
      <c r="BF119" s="46" t="e">
        <f t="shared" ca="1" si="105"/>
        <v>#N/A</v>
      </c>
      <c r="BG119" s="46" t="e">
        <f t="shared" ca="1" si="106"/>
        <v>#N/A</v>
      </c>
      <c r="BH119" s="46">
        <v>112</v>
      </c>
      <c r="BI119" s="46" t="e">
        <f t="shared" si="95"/>
        <v>#N/A</v>
      </c>
      <c r="BJ119" s="46" t="e">
        <f t="shared" ca="1" si="96"/>
        <v>#N/A</v>
      </c>
      <c r="BK119" s="46" t="e">
        <f t="shared" ca="1" si="107"/>
        <v>#N/A</v>
      </c>
      <c r="BL119" s="46" t="e">
        <f t="shared" ca="1" si="108"/>
        <v>#N/A</v>
      </c>
      <c r="BM119" s="46">
        <v>112</v>
      </c>
      <c r="BN119" s="46" t="e">
        <f t="shared" si="97"/>
        <v>#N/A</v>
      </c>
      <c r="BO119" s="46" t="e">
        <f t="shared" ca="1" si="98"/>
        <v>#N/A</v>
      </c>
      <c r="BP119" s="46" t="e">
        <f t="shared" ca="1" si="109"/>
        <v>#N/A</v>
      </c>
      <c r="BQ119" s="46" t="e">
        <f t="shared" ca="1" si="110"/>
        <v>#N/A</v>
      </c>
      <c r="BR119" s="46">
        <v>112</v>
      </c>
      <c r="BS119" s="46" t="e">
        <f t="shared" si="99"/>
        <v>#N/A</v>
      </c>
      <c r="BT119" s="46" t="e">
        <f t="shared" ca="1" si="100"/>
        <v>#N/A</v>
      </c>
      <c r="BU119" s="46" t="e">
        <f t="shared" ca="1" si="111"/>
        <v>#N/A</v>
      </c>
      <c r="BV119" s="46" t="e">
        <f t="shared" ca="1" si="112"/>
        <v>#N/A</v>
      </c>
      <c r="BW119" s="46">
        <v>112</v>
      </c>
      <c r="BX119" s="46" t="e">
        <f t="shared" si="101"/>
        <v>#N/A</v>
      </c>
      <c r="BY119" s="46" t="e">
        <f t="shared" ca="1" si="102"/>
        <v>#N/A</v>
      </c>
      <c r="BZ119" s="46" t="e">
        <f t="shared" ca="1" si="113"/>
        <v>#N/A</v>
      </c>
      <c r="CA119" s="46" t="e">
        <f t="shared" ca="1" si="114"/>
        <v>#N/A</v>
      </c>
      <c r="CC119" s="50"/>
      <c r="CD119" s="50"/>
      <c r="CE119" s="50"/>
      <c r="CF119" s="50"/>
      <c r="CG119" s="50"/>
      <c r="CH119" s="50"/>
      <c r="CI119" s="50"/>
      <c r="CJ119" s="50"/>
      <c r="CO119" s="43"/>
      <c r="CP119" s="43"/>
      <c r="CQ119" s="43"/>
    </row>
    <row r="120" spans="1:95" x14ac:dyDescent="0.25">
      <c r="A120" s="43"/>
      <c r="C120" s="42"/>
      <c r="I120" s="42"/>
      <c r="J120" s="42"/>
      <c r="K120" s="42"/>
      <c r="O120" s="43"/>
      <c r="Q120" s="43"/>
      <c r="R120" s="42"/>
      <c r="V120" s="43"/>
      <c r="AC120" s="43"/>
      <c r="AD120" s="43"/>
      <c r="AF120" s="42"/>
      <c r="AG120" s="42"/>
      <c r="AH120" s="42"/>
      <c r="AI120" s="42"/>
      <c r="AJ120" s="42"/>
      <c r="AK120" s="42"/>
      <c r="AL120" s="42"/>
      <c r="AM120" s="42"/>
      <c r="AN120" s="43"/>
      <c r="AO120" s="43"/>
      <c r="AP120" s="43"/>
      <c r="AQ120" s="43"/>
      <c r="AR120" s="43"/>
      <c r="AS120" s="43"/>
      <c r="AT120" s="43"/>
      <c r="AU120" s="43"/>
      <c r="AV120" s="43"/>
      <c r="AW120" s="46"/>
      <c r="AX120" s="46"/>
      <c r="AY120" s="46">
        <v>115</v>
      </c>
      <c r="AZ120" s="46">
        <f t="shared" si="103"/>
        <v>0</v>
      </c>
      <c r="BA120" s="46" t="b">
        <f t="shared" si="104"/>
        <v>0</v>
      </c>
      <c r="BB120" s="46">
        <v>115</v>
      </c>
      <c r="BC120" s="46">
        <v>113</v>
      </c>
      <c r="BD120" s="46" t="e">
        <f t="shared" si="93"/>
        <v>#N/A</v>
      </c>
      <c r="BE120" s="46" t="e">
        <f t="shared" ca="1" si="94"/>
        <v>#N/A</v>
      </c>
      <c r="BF120" s="46" t="e">
        <f t="shared" ca="1" si="105"/>
        <v>#N/A</v>
      </c>
      <c r="BG120" s="46" t="e">
        <f t="shared" ca="1" si="106"/>
        <v>#N/A</v>
      </c>
      <c r="BH120" s="46">
        <v>113</v>
      </c>
      <c r="BI120" s="46" t="e">
        <f t="shared" si="95"/>
        <v>#N/A</v>
      </c>
      <c r="BJ120" s="46" t="e">
        <f t="shared" ca="1" si="96"/>
        <v>#N/A</v>
      </c>
      <c r="BK120" s="46" t="e">
        <f t="shared" ca="1" si="107"/>
        <v>#N/A</v>
      </c>
      <c r="BL120" s="46" t="e">
        <f t="shared" ca="1" si="108"/>
        <v>#N/A</v>
      </c>
      <c r="BM120" s="46">
        <v>113</v>
      </c>
      <c r="BN120" s="46" t="e">
        <f t="shared" si="97"/>
        <v>#N/A</v>
      </c>
      <c r="BO120" s="46" t="e">
        <f t="shared" ca="1" si="98"/>
        <v>#N/A</v>
      </c>
      <c r="BP120" s="46" t="e">
        <f t="shared" ca="1" si="109"/>
        <v>#N/A</v>
      </c>
      <c r="BQ120" s="46" t="e">
        <f t="shared" ca="1" si="110"/>
        <v>#N/A</v>
      </c>
      <c r="BR120" s="46">
        <v>113</v>
      </c>
      <c r="BS120" s="46" t="e">
        <f t="shared" si="99"/>
        <v>#N/A</v>
      </c>
      <c r="BT120" s="46" t="e">
        <f t="shared" ca="1" si="100"/>
        <v>#N/A</v>
      </c>
      <c r="BU120" s="46" t="e">
        <f t="shared" ca="1" si="111"/>
        <v>#N/A</v>
      </c>
      <c r="BV120" s="46" t="e">
        <f t="shared" ca="1" si="112"/>
        <v>#N/A</v>
      </c>
      <c r="BW120" s="46">
        <v>113</v>
      </c>
      <c r="BX120" s="46" t="e">
        <f t="shared" si="101"/>
        <v>#N/A</v>
      </c>
      <c r="BY120" s="46" t="e">
        <f t="shared" ca="1" si="102"/>
        <v>#N/A</v>
      </c>
      <c r="BZ120" s="46" t="e">
        <f t="shared" ca="1" si="113"/>
        <v>#N/A</v>
      </c>
      <c r="CA120" s="46" t="e">
        <f t="shared" ca="1" si="114"/>
        <v>#N/A</v>
      </c>
      <c r="CC120" s="50"/>
      <c r="CD120" s="50"/>
      <c r="CE120" s="50"/>
      <c r="CF120" s="50"/>
      <c r="CG120" s="50"/>
      <c r="CH120" s="50"/>
      <c r="CI120" s="50"/>
      <c r="CJ120" s="50"/>
      <c r="CO120" s="43"/>
      <c r="CP120" s="43"/>
      <c r="CQ120" s="43"/>
    </row>
    <row r="121" spans="1:95" x14ac:dyDescent="0.25">
      <c r="A121" s="43"/>
      <c r="C121" s="42"/>
      <c r="I121" s="42"/>
      <c r="J121" s="42"/>
      <c r="K121" s="42"/>
      <c r="O121" s="43"/>
      <c r="Q121" s="43"/>
      <c r="R121" s="42"/>
      <c r="V121" s="43"/>
      <c r="AC121" s="43"/>
      <c r="AD121" s="43"/>
      <c r="AF121" s="42"/>
      <c r="AG121" s="42"/>
      <c r="AH121" s="42"/>
      <c r="AI121" s="42"/>
      <c r="AJ121" s="42"/>
      <c r="AK121" s="42"/>
      <c r="AL121" s="42"/>
      <c r="AM121" s="42"/>
      <c r="AN121" s="43"/>
      <c r="AO121" s="43"/>
      <c r="AP121" s="43"/>
      <c r="AQ121" s="43"/>
      <c r="AR121" s="43"/>
      <c r="AS121" s="43"/>
      <c r="AT121" s="43"/>
      <c r="AU121" s="43"/>
      <c r="AV121" s="43"/>
      <c r="AW121" s="46"/>
      <c r="AX121" s="46"/>
      <c r="AY121" s="46">
        <v>116</v>
      </c>
      <c r="AZ121" s="46">
        <f t="shared" si="103"/>
        <v>0</v>
      </c>
      <c r="BA121" s="46" t="b">
        <f t="shared" si="104"/>
        <v>0</v>
      </c>
      <c r="BB121" s="46">
        <v>116</v>
      </c>
      <c r="BC121" s="46">
        <v>114</v>
      </c>
      <c r="BD121" s="46" t="e">
        <f t="shared" si="93"/>
        <v>#N/A</v>
      </c>
      <c r="BE121" s="46" t="e">
        <f t="shared" ca="1" si="94"/>
        <v>#N/A</v>
      </c>
      <c r="BF121" s="46" t="e">
        <f t="shared" ca="1" si="105"/>
        <v>#N/A</v>
      </c>
      <c r="BG121" s="46" t="e">
        <f t="shared" ca="1" si="106"/>
        <v>#N/A</v>
      </c>
      <c r="BH121" s="46">
        <v>114</v>
      </c>
      <c r="BI121" s="46" t="e">
        <f t="shared" si="95"/>
        <v>#N/A</v>
      </c>
      <c r="BJ121" s="46" t="e">
        <f t="shared" ca="1" si="96"/>
        <v>#N/A</v>
      </c>
      <c r="BK121" s="46" t="e">
        <f t="shared" ca="1" si="107"/>
        <v>#N/A</v>
      </c>
      <c r="BL121" s="46" t="e">
        <f t="shared" ca="1" si="108"/>
        <v>#N/A</v>
      </c>
      <c r="BM121" s="46">
        <v>114</v>
      </c>
      <c r="BN121" s="46" t="e">
        <f t="shared" si="97"/>
        <v>#N/A</v>
      </c>
      <c r="BO121" s="46" t="e">
        <f t="shared" ca="1" si="98"/>
        <v>#N/A</v>
      </c>
      <c r="BP121" s="46" t="e">
        <f t="shared" ca="1" si="109"/>
        <v>#N/A</v>
      </c>
      <c r="BQ121" s="46" t="e">
        <f t="shared" ca="1" si="110"/>
        <v>#N/A</v>
      </c>
      <c r="BR121" s="46">
        <v>114</v>
      </c>
      <c r="BS121" s="46" t="e">
        <f t="shared" si="99"/>
        <v>#N/A</v>
      </c>
      <c r="BT121" s="46" t="e">
        <f t="shared" ca="1" si="100"/>
        <v>#N/A</v>
      </c>
      <c r="BU121" s="46" t="e">
        <f t="shared" ca="1" si="111"/>
        <v>#N/A</v>
      </c>
      <c r="BV121" s="46" t="e">
        <f t="shared" ca="1" si="112"/>
        <v>#N/A</v>
      </c>
      <c r="BW121" s="46">
        <v>114</v>
      </c>
      <c r="BX121" s="46" t="e">
        <f t="shared" si="101"/>
        <v>#N/A</v>
      </c>
      <c r="BY121" s="46" t="e">
        <f t="shared" ca="1" si="102"/>
        <v>#N/A</v>
      </c>
      <c r="BZ121" s="46" t="e">
        <f t="shared" ca="1" si="113"/>
        <v>#N/A</v>
      </c>
      <c r="CA121" s="46" t="e">
        <f t="shared" ca="1" si="114"/>
        <v>#N/A</v>
      </c>
      <c r="CC121" s="50"/>
      <c r="CD121" s="50"/>
      <c r="CE121" s="50"/>
      <c r="CF121" s="50"/>
      <c r="CG121" s="50"/>
      <c r="CH121" s="50"/>
      <c r="CI121" s="50"/>
      <c r="CJ121" s="50"/>
      <c r="CO121" s="43"/>
      <c r="CP121" s="43"/>
      <c r="CQ121" s="43"/>
    </row>
    <row r="122" spans="1:95" x14ac:dyDescent="0.25">
      <c r="A122" s="43"/>
      <c r="C122" s="42"/>
      <c r="I122" s="42"/>
      <c r="J122" s="42"/>
      <c r="K122" s="42"/>
      <c r="O122" s="43"/>
      <c r="Q122" s="43"/>
      <c r="R122" s="42"/>
      <c r="V122" s="43"/>
      <c r="AC122" s="43"/>
      <c r="AD122" s="43"/>
      <c r="AF122" s="42"/>
      <c r="AG122" s="42"/>
      <c r="AH122" s="42"/>
      <c r="AI122" s="42"/>
      <c r="AJ122" s="42"/>
      <c r="AK122" s="42"/>
      <c r="AL122" s="42"/>
      <c r="AM122" s="42"/>
      <c r="AN122" s="43"/>
      <c r="AO122" s="43"/>
      <c r="AP122" s="43"/>
      <c r="AQ122" s="43"/>
      <c r="AR122" s="43"/>
      <c r="AS122" s="43"/>
      <c r="AT122" s="43"/>
      <c r="AU122" s="43"/>
      <c r="AV122" s="43"/>
      <c r="AW122" s="46"/>
      <c r="AX122" s="46"/>
      <c r="AY122" s="46">
        <v>117</v>
      </c>
      <c r="AZ122" s="46">
        <f t="shared" si="103"/>
        <v>0</v>
      </c>
      <c r="BA122" s="46" t="b">
        <f t="shared" si="104"/>
        <v>0</v>
      </c>
      <c r="BB122" s="46">
        <v>117</v>
      </c>
      <c r="BC122" s="46">
        <v>115</v>
      </c>
      <c r="BD122" s="46" t="e">
        <f t="shared" si="93"/>
        <v>#N/A</v>
      </c>
      <c r="BE122" s="46" t="e">
        <f t="shared" ca="1" si="94"/>
        <v>#N/A</v>
      </c>
      <c r="BF122" s="46" t="e">
        <f t="shared" ca="1" si="105"/>
        <v>#N/A</v>
      </c>
      <c r="BG122" s="46" t="e">
        <f t="shared" ca="1" si="106"/>
        <v>#N/A</v>
      </c>
      <c r="BH122" s="46">
        <v>115</v>
      </c>
      <c r="BI122" s="46" t="e">
        <f t="shared" si="95"/>
        <v>#N/A</v>
      </c>
      <c r="BJ122" s="46" t="e">
        <f t="shared" ca="1" si="96"/>
        <v>#N/A</v>
      </c>
      <c r="BK122" s="46" t="e">
        <f t="shared" ca="1" si="107"/>
        <v>#N/A</v>
      </c>
      <c r="BL122" s="46" t="e">
        <f t="shared" ca="1" si="108"/>
        <v>#N/A</v>
      </c>
      <c r="BM122" s="46">
        <v>115</v>
      </c>
      <c r="BN122" s="46" t="e">
        <f t="shared" si="97"/>
        <v>#N/A</v>
      </c>
      <c r="BO122" s="46" t="e">
        <f t="shared" ca="1" si="98"/>
        <v>#N/A</v>
      </c>
      <c r="BP122" s="46" t="e">
        <f t="shared" ca="1" si="109"/>
        <v>#N/A</v>
      </c>
      <c r="BQ122" s="46" t="e">
        <f t="shared" ca="1" si="110"/>
        <v>#N/A</v>
      </c>
      <c r="BR122" s="46">
        <v>115</v>
      </c>
      <c r="BS122" s="46" t="e">
        <f t="shared" si="99"/>
        <v>#N/A</v>
      </c>
      <c r="BT122" s="46" t="e">
        <f t="shared" ca="1" si="100"/>
        <v>#N/A</v>
      </c>
      <c r="BU122" s="46" t="e">
        <f t="shared" ca="1" si="111"/>
        <v>#N/A</v>
      </c>
      <c r="BV122" s="46" t="e">
        <f t="shared" ca="1" si="112"/>
        <v>#N/A</v>
      </c>
      <c r="BW122" s="46">
        <v>115</v>
      </c>
      <c r="BX122" s="46" t="e">
        <f t="shared" si="101"/>
        <v>#N/A</v>
      </c>
      <c r="BY122" s="46" t="e">
        <f t="shared" ca="1" si="102"/>
        <v>#N/A</v>
      </c>
      <c r="BZ122" s="46" t="e">
        <f t="shared" ca="1" si="113"/>
        <v>#N/A</v>
      </c>
      <c r="CA122" s="46" t="e">
        <f t="shared" ca="1" si="114"/>
        <v>#N/A</v>
      </c>
      <c r="CC122" s="50"/>
      <c r="CD122" s="50"/>
      <c r="CE122" s="50"/>
      <c r="CF122" s="50"/>
      <c r="CG122" s="50"/>
      <c r="CH122" s="50"/>
      <c r="CI122" s="50"/>
      <c r="CJ122" s="50"/>
      <c r="CO122" s="43"/>
      <c r="CP122" s="43"/>
      <c r="CQ122" s="43"/>
    </row>
    <row r="123" spans="1:95" x14ac:dyDescent="0.25">
      <c r="A123" s="43"/>
      <c r="C123" s="42"/>
      <c r="I123" s="42"/>
      <c r="J123" s="42"/>
      <c r="K123" s="42"/>
      <c r="O123" s="43"/>
      <c r="Q123" s="43"/>
      <c r="R123" s="42"/>
      <c r="V123" s="43"/>
      <c r="AC123" s="43"/>
      <c r="AD123" s="43"/>
      <c r="AF123" s="42"/>
      <c r="AG123" s="42"/>
      <c r="AH123" s="42"/>
      <c r="AI123" s="42"/>
      <c r="AJ123" s="42"/>
      <c r="AK123" s="42"/>
      <c r="AL123" s="42"/>
      <c r="AM123" s="42"/>
      <c r="AN123" s="43"/>
      <c r="AO123" s="43"/>
      <c r="AP123" s="43"/>
      <c r="AQ123" s="43"/>
      <c r="AR123" s="43"/>
      <c r="AS123" s="43"/>
      <c r="AT123" s="43"/>
      <c r="AU123" s="43"/>
      <c r="AV123" s="43"/>
      <c r="AW123" s="46"/>
      <c r="AX123" s="46"/>
      <c r="AY123" s="46">
        <v>118</v>
      </c>
      <c r="AZ123" s="46">
        <f t="shared" si="103"/>
        <v>0</v>
      </c>
      <c r="BA123" s="46" t="b">
        <f t="shared" si="104"/>
        <v>0</v>
      </c>
      <c r="BB123" s="46">
        <v>118</v>
      </c>
      <c r="BC123" s="46">
        <v>116</v>
      </c>
      <c r="BD123" s="46" t="e">
        <f t="shared" si="93"/>
        <v>#N/A</v>
      </c>
      <c r="BE123" s="46" t="e">
        <f t="shared" ca="1" si="94"/>
        <v>#N/A</v>
      </c>
      <c r="BF123" s="46" t="e">
        <f t="shared" ca="1" si="105"/>
        <v>#N/A</v>
      </c>
      <c r="BG123" s="46" t="e">
        <f t="shared" ca="1" si="106"/>
        <v>#N/A</v>
      </c>
      <c r="BH123" s="46">
        <v>116</v>
      </c>
      <c r="BI123" s="46" t="e">
        <f t="shared" si="95"/>
        <v>#N/A</v>
      </c>
      <c r="BJ123" s="46" t="e">
        <f t="shared" ca="1" si="96"/>
        <v>#N/A</v>
      </c>
      <c r="BK123" s="46" t="e">
        <f t="shared" ca="1" si="107"/>
        <v>#N/A</v>
      </c>
      <c r="BL123" s="46" t="e">
        <f t="shared" ca="1" si="108"/>
        <v>#N/A</v>
      </c>
      <c r="BM123" s="46">
        <v>116</v>
      </c>
      <c r="BN123" s="46" t="e">
        <f t="shared" si="97"/>
        <v>#N/A</v>
      </c>
      <c r="BO123" s="46" t="e">
        <f t="shared" ca="1" si="98"/>
        <v>#N/A</v>
      </c>
      <c r="BP123" s="46" t="e">
        <f t="shared" ca="1" si="109"/>
        <v>#N/A</v>
      </c>
      <c r="BQ123" s="46" t="e">
        <f t="shared" ca="1" si="110"/>
        <v>#N/A</v>
      </c>
      <c r="BR123" s="46">
        <v>116</v>
      </c>
      <c r="BS123" s="46" t="e">
        <f t="shared" si="99"/>
        <v>#N/A</v>
      </c>
      <c r="BT123" s="46" t="e">
        <f t="shared" ca="1" si="100"/>
        <v>#N/A</v>
      </c>
      <c r="BU123" s="46" t="e">
        <f t="shared" ca="1" si="111"/>
        <v>#N/A</v>
      </c>
      <c r="BV123" s="46" t="e">
        <f t="shared" ca="1" si="112"/>
        <v>#N/A</v>
      </c>
      <c r="BW123" s="46">
        <v>116</v>
      </c>
      <c r="BX123" s="46" t="e">
        <f t="shared" si="101"/>
        <v>#N/A</v>
      </c>
      <c r="BY123" s="46" t="e">
        <f t="shared" ca="1" si="102"/>
        <v>#N/A</v>
      </c>
      <c r="BZ123" s="46" t="e">
        <f t="shared" ca="1" si="113"/>
        <v>#N/A</v>
      </c>
      <c r="CA123" s="46" t="e">
        <f t="shared" ca="1" si="114"/>
        <v>#N/A</v>
      </c>
      <c r="CC123" s="50"/>
      <c r="CD123" s="50"/>
      <c r="CE123" s="50"/>
      <c r="CF123" s="50"/>
      <c r="CG123" s="50"/>
      <c r="CH123" s="50"/>
      <c r="CI123" s="50"/>
      <c r="CJ123" s="50"/>
      <c r="CO123" s="43"/>
      <c r="CP123" s="43"/>
      <c r="CQ123" s="43"/>
    </row>
    <row r="124" spans="1:95" x14ac:dyDescent="0.25">
      <c r="A124" s="43"/>
      <c r="C124" s="42"/>
      <c r="I124" s="42"/>
      <c r="J124" s="42"/>
      <c r="K124" s="42"/>
      <c r="O124" s="43"/>
      <c r="Q124" s="43"/>
      <c r="R124" s="42"/>
      <c r="V124" s="43"/>
      <c r="AC124" s="43"/>
      <c r="AD124" s="43"/>
      <c r="AF124" s="42"/>
      <c r="AG124" s="42"/>
      <c r="AH124" s="42"/>
      <c r="AI124" s="42"/>
      <c r="AJ124" s="42"/>
      <c r="AK124" s="42"/>
      <c r="AL124" s="42"/>
      <c r="AM124" s="42"/>
      <c r="AN124" s="43"/>
      <c r="AO124" s="43"/>
      <c r="AP124" s="43"/>
      <c r="AQ124" s="43"/>
      <c r="AR124" s="43"/>
      <c r="AS124" s="43"/>
      <c r="AT124" s="43"/>
      <c r="AU124" s="43"/>
      <c r="AV124" s="43"/>
      <c r="AW124" s="46"/>
      <c r="AX124" s="46"/>
      <c r="AY124" s="46">
        <v>119</v>
      </c>
      <c r="AZ124" s="46">
        <f t="shared" si="103"/>
        <v>0</v>
      </c>
      <c r="BA124" s="46" t="b">
        <f t="shared" si="104"/>
        <v>0</v>
      </c>
      <c r="BB124" s="46">
        <v>119</v>
      </c>
      <c r="BC124" s="46">
        <v>117</v>
      </c>
      <c r="BD124" s="46" t="e">
        <f t="shared" si="93"/>
        <v>#N/A</v>
      </c>
      <c r="BE124" s="46" t="e">
        <f t="shared" ca="1" si="94"/>
        <v>#N/A</v>
      </c>
      <c r="BF124" s="46" t="e">
        <f t="shared" ca="1" si="105"/>
        <v>#N/A</v>
      </c>
      <c r="BG124" s="46" t="e">
        <f t="shared" ca="1" si="106"/>
        <v>#N/A</v>
      </c>
      <c r="BH124" s="46">
        <v>117</v>
      </c>
      <c r="BI124" s="46" t="e">
        <f t="shared" si="95"/>
        <v>#N/A</v>
      </c>
      <c r="BJ124" s="46" t="e">
        <f t="shared" ca="1" si="96"/>
        <v>#N/A</v>
      </c>
      <c r="BK124" s="46" t="e">
        <f t="shared" ca="1" si="107"/>
        <v>#N/A</v>
      </c>
      <c r="BL124" s="46" t="e">
        <f t="shared" ca="1" si="108"/>
        <v>#N/A</v>
      </c>
      <c r="BM124" s="46">
        <v>117</v>
      </c>
      <c r="BN124" s="46" t="e">
        <f t="shared" si="97"/>
        <v>#N/A</v>
      </c>
      <c r="BO124" s="46" t="e">
        <f t="shared" ca="1" si="98"/>
        <v>#N/A</v>
      </c>
      <c r="BP124" s="46" t="e">
        <f t="shared" ca="1" si="109"/>
        <v>#N/A</v>
      </c>
      <c r="BQ124" s="46" t="e">
        <f t="shared" ca="1" si="110"/>
        <v>#N/A</v>
      </c>
      <c r="BR124" s="46">
        <v>117</v>
      </c>
      <c r="BS124" s="46" t="e">
        <f t="shared" si="99"/>
        <v>#N/A</v>
      </c>
      <c r="BT124" s="46" t="e">
        <f t="shared" ca="1" si="100"/>
        <v>#N/A</v>
      </c>
      <c r="BU124" s="46" t="e">
        <f t="shared" ca="1" si="111"/>
        <v>#N/A</v>
      </c>
      <c r="BV124" s="46" t="e">
        <f t="shared" ca="1" si="112"/>
        <v>#N/A</v>
      </c>
      <c r="BW124" s="46">
        <v>117</v>
      </c>
      <c r="BX124" s="46" t="e">
        <f t="shared" si="101"/>
        <v>#N/A</v>
      </c>
      <c r="BY124" s="46" t="e">
        <f t="shared" ca="1" si="102"/>
        <v>#N/A</v>
      </c>
      <c r="BZ124" s="46" t="e">
        <f t="shared" ca="1" si="113"/>
        <v>#N/A</v>
      </c>
      <c r="CA124" s="46" t="e">
        <f t="shared" ca="1" si="114"/>
        <v>#N/A</v>
      </c>
      <c r="CC124" s="50"/>
      <c r="CD124" s="50"/>
      <c r="CE124" s="50"/>
      <c r="CF124" s="50"/>
      <c r="CG124" s="50"/>
      <c r="CH124" s="50"/>
      <c r="CI124" s="50"/>
      <c r="CJ124" s="50"/>
      <c r="CO124" s="43"/>
      <c r="CP124" s="43"/>
      <c r="CQ124" s="43"/>
    </row>
    <row r="125" spans="1:95" x14ac:dyDescent="0.25">
      <c r="A125" s="43"/>
      <c r="C125" s="42"/>
      <c r="I125" s="42"/>
      <c r="J125" s="42"/>
      <c r="K125" s="42"/>
      <c r="O125" s="43"/>
      <c r="Q125" s="43"/>
      <c r="R125" s="42"/>
      <c r="V125" s="43"/>
      <c r="AC125" s="43"/>
      <c r="AD125" s="43"/>
      <c r="AF125" s="42"/>
      <c r="AG125" s="42"/>
      <c r="AH125" s="42"/>
      <c r="AI125" s="42"/>
      <c r="AJ125" s="42"/>
      <c r="AK125" s="42"/>
      <c r="AL125" s="42"/>
      <c r="AM125" s="42"/>
      <c r="AN125" s="43"/>
      <c r="AO125" s="43"/>
      <c r="AP125" s="43"/>
      <c r="AQ125" s="43"/>
      <c r="AR125" s="43"/>
      <c r="AS125" s="43"/>
      <c r="AT125" s="43"/>
      <c r="AU125" s="43"/>
      <c r="AV125" s="43"/>
      <c r="AW125" s="46"/>
      <c r="AX125" s="46"/>
      <c r="AY125" s="46">
        <v>120</v>
      </c>
      <c r="AZ125" s="46">
        <f t="shared" si="103"/>
        <v>0</v>
      </c>
      <c r="BA125" s="46" t="b">
        <f t="shared" si="104"/>
        <v>0</v>
      </c>
      <c r="BB125" s="46">
        <v>120</v>
      </c>
      <c r="BC125" s="46">
        <v>118</v>
      </c>
      <c r="BD125" s="46" t="e">
        <f t="shared" si="93"/>
        <v>#N/A</v>
      </c>
      <c r="BE125" s="46" t="e">
        <f t="shared" ca="1" si="94"/>
        <v>#N/A</v>
      </c>
      <c r="BF125" s="46" t="e">
        <f t="shared" ca="1" si="105"/>
        <v>#N/A</v>
      </c>
      <c r="BG125" s="46" t="e">
        <f t="shared" ca="1" si="106"/>
        <v>#N/A</v>
      </c>
      <c r="BH125" s="46">
        <v>118</v>
      </c>
      <c r="BI125" s="46" t="e">
        <f t="shared" si="95"/>
        <v>#N/A</v>
      </c>
      <c r="BJ125" s="46" t="e">
        <f t="shared" ca="1" si="96"/>
        <v>#N/A</v>
      </c>
      <c r="BK125" s="46" t="e">
        <f t="shared" ca="1" si="107"/>
        <v>#N/A</v>
      </c>
      <c r="BL125" s="46" t="e">
        <f t="shared" ca="1" si="108"/>
        <v>#N/A</v>
      </c>
      <c r="BM125" s="46">
        <v>118</v>
      </c>
      <c r="BN125" s="46" t="e">
        <f t="shared" si="97"/>
        <v>#N/A</v>
      </c>
      <c r="BO125" s="46" t="e">
        <f t="shared" ca="1" si="98"/>
        <v>#N/A</v>
      </c>
      <c r="BP125" s="46" t="e">
        <f t="shared" ca="1" si="109"/>
        <v>#N/A</v>
      </c>
      <c r="BQ125" s="46" t="e">
        <f t="shared" ca="1" si="110"/>
        <v>#N/A</v>
      </c>
      <c r="BR125" s="46">
        <v>118</v>
      </c>
      <c r="BS125" s="46" t="e">
        <f t="shared" si="99"/>
        <v>#N/A</v>
      </c>
      <c r="BT125" s="46" t="e">
        <f t="shared" ca="1" si="100"/>
        <v>#N/A</v>
      </c>
      <c r="BU125" s="46" t="e">
        <f t="shared" ca="1" si="111"/>
        <v>#N/A</v>
      </c>
      <c r="BV125" s="46" t="e">
        <f t="shared" ca="1" si="112"/>
        <v>#N/A</v>
      </c>
      <c r="BW125" s="46">
        <v>118</v>
      </c>
      <c r="BX125" s="46" t="e">
        <f t="shared" si="101"/>
        <v>#N/A</v>
      </c>
      <c r="BY125" s="46" t="e">
        <f t="shared" ca="1" si="102"/>
        <v>#N/A</v>
      </c>
      <c r="BZ125" s="46" t="e">
        <f t="shared" ca="1" si="113"/>
        <v>#N/A</v>
      </c>
      <c r="CA125" s="46" t="e">
        <f t="shared" ca="1" si="114"/>
        <v>#N/A</v>
      </c>
      <c r="CC125" s="50"/>
      <c r="CD125" s="50"/>
      <c r="CE125" s="50"/>
      <c r="CF125" s="50"/>
      <c r="CG125" s="50"/>
      <c r="CH125" s="50"/>
      <c r="CI125" s="50"/>
      <c r="CJ125" s="50"/>
      <c r="CO125" s="43"/>
      <c r="CP125" s="43"/>
      <c r="CQ125" s="43"/>
    </row>
    <row r="126" spans="1:95" x14ac:dyDescent="0.25">
      <c r="A126" s="43"/>
      <c r="C126" s="42"/>
      <c r="I126" s="42"/>
      <c r="J126" s="42"/>
      <c r="K126" s="42"/>
      <c r="O126" s="43"/>
      <c r="Q126" s="43"/>
      <c r="R126" s="42"/>
      <c r="V126" s="43"/>
      <c r="AC126" s="43"/>
      <c r="AD126" s="43"/>
      <c r="AF126" s="42"/>
      <c r="AG126" s="42"/>
      <c r="AH126" s="42"/>
      <c r="AI126" s="42"/>
      <c r="AJ126" s="42"/>
      <c r="AK126" s="42"/>
      <c r="AL126" s="42"/>
      <c r="AM126" s="42"/>
      <c r="AN126" s="43"/>
      <c r="AO126" s="43"/>
      <c r="AP126" s="43"/>
      <c r="AQ126" s="43"/>
      <c r="AR126" s="43"/>
      <c r="AS126" s="43"/>
      <c r="AT126" s="43"/>
      <c r="AU126" s="43"/>
      <c r="AV126" s="43"/>
      <c r="AW126" s="46"/>
      <c r="AX126" s="46"/>
      <c r="AY126" s="46">
        <v>121</v>
      </c>
      <c r="AZ126" s="46">
        <f t="shared" si="103"/>
        <v>0</v>
      </c>
      <c r="BA126" s="46" t="b">
        <f t="shared" si="104"/>
        <v>0</v>
      </c>
      <c r="BB126" s="46">
        <v>121</v>
      </c>
      <c r="BC126" s="46">
        <v>119</v>
      </c>
      <c r="BD126" s="46" t="e">
        <f t="shared" si="93"/>
        <v>#N/A</v>
      </c>
      <c r="BE126" s="46" t="e">
        <f t="shared" ca="1" si="94"/>
        <v>#N/A</v>
      </c>
      <c r="BF126" s="46" t="e">
        <f t="shared" ca="1" si="105"/>
        <v>#N/A</v>
      </c>
      <c r="BG126" s="46" t="e">
        <f t="shared" ca="1" si="106"/>
        <v>#N/A</v>
      </c>
      <c r="BH126" s="46">
        <v>119</v>
      </c>
      <c r="BI126" s="46" t="e">
        <f t="shared" si="95"/>
        <v>#N/A</v>
      </c>
      <c r="BJ126" s="46" t="e">
        <f t="shared" ca="1" si="96"/>
        <v>#N/A</v>
      </c>
      <c r="BK126" s="46" t="e">
        <f t="shared" ca="1" si="107"/>
        <v>#N/A</v>
      </c>
      <c r="BL126" s="46" t="e">
        <f t="shared" ca="1" si="108"/>
        <v>#N/A</v>
      </c>
      <c r="BM126" s="46">
        <v>119</v>
      </c>
      <c r="BN126" s="46" t="e">
        <f t="shared" si="97"/>
        <v>#N/A</v>
      </c>
      <c r="BO126" s="46" t="e">
        <f t="shared" ca="1" si="98"/>
        <v>#N/A</v>
      </c>
      <c r="BP126" s="46" t="e">
        <f t="shared" ca="1" si="109"/>
        <v>#N/A</v>
      </c>
      <c r="BQ126" s="46" t="e">
        <f t="shared" ca="1" si="110"/>
        <v>#N/A</v>
      </c>
      <c r="BR126" s="46">
        <v>119</v>
      </c>
      <c r="BS126" s="46" t="e">
        <f t="shared" si="99"/>
        <v>#N/A</v>
      </c>
      <c r="BT126" s="46" t="e">
        <f t="shared" ca="1" si="100"/>
        <v>#N/A</v>
      </c>
      <c r="BU126" s="46" t="e">
        <f t="shared" ca="1" si="111"/>
        <v>#N/A</v>
      </c>
      <c r="BV126" s="46" t="e">
        <f t="shared" ca="1" si="112"/>
        <v>#N/A</v>
      </c>
      <c r="BW126" s="46">
        <v>119</v>
      </c>
      <c r="BX126" s="46" t="e">
        <f t="shared" si="101"/>
        <v>#N/A</v>
      </c>
      <c r="BY126" s="46" t="e">
        <f t="shared" ca="1" si="102"/>
        <v>#N/A</v>
      </c>
      <c r="BZ126" s="46" t="e">
        <f t="shared" ca="1" si="113"/>
        <v>#N/A</v>
      </c>
      <c r="CA126" s="46" t="e">
        <f t="shared" ca="1" si="114"/>
        <v>#N/A</v>
      </c>
      <c r="CC126" s="50"/>
      <c r="CD126" s="50"/>
      <c r="CE126" s="50"/>
      <c r="CF126" s="50"/>
      <c r="CG126" s="50"/>
      <c r="CH126" s="50"/>
      <c r="CI126" s="50"/>
      <c r="CJ126" s="50"/>
      <c r="CO126" s="43"/>
      <c r="CP126" s="43"/>
      <c r="CQ126" s="43"/>
    </row>
    <row r="127" spans="1:95" x14ac:dyDescent="0.25">
      <c r="A127" s="43"/>
      <c r="C127" s="42"/>
      <c r="I127" s="42"/>
      <c r="J127" s="42"/>
      <c r="K127" s="42"/>
      <c r="O127" s="43"/>
      <c r="Q127" s="43"/>
      <c r="R127" s="42"/>
      <c r="V127" s="43"/>
      <c r="AC127" s="43"/>
      <c r="AD127" s="43"/>
      <c r="AF127" s="42"/>
      <c r="AG127" s="42"/>
      <c r="AH127" s="42"/>
      <c r="AI127" s="42"/>
      <c r="AJ127" s="42"/>
      <c r="AK127" s="42"/>
      <c r="AL127" s="42"/>
      <c r="AM127" s="42"/>
      <c r="AN127" s="43"/>
      <c r="AO127" s="43"/>
      <c r="AP127" s="43"/>
      <c r="AQ127" s="43"/>
      <c r="AR127" s="43"/>
      <c r="AS127" s="43"/>
      <c r="AT127" s="43"/>
      <c r="AU127" s="43"/>
      <c r="AV127" s="43"/>
      <c r="AW127" s="46"/>
      <c r="AX127" s="46"/>
      <c r="AY127" s="46">
        <v>122</v>
      </c>
      <c r="AZ127" s="46">
        <f t="shared" si="103"/>
        <v>0</v>
      </c>
      <c r="BA127" s="46" t="b">
        <f t="shared" si="104"/>
        <v>0</v>
      </c>
      <c r="BB127" s="46">
        <v>122</v>
      </c>
      <c r="BC127" s="46">
        <v>120</v>
      </c>
      <c r="BD127" s="46" t="e">
        <f t="shared" si="93"/>
        <v>#N/A</v>
      </c>
      <c r="BE127" s="46" t="e">
        <f t="shared" ca="1" si="94"/>
        <v>#N/A</v>
      </c>
      <c r="BF127" s="46" t="e">
        <f t="shared" ca="1" si="105"/>
        <v>#N/A</v>
      </c>
      <c r="BG127" s="46" t="e">
        <f t="shared" ca="1" si="106"/>
        <v>#N/A</v>
      </c>
      <c r="BH127" s="46">
        <v>120</v>
      </c>
      <c r="BI127" s="46" t="e">
        <f t="shared" si="95"/>
        <v>#N/A</v>
      </c>
      <c r="BJ127" s="46" t="e">
        <f t="shared" ca="1" si="96"/>
        <v>#N/A</v>
      </c>
      <c r="BK127" s="46" t="e">
        <f t="shared" ca="1" si="107"/>
        <v>#N/A</v>
      </c>
      <c r="BL127" s="46" t="e">
        <f t="shared" ca="1" si="108"/>
        <v>#N/A</v>
      </c>
      <c r="BM127" s="46">
        <v>120</v>
      </c>
      <c r="BN127" s="46" t="e">
        <f t="shared" si="97"/>
        <v>#N/A</v>
      </c>
      <c r="BO127" s="46" t="e">
        <f t="shared" ca="1" si="98"/>
        <v>#N/A</v>
      </c>
      <c r="BP127" s="46" t="e">
        <f t="shared" ca="1" si="109"/>
        <v>#N/A</v>
      </c>
      <c r="BQ127" s="46" t="e">
        <f t="shared" ca="1" si="110"/>
        <v>#N/A</v>
      </c>
      <c r="BR127" s="46">
        <v>120</v>
      </c>
      <c r="BS127" s="46" t="e">
        <f t="shared" si="99"/>
        <v>#N/A</v>
      </c>
      <c r="BT127" s="46" t="e">
        <f t="shared" ca="1" si="100"/>
        <v>#N/A</v>
      </c>
      <c r="BU127" s="46" t="e">
        <f t="shared" ca="1" si="111"/>
        <v>#N/A</v>
      </c>
      <c r="BV127" s="46" t="e">
        <f t="shared" ca="1" si="112"/>
        <v>#N/A</v>
      </c>
      <c r="BW127" s="46">
        <v>120</v>
      </c>
      <c r="BX127" s="46" t="e">
        <f t="shared" si="101"/>
        <v>#N/A</v>
      </c>
      <c r="BY127" s="46" t="e">
        <f t="shared" ca="1" si="102"/>
        <v>#N/A</v>
      </c>
      <c r="BZ127" s="46" t="e">
        <f t="shared" ca="1" si="113"/>
        <v>#N/A</v>
      </c>
      <c r="CA127" s="46" t="e">
        <f t="shared" ca="1" si="114"/>
        <v>#N/A</v>
      </c>
      <c r="CC127" s="50"/>
      <c r="CD127" s="50"/>
      <c r="CE127" s="50"/>
      <c r="CF127" s="50"/>
      <c r="CG127" s="50"/>
      <c r="CH127" s="50"/>
      <c r="CI127" s="50"/>
      <c r="CJ127" s="50"/>
      <c r="CO127" s="43"/>
      <c r="CP127" s="43"/>
      <c r="CQ127" s="43"/>
    </row>
    <row r="128" spans="1:95" x14ac:dyDescent="0.25">
      <c r="A128" s="43"/>
      <c r="C128" s="42"/>
      <c r="I128" s="42"/>
      <c r="J128" s="42"/>
      <c r="K128" s="42"/>
      <c r="O128" s="43"/>
      <c r="Q128" s="43"/>
      <c r="R128" s="42"/>
      <c r="V128" s="43"/>
      <c r="AC128" s="43"/>
      <c r="AD128" s="43"/>
      <c r="AF128" s="42"/>
      <c r="AG128" s="42"/>
      <c r="AH128" s="42"/>
      <c r="AI128" s="42"/>
      <c r="AJ128" s="42"/>
      <c r="AK128" s="42"/>
      <c r="AL128" s="42"/>
      <c r="AM128" s="42"/>
      <c r="AN128" s="43"/>
      <c r="AO128" s="43"/>
      <c r="AP128" s="43"/>
      <c r="AQ128" s="43"/>
      <c r="AR128" s="43"/>
      <c r="AS128" s="43"/>
      <c r="AT128" s="43"/>
      <c r="AU128" s="43"/>
      <c r="AV128" s="43"/>
      <c r="AW128" s="46"/>
      <c r="AX128" s="46"/>
      <c r="AY128" s="46">
        <v>123</v>
      </c>
      <c r="AZ128" s="46">
        <f t="shared" si="103"/>
        <v>0</v>
      </c>
      <c r="BA128" s="46" t="b">
        <f t="shared" si="104"/>
        <v>0</v>
      </c>
      <c r="BB128" s="46">
        <v>123</v>
      </c>
      <c r="BC128" s="46">
        <v>121</v>
      </c>
      <c r="BD128" s="46" t="e">
        <f t="shared" si="93"/>
        <v>#N/A</v>
      </c>
      <c r="BE128" s="46" t="e">
        <f t="shared" ca="1" si="94"/>
        <v>#N/A</v>
      </c>
      <c r="BF128" s="46" t="e">
        <f t="shared" ca="1" si="105"/>
        <v>#N/A</v>
      </c>
      <c r="BG128" s="46" t="e">
        <f t="shared" ca="1" si="106"/>
        <v>#N/A</v>
      </c>
      <c r="BH128" s="46">
        <v>121</v>
      </c>
      <c r="BI128" s="46" t="e">
        <f t="shared" si="95"/>
        <v>#N/A</v>
      </c>
      <c r="BJ128" s="46" t="e">
        <f t="shared" ca="1" si="96"/>
        <v>#N/A</v>
      </c>
      <c r="BK128" s="46" t="e">
        <f t="shared" ca="1" si="107"/>
        <v>#N/A</v>
      </c>
      <c r="BL128" s="46" t="e">
        <f t="shared" ca="1" si="108"/>
        <v>#N/A</v>
      </c>
      <c r="BM128" s="46">
        <v>121</v>
      </c>
      <c r="BN128" s="46" t="e">
        <f t="shared" si="97"/>
        <v>#N/A</v>
      </c>
      <c r="BO128" s="46" t="e">
        <f t="shared" ca="1" si="98"/>
        <v>#N/A</v>
      </c>
      <c r="BP128" s="46" t="e">
        <f t="shared" ca="1" si="109"/>
        <v>#N/A</v>
      </c>
      <c r="BQ128" s="46" t="e">
        <f t="shared" ca="1" si="110"/>
        <v>#N/A</v>
      </c>
      <c r="BR128" s="46">
        <v>121</v>
      </c>
      <c r="BS128" s="46" t="e">
        <f t="shared" si="99"/>
        <v>#N/A</v>
      </c>
      <c r="BT128" s="46" t="e">
        <f t="shared" ca="1" si="100"/>
        <v>#N/A</v>
      </c>
      <c r="BU128" s="46" t="e">
        <f t="shared" ca="1" si="111"/>
        <v>#N/A</v>
      </c>
      <c r="BV128" s="46" t="e">
        <f t="shared" ca="1" si="112"/>
        <v>#N/A</v>
      </c>
      <c r="BW128" s="46">
        <v>121</v>
      </c>
      <c r="BX128" s="46" t="e">
        <f t="shared" si="101"/>
        <v>#N/A</v>
      </c>
      <c r="BY128" s="46" t="e">
        <f t="shared" ca="1" si="102"/>
        <v>#N/A</v>
      </c>
      <c r="BZ128" s="46" t="e">
        <f t="shared" ca="1" si="113"/>
        <v>#N/A</v>
      </c>
      <c r="CA128" s="46" t="e">
        <f t="shared" ca="1" si="114"/>
        <v>#N/A</v>
      </c>
      <c r="CC128" s="50"/>
      <c r="CD128" s="50"/>
      <c r="CE128" s="50"/>
      <c r="CF128" s="50"/>
      <c r="CG128" s="50"/>
      <c r="CH128" s="50"/>
      <c r="CI128" s="50"/>
      <c r="CJ128" s="50"/>
      <c r="CO128" s="43"/>
      <c r="CP128" s="43"/>
      <c r="CQ128" s="43"/>
    </row>
    <row r="129" spans="1:95" x14ac:dyDescent="0.25">
      <c r="A129" s="43"/>
      <c r="C129" s="42"/>
      <c r="I129" s="42"/>
      <c r="J129" s="42"/>
      <c r="K129" s="42"/>
      <c r="O129" s="43"/>
      <c r="Q129" s="43"/>
      <c r="R129" s="42"/>
      <c r="V129" s="43"/>
      <c r="AC129" s="43"/>
      <c r="AD129" s="43"/>
      <c r="AF129" s="42"/>
      <c r="AG129" s="42"/>
      <c r="AH129" s="42"/>
      <c r="AI129" s="42"/>
      <c r="AJ129" s="42"/>
      <c r="AK129" s="42"/>
      <c r="AL129" s="42"/>
      <c r="AM129" s="42"/>
      <c r="AN129" s="43"/>
      <c r="AO129" s="43"/>
      <c r="AP129" s="43"/>
      <c r="AQ129" s="43"/>
      <c r="AR129" s="43"/>
      <c r="AS129" s="43"/>
      <c r="AT129" s="43"/>
      <c r="AU129" s="43"/>
      <c r="AV129" s="43"/>
      <c r="AW129" s="46"/>
      <c r="AX129" s="46"/>
      <c r="AY129" s="46">
        <v>124</v>
      </c>
      <c r="AZ129" s="46">
        <f t="shared" si="103"/>
        <v>0</v>
      </c>
      <c r="BA129" s="46" t="b">
        <f t="shared" si="104"/>
        <v>0</v>
      </c>
      <c r="BB129" s="46">
        <v>124</v>
      </c>
      <c r="BC129" s="46">
        <v>122</v>
      </c>
      <c r="BD129" s="46" t="e">
        <f t="shared" si="93"/>
        <v>#N/A</v>
      </c>
      <c r="BE129" s="46" t="e">
        <f t="shared" ca="1" si="94"/>
        <v>#N/A</v>
      </c>
      <c r="BF129" s="46" t="e">
        <f t="shared" ca="1" si="105"/>
        <v>#N/A</v>
      </c>
      <c r="BG129" s="46" t="e">
        <f t="shared" ca="1" si="106"/>
        <v>#N/A</v>
      </c>
      <c r="BH129" s="46">
        <v>122</v>
      </c>
      <c r="BI129" s="46" t="e">
        <f t="shared" si="95"/>
        <v>#N/A</v>
      </c>
      <c r="BJ129" s="46" t="e">
        <f t="shared" ca="1" si="96"/>
        <v>#N/A</v>
      </c>
      <c r="BK129" s="46" t="e">
        <f t="shared" ca="1" si="107"/>
        <v>#N/A</v>
      </c>
      <c r="BL129" s="46" t="e">
        <f t="shared" ca="1" si="108"/>
        <v>#N/A</v>
      </c>
      <c r="BM129" s="46">
        <v>122</v>
      </c>
      <c r="BN129" s="46" t="e">
        <f t="shared" si="97"/>
        <v>#N/A</v>
      </c>
      <c r="BO129" s="46" t="e">
        <f t="shared" ca="1" si="98"/>
        <v>#N/A</v>
      </c>
      <c r="BP129" s="46" t="e">
        <f t="shared" ca="1" si="109"/>
        <v>#N/A</v>
      </c>
      <c r="BQ129" s="46" t="e">
        <f t="shared" ca="1" si="110"/>
        <v>#N/A</v>
      </c>
      <c r="BR129" s="46">
        <v>122</v>
      </c>
      <c r="BS129" s="46" t="e">
        <f t="shared" si="99"/>
        <v>#N/A</v>
      </c>
      <c r="BT129" s="46" t="e">
        <f t="shared" ca="1" si="100"/>
        <v>#N/A</v>
      </c>
      <c r="BU129" s="46" t="e">
        <f t="shared" ca="1" si="111"/>
        <v>#N/A</v>
      </c>
      <c r="BV129" s="46" t="e">
        <f t="shared" ca="1" si="112"/>
        <v>#N/A</v>
      </c>
      <c r="BW129" s="46">
        <v>122</v>
      </c>
      <c r="BX129" s="46" t="e">
        <f t="shared" si="101"/>
        <v>#N/A</v>
      </c>
      <c r="BY129" s="46" t="e">
        <f t="shared" ca="1" si="102"/>
        <v>#N/A</v>
      </c>
      <c r="BZ129" s="46" t="e">
        <f t="shared" ca="1" si="113"/>
        <v>#N/A</v>
      </c>
      <c r="CA129" s="46" t="e">
        <f t="shared" ca="1" si="114"/>
        <v>#N/A</v>
      </c>
      <c r="CC129" s="50"/>
      <c r="CD129" s="50"/>
      <c r="CE129" s="50"/>
      <c r="CF129" s="50"/>
      <c r="CG129" s="50"/>
      <c r="CH129" s="50"/>
      <c r="CI129" s="50"/>
      <c r="CJ129" s="50"/>
      <c r="CO129" s="43"/>
      <c r="CP129" s="43"/>
      <c r="CQ129" s="43"/>
    </row>
    <row r="130" spans="1:95" x14ac:dyDescent="0.25">
      <c r="A130" s="43"/>
      <c r="C130" s="42"/>
      <c r="I130" s="42"/>
      <c r="J130" s="42"/>
      <c r="K130" s="42"/>
      <c r="O130" s="43"/>
      <c r="Q130" s="43"/>
      <c r="R130" s="42"/>
      <c r="V130" s="43"/>
      <c r="AC130" s="43"/>
      <c r="AD130" s="43"/>
      <c r="AF130" s="42"/>
      <c r="AG130" s="42"/>
      <c r="AH130" s="42"/>
      <c r="AI130" s="42"/>
      <c r="AJ130" s="42"/>
      <c r="AK130" s="42"/>
      <c r="AL130" s="42"/>
      <c r="AM130" s="42"/>
      <c r="AN130" s="43"/>
      <c r="AO130" s="43"/>
      <c r="AP130" s="43"/>
      <c r="AQ130" s="43"/>
      <c r="AR130" s="43"/>
      <c r="AS130" s="43"/>
      <c r="AT130" s="43"/>
      <c r="AU130" s="43"/>
      <c r="AV130" s="43"/>
      <c r="AW130" s="46"/>
      <c r="AX130" s="46"/>
      <c r="AY130" s="46">
        <v>125</v>
      </c>
      <c r="AZ130" s="46">
        <f t="shared" si="103"/>
        <v>0</v>
      </c>
      <c r="BA130" s="46" t="b">
        <f t="shared" si="104"/>
        <v>0</v>
      </c>
      <c r="BB130" s="46">
        <v>125</v>
      </c>
      <c r="BC130" s="46">
        <v>123</v>
      </c>
      <c r="BD130" s="46" t="e">
        <f t="shared" si="93"/>
        <v>#N/A</v>
      </c>
      <c r="BE130" s="46" t="e">
        <f t="shared" ca="1" si="94"/>
        <v>#N/A</v>
      </c>
      <c r="BF130" s="46" t="e">
        <f t="shared" ca="1" si="105"/>
        <v>#N/A</v>
      </c>
      <c r="BG130" s="46" t="e">
        <f t="shared" ca="1" si="106"/>
        <v>#N/A</v>
      </c>
      <c r="BH130" s="46">
        <v>123</v>
      </c>
      <c r="BI130" s="46" t="e">
        <f t="shared" si="95"/>
        <v>#N/A</v>
      </c>
      <c r="BJ130" s="46" t="e">
        <f t="shared" ca="1" si="96"/>
        <v>#N/A</v>
      </c>
      <c r="BK130" s="46" t="e">
        <f t="shared" ca="1" si="107"/>
        <v>#N/A</v>
      </c>
      <c r="BL130" s="46" t="e">
        <f t="shared" ca="1" si="108"/>
        <v>#N/A</v>
      </c>
      <c r="BM130" s="46">
        <v>123</v>
      </c>
      <c r="BN130" s="46" t="e">
        <f t="shared" si="97"/>
        <v>#N/A</v>
      </c>
      <c r="BO130" s="46" t="e">
        <f t="shared" ca="1" si="98"/>
        <v>#N/A</v>
      </c>
      <c r="BP130" s="46" t="e">
        <f t="shared" ca="1" si="109"/>
        <v>#N/A</v>
      </c>
      <c r="BQ130" s="46" t="e">
        <f t="shared" ca="1" si="110"/>
        <v>#N/A</v>
      </c>
      <c r="BR130" s="46">
        <v>123</v>
      </c>
      <c r="BS130" s="46" t="e">
        <f t="shared" si="99"/>
        <v>#N/A</v>
      </c>
      <c r="BT130" s="46" t="e">
        <f t="shared" ca="1" si="100"/>
        <v>#N/A</v>
      </c>
      <c r="BU130" s="46" t="e">
        <f t="shared" ca="1" si="111"/>
        <v>#N/A</v>
      </c>
      <c r="BV130" s="46" t="e">
        <f t="shared" ca="1" si="112"/>
        <v>#N/A</v>
      </c>
      <c r="BW130" s="46">
        <v>123</v>
      </c>
      <c r="BX130" s="46" t="e">
        <f t="shared" si="101"/>
        <v>#N/A</v>
      </c>
      <c r="BY130" s="46" t="e">
        <f t="shared" ca="1" si="102"/>
        <v>#N/A</v>
      </c>
      <c r="BZ130" s="46" t="e">
        <f t="shared" ca="1" si="113"/>
        <v>#N/A</v>
      </c>
      <c r="CA130" s="46" t="e">
        <f t="shared" ca="1" si="114"/>
        <v>#N/A</v>
      </c>
      <c r="CC130" s="50"/>
      <c r="CD130" s="50"/>
      <c r="CE130" s="50"/>
      <c r="CF130" s="50"/>
      <c r="CG130" s="50"/>
      <c r="CH130" s="50"/>
      <c r="CI130" s="50"/>
      <c r="CJ130" s="50"/>
      <c r="CO130" s="43"/>
      <c r="CP130" s="43"/>
      <c r="CQ130" s="43"/>
    </row>
    <row r="131" spans="1:95" x14ac:dyDescent="0.25">
      <c r="A131" s="43"/>
      <c r="C131" s="42"/>
      <c r="I131" s="42"/>
      <c r="J131" s="42"/>
      <c r="K131" s="42"/>
      <c r="O131" s="43"/>
      <c r="Q131" s="43"/>
      <c r="R131" s="42"/>
      <c r="V131" s="43"/>
      <c r="AC131" s="43"/>
      <c r="AD131" s="43"/>
      <c r="AF131" s="42"/>
      <c r="AG131" s="42"/>
      <c r="AH131" s="42"/>
      <c r="AI131" s="42"/>
      <c r="AJ131" s="42"/>
      <c r="AK131" s="42"/>
      <c r="AL131" s="42"/>
      <c r="AM131" s="42"/>
      <c r="AN131" s="43"/>
      <c r="AO131" s="43"/>
      <c r="AP131" s="43"/>
      <c r="AQ131" s="43"/>
      <c r="AR131" s="43"/>
      <c r="AS131" s="43"/>
      <c r="AT131" s="43"/>
      <c r="AU131" s="43"/>
      <c r="AV131" s="43"/>
      <c r="AW131" s="46"/>
      <c r="AX131" s="46"/>
      <c r="AY131" s="46">
        <v>126</v>
      </c>
      <c r="AZ131" s="46">
        <f t="shared" si="103"/>
        <v>0</v>
      </c>
      <c r="BA131" s="46" t="b">
        <f t="shared" si="104"/>
        <v>0</v>
      </c>
      <c r="BB131" s="46">
        <v>126</v>
      </c>
      <c r="BC131" s="46">
        <v>124</v>
      </c>
      <c r="BD131" s="46" t="e">
        <f t="shared" si="93"/>
        <v>#N/A</v>
      </c>
      <c r="BE131" s="46" t="e">
        <f t="shared" ca="1" si="94"/>
        <v>#N/A</v>
      </c>
      <c r="BF131" s="46" t="e">
        <f t="shared" ca="1" si="105"/>
        <v>#N/A</v>
      </c>
      <c r="BG131" s="46" t="e">
        <f t="shared" ca="1" si="106"/>
        <v>#N/A</v>
      </c>
      <c r="BH131" s="46">
        <v>124</v>
      </c>
      <c r="BI131" s="46" t="e">
        <f t="shared" si="95"/>
        <v>#N/A</v>
      </c>
      <c r="BJ131" s="46" t="e">
        <f t="shared" ca="1" si="96"/>
        <v>#N/A</v>
      </c>
      <c r="BK131" s="46" t="e">
        <f t="shared" ca="1" si="107"/>
        <v>#N/A</v>
      </c>
      <c r="BL131" s="46" t="e">
        <f t="shared" ca="1" si="108"/>
        <v>#N/A</v>
      </c>
      <c r="BM131" s="46">
        <v>124</v>
      </c>
      <c r="BN131" s="46" t="e">
        <f t="shared" si="97"/>
        <v>#N/A</v>
      </c>
      <c r="BO131" s="46" t="e">
        <f t="shared" ca="1" si="98"/>
        <v>#N/A</v>
      </c>
      <c r="BP131" s="46" t="e">
        <f t="shared" ca="1" si="109"/>
        <v>#N/A</v>
      </c>
      <c r="BQ131" s="46" t="e">
        <f t="shared" ca="1" si="110"/>
        <v>#N/A</v>
      </c>
      <c r="BR131" s="46">
        <v>124</v>
      </c>
      <c r="BS131" s="46" t="e">
        <f t="shared" si="99"/>
        <v>#N/A</v>
      </c>
      <c r="BT131" s="46" t="e">
        <f t="shared" ca="1" si="100"/>
        <v>#N/A</v>
      </c>
      <c r="BU131" s="46" t="e">
        <f t="shared" ca="1" si="111"/>
        <v>#N/A</v>
      </c>
      <c r="BV131" s="46" t="e">
        <f t="shared" ca="1" si="112"/>
        <v>#N/A</v>
      </c>
      <c r="BW131" s="46">
        <v>124</v>
      </c>
      <c r="BX131" s="46" t="e">
        <f t="shared" si="101"/>
        <v>#N/A</v>
      </c>
      <c r="BY131" s="46" t="e">
        <f t="shared" ca="1" si="102"/>
        <v>#N/A</v>
      </c>
      <c r="BZ131" s="46" t="e">
        <f t="shared" ca="1" si="113"/>
        <v>#N/A</v>
      </c>
      <c r="CA131" s="46" t="e">
        <f t="shared" ca="1" si="114"/>
        <v>#N/A</v>
      </c>
      <c r="CC131" s="50"/>
      <c r="CD131" s="50"/>
      <c r="CE131" s="50"/>
      <c r="CF131" s="50"/>
      <c r="CG131" s="50"/>
      <c r="CH131" s="50"/>
      <c r="CI131" s="50"/>
      <c r="CJ131" s="50"/>
      <c r="CO131" s="43"/>
      <c r="CP131" s="43"/>
      <c r="CQ131" s="43"/>
    </row>
    <row r="132" spans="1:95" x14ac:dyDescent="0.25">
      <c r="A132" s="43"/>
      <c r="C132" s="42"/>
      <c r="I132" s="42"/>
      <c r="J132" s="42"/>
      <c r="K132" s="42"/>
      <c r="O132" s="43"/>
      <c r="Q132" s="43"/>
      <c r="R132" s="42"/>
      <c r="V132" s="43"/>
      <c r="AC132" s="43"/>
      <c r="AD132" s="43"/>
      <c r="AF132" s="42"/>
      <c r="AG132" s="42"/>
      <c r="AH132" s="42"/>
      <c r="AI132" s="42"/>
      <c r="AJ132" s="42"/>
      <c r="AK132" s="42"/>
      <c r="AL132" s="42"/>
      <c r="AM132" s="42"/>
      <c r="AN132" s="43"/>
      <c r="AO132" s="43"/>
      <c r="AP132" s="43"/>
      <c r="AQ132" s="43"/>
      <c r="AR132" s="43"/>
      <c r="AS132" s="43"/>
      <c r="AT132" s="43"/>
      <c r="AU132" s="43"/>
      <c r="AV132" s="43"/>
      <c r="AW132" s="46"/>
      <c r="AX132" s="46"/>
      <c r="AY132" s="46">
        <v>127</v>
      </c>
      <c r="AZ132" s="46">
        <f t="shared" si="103"/>
        <v>0</v>
      </c>
      <c r="BA132" s="46" t="b">
        <f t="shared" si="104"/>
        <v>0</v>
      </c>
      <c r="BB132" s="46">
        <v>127</v>
      </c>
      <c r="BC132" s="46">
        <v>125</v>
      </c>
      <c r="BD132" s="46" t="e">
        <f t="shared" si="93"/>
        <v>#N/A</v>
      </c>
      <c r="BE132" s="46" t="e">
        <f t="shared" ca="1" si="94"/>
        <v>#N/A</v>
      </c>
      <c r="BF132" s="46" t="e">
        <f t="shared" ca="1" si="105"/>
        <v>#N/A</v>
      </c>
      <c r="BG132" s="46" t="e">
        <f t="shared" ca="1" si="106"/>
        <v>#N/A</v>
      </c>
      <c r="BH132" s="46">
        <v>125</v>
      </c>
      <c r="BI132" s="46" t="e">
        <f t="shared" si="95"/>
        <v>#N/A</v>
      </c>
      <c r="BJ132" s="46" t="e">
        <f t="shared" ca="1" si="96"/>
        <v>#N/A</v>
      </c>
      <c r="BK132" s="46" t="e">
        <f t="shared" ca="1" si="107"/>
        <v>#N/A</v>
      </c>
      <c r="BL132" s="46" t="e">
        <f t="shared" ca="1" si="108"/>
        <v>#N/A</v>
      </c>
      <c r="BM132" s="46">
        <v>125</v>
      </c>
      <c r="BN132" s="46" t="e">
        <f t="shared" si="97"/>
        <v>#N/A</v>
      </c>
      <c r="BO132" s="46" t="e">
        <f t="shared" ca="1" si="98"/>
        <v>#N/A</v>
      </c>
      <c r="BP132" s="46" t="e">
        <f t="shared" ca="1" si="109"/>
        <v>#N/A</v>
      </c>
      <c r="BQ132" s="46" t="e">
        <f t="shared" ca="1" si="110"/>
        <v>#N/A</v>
      </c>
      <c r="BR132" s="46">
        <v>125</v>
      </c>
      <c r="BS132" s="46" t="e">
        <f t="shared" si="99"/>
        <v>#N/A</v>
      </c>
      <c r="BT132" s="46" t="e">
        <f t="shared" ca="1" si="100"/>
        <v>#N/A</v>
      </c>
      <c r="BU132" s="46" t="e">
        <f t="shared" ca="1" si="111"/>
        <v>#N/A</v>
      </c>
      <c r="BV132" s="46" t="e">
        <f t="shared" ca="1" si="112"/>
        <v>#N/A</v>
      </c>
      <c r="BW132" s="46">
        <v>125</v>
      </c>
      <c r="BX132" s="46" t="e">
        <f t="shared" si="101"/>
        <v>#N/A</v>
      </c>
      <c r="BY132" s="46" t="e">
        <f t="shared" ca="1" si="102"/>
        <v>#N/A</v>
      </c>
      <c r="BZ132" s="46" t="e">
        <f t="shared" ca="1" si="113"/>
        <v>#N/A</v>
      </c>
      <c r="CA132" s="46" t="e">
        <f t="shared" ca="1" si="114"/>
        <v>#N/A</v>
      </c>
      <c r="CC132" s="50"/>
      <c r="CD132" s="50"/>
      <c r="CE132" s="50"/>
      <c r="CF132" s="50"/>
      <c r="CG132" s="50"/>
      <c r="CH132" s="50"/>
      <c r="CI132" s="50"/>
      <c r="CJ132" s="50"/>
      <c r="CO132" s="43"/>
      <c r="CP132" s="43"/>
      <c r="CQ132" s="43"/>
    </row>
    <row r="133" spans="1:95" x14ac:dyDescent="0.25">
      <c r="A133" s="43"/>
      <c r="C133" s="42"/>
      <c r="I133" s="42"/>
      <c r="J133" s="42"/>
      <c r="K133" s="42"/>
      <c r="O133" s="43"/>
      <c r="Q133" s="43"/>
      <c r="R133" s="42"/>
      <c r="V133" s="43"/>
      <c r="AC133" s="43"/>
      <c r="AD133" s="43"/>
      <c r="AF133" s="42"/>
      <c r="AG133" s="42"/>
      <c r="AH133" s="42"/>
      <c r="AI133" s="42"/>
      <c r="AJ133" s="42"/>
      <c r="AK133" s="42"/>
      <c r="AL133" s="42"/>
      <c r="AM133" s="42"/>
      <c r="AN133" s="43"/>
      <c r="AO133" s="43"/>
      <c r="AP133" s="43"/>
      <c r="AQ133" s="43"/>
      <c r="AR133" s="43"/>
      <c r="AS133" s="43"/>
      <c r="AT133" s="43"/>
      <c r="AU133" s="43"/>
      <c r="AV133" s="43"/>
      <c r="AW133" s="46"/>
      <c r="AX133" s="46"/>
      <c r="AY133" s="46">
        <v>128</v>
      </c>
      <c r="AZ133" s="46">
        <f t="shared" si="103"/>
        <v>0</v>
      </c>
      <c r="BA133" s="46" t="b">
        <f t="shared" si="104"/>
        <v>0</v>
      </c>
      <c r="BB133" s="46">
        <v>128</v>
      </c>
      <c r="BC133" s="46">
        <v>126</v>
      </c>
      <c r="BD133" s="46" t="e">
        <f t="shared" si="93"/>
        <v>#N/A</v>
      </c>
      <c r="BE133" s="46" t="e">
        <f t="shared" ca="1" si="94"/>
        <v>#N/A</v>
      </c>
      <c r="BF133" s="46" t="e">
        <f t="shared" ca="1" si="105"/>
        <v>#N/A</v>
      </c>
      <c r="BG133" s="46" t="e">
        <f t="shared" ca="1" si="106"/>
        <v>#N/A</v>
      </c>
      <c r="BH133" s="46">
        <v>126</v>
      </c>
      <c r="BI133" s="46" t="e">
        <f t="shared" si="95"/>
        <v>#N/A</v>
      </c>
      <c r="BJ133" s="46" t="e">
        <f t="shared" ca="1" si="96"/>
        <v>#N/A</v>
      </c>
      <c r="BK133" s="46" t="e">
        <f t="shared" ca="1" si="107"/>
        <v>#N/A</v>
      </c>
      <c r="BL133" s="46" t="e">
        <f t="shared" ca="1" si="108"/>
        <v>#N/A</v>
      </c>
      <c r="BM133" s="46">
        <v>126</v>
      </c>
      <c r="BN133" s="46" t="e">
        <f t="shared" si="97"/>
        <v>#N/A</v>
      </c>
      <c r="BO133" s="46" t="e">
        <f t="shared" ca="1" si="98"/>
        <v>#N/A</v>
      </c>
      <c r="BP133" s="46" t="e">
        <f t="shared" ca="1" si="109"/>
        <v>#N/A</v>
      </c>
      <c r="BQ133" s="46" t="e">
        <f t="shared" ca="1" si="110"/>
        <v>#N/A</v>
      </c>
      <c r="BR133" s="46">
        <v>126</v>
      </c>
      <c r="BS133" s="46" t="e">
        <f t="shared" si="99"/>
        <v>#N/A</v>
      </c>
      <c r="BT133" s="46" t="e">
        <f t="shared" ca="1" si="100"/>
        <v>#N/A</v>
      </c>
      <c r="BU133" s="46" t="e">
        <f t="shared" ca="1" si="111"/>
        <v>#N/A</v>
      </c>
      <c r="BV133" s="46" t="e">
        <f t="shared" ca="1" si="112"/>
        <v>#N/A</v>
      </c>
      <c r="BW133" s="46">
        <v>126</v>
      </c>
      <c r="BX133" s="46" t="e">
        <f t="shared" si="101"/>
        <v>#N/A</v>
      </c>
      <c r="BY133" s="46" t="e">
        <f t="shared" ca="1" si="102"/>
        <v>#N/A</v>
      </c>
      <c r="BZ133" s="46" t="e">
        <f t="shared" ca="1" si="113"/>
        <v>#N/A</v>
      </c>
      <c r="CA133" s="46" t="e">
        <f t="shared" ca="1" si="114"/>
        <v>#N/A</v>
      </c>
      <c r="CC133" s="50"/>
      <c r="CD133" s="50"/>
      <c r="CE133" s="50"/>
      <c r="CF133" s="50"/>
      <c r="CG133" s="50"/>
      <c r="CH133" s="50"/>
      <c r="CI133" s="50"/>
      <c r="CJ133" s="50"/>
      <c r="CO133" s="43"/>
      <c r="CP133" s="43"/>
      <c r="CQ133" s="43"/>
    </row>
    <row r="134" spans="1:95" x14ac:dyDescent="0.25">
      <c r="A134" s="43"/>
      <c r="C134" s="42"/>
      <c r="I134" s="42"/>
      <c r="J134" s="42"/>
      <c r="K134" s="42"/>
      <c r="O134" s="43"/>
      <c r="Q134" s="43"/>
      <c r="R134" s="42"/>
      <c r="V134" s="43"/>
      <c r="AC134" s="43"/>
      <c r="AD134" s="43"/>
      <c r="AF134" s="42"/>
      <c r="AG134" s="42"/>
      <c r="AH134" s="42"/>
      <c r="AI134" s="42"/>
      <c r="AJ134" s="42"/>
      <c r="AK134" s="42"/>
      <c r="AL134" s="42"/>
      <c r="AM134" s="42"/>
      <c r="AN134" s="43"/>
      <c r="AO134" s="43"/>
      <c r="AP134" s="43"/>
      <c r="AQ134" s="43"/>
      <c r="AR134" s="43"/>
      <c r="AS134" s="43"/>
      <c r="AT134" s="43"/>
      <c r="AU134" s="43"/>
      <c r="AV134" s="43"/>
      <c r="AW134" s="46"/>
      <c r="AX134" s="46"/>
      <c r="AY134" s="46">
        <v>129</v>
      </c>
      <c r="AZ134" s="46">
        <f t="shared" si="103"/>
        <v>0</v>
      </c>
      <c r="BA134" s="46" t="b">
        <f t="shared" si="104"/>
        <v>0</v>
      </c>
      <c r="BB134" s="46">
        <v>129</v>
      </c>
      <c r="BC134" s="46">
        <v>127</v>
      </c>
      <c r="BD134" s="46" t="e">
        <f t="shared" si="93"/>
        <v>#N/A</v>
      </c>
      <c r="BE134" s="46" t="e">
        <f t="shared" ca="1" si="94"/>
        <v>#N/A</v>
      </c>
      <c r="BF134" s="46" t="e">
        <f t="shared" ca="1" si="105"/>
        <v>#N/A</v>
      </c>
      <c r="BG134" s="46" t="e">
        <f t="shared" ca="1" si="106"/>
        <v>#N/A</v>
      </c>
      <c r="BH134" s="46">
        <v>127</v>
      </c>
      <c r="BI134" s="46" t="e">
        <f t="shared" si="95"/>
        <v>#N/A</v>
      </c>
      <c r="BJ134" s="46" t="e">
        <f t="shared" ca="1" si="96"/>
        <v>#N/A</v>
      </c>
      <c r="BK134" s="46" t="e">
        <f t="shared" ca="1" si="107"/>
        <v>#N/A</v>
      </c>
      <c r="BL134" s="46" t="e">
        <f t="shared" ca="1" si="108"/>
        <v>#N/A</v>
      </c>
      <c r="BM134" s="46">
        <v>127</v>
      </c>
      <c r="BN134" s="46" t="e">
        <f t="shared" si="97"/>
        <v>#N/A</v>
      </c>
      <c r="BO134" s="46" t="e">
        <f t="shared" ca="1" si="98"/>
        <v>#N/A</v>
      </c>
      <c r="BP134" s="46" t="e">
        <f t="shared" ca="1" si="109"/>
        <v>#N/A</v>
      </c>
      <c r="BQ134" s="46" t="e">
        <f t="shared" ca="1" si="110"/>
        <v>#N/A</v>
      </c>
      <c r="BR134" s="46">
        <v>127</v>
      </c>
      <c r="BS134" s="46" t="e">
        <f t="shared" si="99"/>
        <v>#N/A</v>
      </c>
      <c r="BT134" s="46" t="e">
        <f t="shared" ca="1" si="100"/>
        <v>#N/A</v>
      </c>
      <c r="BU134" s="46" t="e">
        <f t="shared" ca="1" si="111"/>
        <v>#N/A</v>
      </c>
      <c r="BV134" s="46" t="e">
        <f t="shared" ca="1" si="112"/>
        <v>#N/A</v>
      </c>
      <c r="BW134" s="46">
        <v>127</v>
      </c>
      <c r="BX134" s="46" t="e">
        <f t="shared" si="101"/>
        <v>#N/A</v>
      </c>
      <c r="BY134" s="46" t="e">
        <f t="shared" ca="1" si="102"/>
        <v>#N/A</v>
      </c>
      <c r="BZ134" s="46" t="e">
        <f t="shared" ca="1" si="113"/>
        <v>#N/A</v>
      </c>
      <c r="CA134" s="46" t="e">
        <f t="shared" ca="1" si="114"/>
        <v>#N/A</v>
      </c>
      <c r="CC134" s="50"/>
      <c r="CD134" s="50"/>
      <c r="CE134" s="50"/>
      <c r="CF134" s="50"/>
      <c r="CG134" s="50"/>
      <c r="CH134" s="50"/>
      <c r="CI134" s="50"/>
      <c r="CJ134" s="50"/>
      <c r="CO134" s="43"/>
      <c r="CP134" s="43"/>
      <c r="CQ134" s="43"/>
    </row>
    <row r="135" spans="1:95" x14ac:dyDescent="0.25">
      <c r="A135" s="43"/>
      <c r="C135" s="42"/>
      <c r="I135" s="42"/>
      <c r="J135" s="42"/>
      <c r="K135" s="42"/>
      <c r="O135" s="43"/>
      <c r="Q135" s="43"/>
      <c r="R135" s="42"/>
      <c r="V135" s="43"/>
      <c r="AC135" s="43"/>
      <c r="AD135" s="43"/>
      <c r="AF135" s="42"/>
      <c r="AG135" s="42"/>
      <c r="AH135" s="42"/>
      <c r="AI135" s="42"/>
      <c r="AJ135" s="42"/>
      <c r="AK135" s="42"/>
      <c r="AL135" s="42"/>
      <c r="AM135" s="42"/>
      <c r="AN135" s="43"/>
      <c r="AO135" s="43"/>
      <c r="AP135" s="43"/>
      <c r="AQ135" s="43"/>
      <c r="AR135" s="43"/>
      <c r="AS135" s="43"/>
      <c r="AT135" s="43"/>
      <c r="AU135" s="43"/>
      <c r="AV135" s="43"/>
      <c r="AW135" s="46"/>
      <c r="AX135" s="46"/>
      <c r="AY135" s="46">
        <v>130</v>
      </c>
      <c r="AZ135" s="46">
        <f t="shared" ref="AZ135:AZ166" si="115" xml:space="preserve"> IFERROR(MATCH(AY135, $AW$7:$AW$10, 0), 0)</f>
        <v>0</v>
      </c>
      <c r="BA135" s="46" t="b">
        <f t="shared" ref="BA135:BA166" si="116">IF(AY135 &lt;= $AX$11, IF(AZ135 = 0, BA134 + $AI$6 + $AI$11, BA134 + ($AI$13 - $AI$11)))</f>
        <v>0</v>
      </c>
      <c r="BB135" s="46">
        <v>130</v>
      </c>
      <c r="BC135" s="46">
        <v>128</v>
      </c>
      <c r="BD135" s="46" t="e">
        <f t="shared" si="93"/>
        <v>#N/A</v>
      </c>
      <c r="BE135" s="46" t="e">
        <f t="shared" ca="1" si="94"/>
        <v>#N/A</v>
      </c>
      <c r="BF135" s="46" t="e">
        <f t="shared" ref="BF135:BF166" ca="1" si="117" xml:space="preserve"> IF(BE135, IF(MOD(BC135, 3) = 0, BE135 - $AI$11 / 2 - $AI$6, IF(MOD(BC135, 3) = 1, BE135 - $AI$11 / 2, BE135)))</f>
        <v>#N/A</v>
      </c>
      <c r="BG135" s="46" t="e">
        <f t="shared" ref="BG135:BG166" ca="1" si="118" xml:space="preserve"> IF(BE135, IF(MOD(BC135, 3) = 2, $AI$22, $AI$22 + 60 + 50 + 35))</f>
        <v>#N/A</v>
      </c>
      <c r="BH135" s="46">
        <v>128</v>
      </c>
      <c r="BI135" s="46" t="e">
        <f t="shared" si="95"/>
        <v>#N/A</v>
      </c>
      <c r="BJ135" s="46" t="e">
        <f t="shared" ca="1" si="96"/>
        <v>#N/A</v>
      </c>
      <c r="BK135" s="46" t="e">
        <f t="shared" ref="BK135:BK166" ca="1" si="119" xml:space="preserve"> IF(BJ135, IF(MOD(BH135, 3) = 0, BJ135 - $AI$11 / 2 - $AI$6, IF(MOD(BH135, 3) = 1, BJ135 - $AI$11 / 2, BJ135)))</f>
        <v>#N/A</v>
      </c>
      <c r="BL135" s="46" t="e">
        <f t="shared" ref="BL135:BL166" ca="1" si="120" xml:space="preserve"> IF(BJ135, IF(MOD(BH135, 3) = 2, $AI$22, $AI$22 + 60 + 50 + 35))</f>
        <v>#N/A</v>
      </c>
      <c r="BM135" s="46">
        <v>128</v>
      </c>
      <c r="BN135" s="46" t="e">
        <f t="shared" si="97"/>
        <v>#N/A</v>
      </c>
      <c r="BO135" s="46" t="e">
        <f t="shared" ca="1" si="98"/>
        <v>#N/A</v>
      </c>
      <c r="BP135" s="46" t="e">
        <f t="shared" ref="BP135:BP166" ca="1" si="121" xml:space="preserve"> IF(BO135, IF(MOD(BM135, 3) = 0, BO135 - $AI$11 / 2 - $AI$6, IF(MOD(BM135, 3) = 1, BO135 - $AI$11 / 2, BO135)))</f>
        <v>#N/A</v>
      </c>
      <c r="BQ135" s="46" t="e">
        <f t="shared" ref="BQ135:BQ166" ca="1" si="122" xml:space="preserve"> IF(BO135, IF(MOD(BM135, 3) = 2, $AI$22, $AI$22 + 60 + 50 + 35))</f>
        <v>#N/A</v>
      </c>
      <c r="BR135" s="46">
        <v>128</v>
      </c>
      <c r="BS135" s="46" t="e">
        <f t="shared" si="99"/>
        <v>#N/A</v>
      </c>
      <c r="BT135" s="46" t="e">
        <f t="shared" ca="1" si="100"/>
        <v>#N/A</v>
      </c>
      <c r="BU135" s="46" t="e">
        <f t="shared" ref="BU135:BU166" ca="1" si="123" xml:space="preserve"> IF(BT135, IF(MOD(BR135, 3) = 0, BT135 - $AI$11 / 2 - $AI$6, IF(MOD(BR135, 3) = 1, BT135 - $AI$11 / 2, BT135)))</f>
        <v>#N/A</v>
      </c>
      <c r="BV135" s="46" t="e">
        <f t="shared" ref="BV135:BV166" ca="1" si="124" xml:space="preserve"> IF(BT135, IF(MOD(BR135, 3) = 2, $AI$22, $AI$22 + 60 + 50 + 35))</f>
        <v>#N/A</v>
      </c>
      <c r="BW135" s="46">
        <v>128</v>
      </c>
      <c r="BX135" s="46" t="e">
        <f t="shared" si="101"/>
        <v>#N/A</v>
      </c>
      <c r="BY135" s="46" t="e">
        <f t="shared" ca="1" si="102"/>
        <v>#N/A</v>
      </c>
      <c r="BZ135" s="46" t="e">
        <f t="shared" ref="BZ135:BZ166" ca="1" si="125" xml:space="preserve"> IF(BY135, IF(MOD(BW135, 3) = 0, BY135 - $AI$11 / 2 - $AI$6, IF(MOD(BW135, 3) = 1, BY135 - $AI$11 / 2, BY135)))</f>
        <v>#N/A</v>
      </c>
      <c r="CA135" s="46" t="e">
        <f t="shared" ref="CA135:CA166" ca="1" si="126" xml:space="preserve"> IF(BY135, IF(MOD(BW135, 3) = 2, $AI$22, $AI$22 + 60 + 50 + 35))</f>
        <v>#N/A</v>
      </c>
      <c r="CC135" s="50"/>
      <c r="CD135" s="50"/>
      <c r="CE135" s="50"/>
      <c r="CF135" s="50"/>
      <c r="CG135" s="50"/>
      <c r="CH135" s="50"/>
      <c r="CI135" s="50"/>
      <c r="CJ135" s="50"/>
      <c r="CO135" s="43"/>
      <c r="CP135" s="43"/>
      <c r="CQ135" s="43"/>
    </row>
    <row r="136" spans="1:95" x14ac:dyDescent="0.25">
      <c r="A136" s="43"/>
      <c r="C136" s="42"/>
      <c r="I136" s="42"/>
      <c r="J136" s="42"/>
      <c r="K136" s="42"/>
      <c r="O136" s="43"/>
      <c r="Q136" s="43"/>
      <c r="R136" s="42"/>
      <c r="V136" s="43"/>
      <c r="AC136" s="43"/>
      <c r="AD136" s="43"/>
      <c r="AF136" s="42"/>
      <c r="AG136" s="42"/>
      <c r="AH136" s="42"/>
      <c r="AI136" s="42"/>
      <c r="AJ136" s="42"/>
      <c r="AK136" s="42"/>
      <c r="AL136" s="42"/>
      <c r="AM136" s="42"/>
      <c r="AN136" s="43"/>
      <c r="AO136" s="43"/>
      <c r="AP136" s="43"/>
      <c r="AQ136" s="43"/>
      <c r="AR136" s="43"/>
      <c r="AS136" s="43"/>
      <c r="AT136" s="43"/>
      <c r="AU136" s="43"/>
      <c r="AV136" s="43"/>
      <c r="AW136" s="46"/>
      <c r="AX136" s="46"/>
      <c r="AY136" s="46">
        <v>131</v>
      </c>
      <c r="AZ136" s="46">
        <f t="shared" si="115"/>
        <v>0</v>
      </c>
      <c r="BA136" s="46" t="b">
        <f t="shared" si="116"/>
        <v>0</v>
      </c>
      <c r="BB136" s="46">
        <v>131</v>
      </c>
      <c r="BC136" s="46">
        <v>129</v>
      </c>
      <c r="BD136" s="46" t="e">
        <f t="shared" ref="BD136:BD199" si="127" xml:space="preserve"> IF($AW$6 + ROUNDDOWN(BC136 / 3, 0) &lt; $AX$6, $AW$6 + ROUNDDOWN(BC136 / 3, 0), NA())</f>
        <v>#N/A</v>
      </c>
      <c r="BE136" s="46" t="e">
        <f t="shared" ref="BE136:BE199" ca="1" si="128" xml:space="preserve"> OFFSET($BA$6, BD136, , ,)</f>
        <v>#N/A</v>
      </c>
      <c r="BF136" s="46" t="e">
        <f t="shared" ca="1" si="117"/>
        <v>#N/A</v>
      </c>
      <c r="BG136" s="46" t="e">
        <f t="shared" ca="1" si="118"/>
        <v>#N/A</v>
      </c>
      <c r="BH136" s="46">
        <v>129</v>
      </c>
      <c r="BI136" s="46" t="e">
        <f t="shared" ref="BI136:BI199" si="129" xml:space="preserve"> IF($AW$7 + ROUNDDOWN(BH136 / 3, 0) &lt; $AX$7, $AW$7 + ROUNDDOWN(BH136 / 3, 0), NA())</f>
        <v>#N/A</v>
      </c>
      <c r="BJ136" s="46" t="e">
        <f t="shared" ref="BJ136:BJ199" ca="1" si="130" xml:space="preserve"> OFFSET($BA$6, BI136, , ,)</f>
        <v>#N/A</v>
      </c>
      <c r="BK136" s="46" t="e">
        <f t="shared" ca="1" si="119"/>
        <v>#N/A</v>
      </c>
      <c r="BL136" s="46" t="e">
        <f t="shared" ca="1" si="120"/>
        <v>#N/A</v>
      </c>
      <c r="BM136" s="46">
        <v>129</v>
      </c>
      <c r="BN136" s="46" t="e">
        <f t="shared" ref="BN136:BN199" si="131" xml:space="preserve"> IF($AW$8 + ROUNDDOWN(BM136 / 3, 0) &lt; $AX$8, $AW$8 + ROUNDDOWN(BM136 / 3, 0), NA())</f>
        <v>#N/A</v>
      </c>
      <c r="BO136" s="46" t="e">
        <f t="shared" ref="BO136:BO199" ca="1" si="132" xml:space="preserve"> OFFSET($BA$6, BN136, , ,)</f>
        <v>#N/A</v>
      </c>
      <c r="BP136" s="46" t="e">
        <f t="shared" ca="1" si="121"/>
        <v>#N/A</v>
      </c>
      <c r="BQ136" s="46" t="e">
        <f t="shared" ca="1" si="122"/>
        <v>#N/A</v>
      </c>
      <c r="BR136" s="46">
        <v>129</v>
      </c>
      <c r="BS136" s="46" t="e">
        <f t="shared" ref="BS136:BS199" si="133" xml:space="preserve"> IF($AW$9 + ROUNDDOWN(BR136 / 3, 0) &lt; $AX$9, $AW$9 + ROUNDDOWN(BR136 / 3, 0), NA())</f>
        <v>#N/A</v>
      </c>
      <c r="BT136" s="46" t="e">
        <f t="shared" ref="BT136:BT199" ca="1" si="134" xml:space="preserve"> OFFSET($BA$6, BS136, , ,)</f>
        <v>#N/A</v>
      </c>
      <c r="BU136" s="46" t="e">
        <f t="shared" ca="1" si="123"/>
        <v>#N/A</v>
      </c>
      <c r="BV136" s="46" t="e">
        <f t="shared" ca="1" si="124"/>
        <v>#N/A</v>
      </c>
      <c r="BW136" s="46">
        <v>129</v>
      </c>
      <c r="BX136" s="46" t="e">
        <f t="shared" ref="BX136:BX199" si="135" xml:space="preserve"> IF($AW$10 + ROUNDDOWN(BW136 / 3, 0) &lt; $AX$10, $AW$10 + ROUNDDOWN(BW136 / 3, 0), NA())</f>
        <v>#N/A</v>
      </c>
      <c r="BY136" s="46" t="e">
        <f t="shared" ref="BY136:BY199" ca="1" si="136" xml:space="preserve"> OFFSET($BA$6, BX136, , ,)</f>
        <v>#N/A</v>
      </c>
      <c r="BZ136" s="46" t="e">
        <f t="shared" ca="1" si="125"/>
        <v>#N/A</v>
      </c>
      <c r="CA136" s="46" t="e">
        <f t="shared" ca="1" si="126"/>
        <v>#N/A</v>
      </c>
      <c r="CC136" s="50"/>
      <c r="CD136" s="50"/>
      <c r="CE136" s="50"/>
      <c r="CF136" s="50"/>
      <c r="CG136" s="50"/>
      <c r="CH136" s="50"/>
      <c r="CI136" s="50"/>
      <c r="CJ136" s="50"/>
      <c r="CO136" s="43"/>
      <c r="CP136" s="43"/>
      <c r="CQ136" s="43"/>
    </row>
    <row r="137" spans="1:95" x14ac:dyDescent="0.25">
      <c r="A137" s="43"/>
      <c r="C137" s="42"/>
      <c r="I137" s="42"/>
      <c r="J137" s="42"/>
      <c r="K137" s="42"/>
      <c r="O137" s="43"/>
      <c r="Q137" s="43"/>
      <c r="R137" s="42"/>
      <c r="V137" s="43"/>
      <c r="AC137" s="43"/>
      <c r="AD137" s="43"/>
      <c r="AF137" s="42"/>
      <c r="AG137" s="42"/>
      <c r="AH137" s="42"/>
      <c r="AI137" s="42"/>
      <c r="AJ137" s="42"/>
      <c r="AK137" s="42"/>
      <c r="AL137" s="42"/>
      <c r="AM137" s="42"/>
      <c r="AN137" s="43"/>
      <c r="AO137" s="43"/>
      <c r="AP137" s="43"/>
      <c r="AQ137" s="43"/>
      <c r="AR137" s="43"/>
      <c r="AS137" s="43"/>
      <c r="AT137" s="43"/>
      <c r="AU137" s="43"/>
      <c r="AV137" s="43"/>
      <c r="AW137" s="46"/>
      <c r="AX137" s="46"/>
      <c r="AY137" s="46">
        <v>132</v>
      </c>
      <c r="AZ137" s="46">
        <f t="shared" si="115"/>
        <v>0</v>
      </c>
      <c r="BA137" s="46" t="b">
        <f t="shared" si="116"/>
        <v>0</v>
      </c>
      <c r="BB137" s="46">
        <v>132</v>
      </c>
      <c r="BC137" s="46">
        <v>130</v>
      </c>
      <c r="BD137" s="46" t="e">
        <f t="shared" si="127"/>
        <v>#N/A</v>
      </c>
      <c r="BE137" s="46" t="e">
        <f t="shared" ca="1" si="128"/>
        <v>#N/A</v>
      </c>
      <c r="BF137" s="46" t="e">
        <f t="shared" ca="1" si="117"/>
        <v>#N/A</v>
      </c>
      <c r="BG137" s="46" t="e">
        <f t="shared" ca="1" si="118"/>
        <v>#N/A</v>
      </c>
      <c r="BH137" s="46">
        <v>130</v>
      </c>
      <c r="BI137" s="46" t="e">
        <f t="shared" si="129"/>
        <v>#N/A</v>
      </c>
      <c r="BJ137" s="46" t="e">
        <f t="shared" ca="1" si="130"/>
        <v>#N/A</v>
      </c>
      <c r="BK137" s="46" t="e">
        <f t="shared" ca="1" si="119"/>
        <v>#N/A</v>
      </c>
      <c r="BL137" s="46" t="e">
        <f t="shared" ca="1" si="120"/>
        <v>#N/A</v>
      </c>
      <c r="BM137" s="46">
        <v>130</v>
      </c>
      <c r="BN137" s="46" t="e">
        <f t="shared" si="131"/>
        <v>#N/A</v>
      </c>
      <c r="BO137" s="46" t="e">
        <f t="shared" ca="1" si="132"/>
        <v>#N/A</v>
      </c>
      <c r="BP137" s="46" t="e">
        <f t="shared" ca="1" si="121"/>
        <v>#N/A</v>
      </c>
      <c r="BQ137" s="46" t="e">
        <f t="shared" ca="1" si="122"/>
        <v>#N/A</v>
      </c>
      <c r="BR137" s="46">
        <v>130</v>
      </c>
      <c r="BS137" s="46" t="e">
        <f t="shared" si="133"/>
        <v>#N/A</v>
      </c>
      <c r="BT137" s="46" t="e">
        <f t="shared" ca="1" si="134"/>
        <v>#N/A</v>
      </c>
      <c r="BU137" s="46" t="e">
        <f t="shared" ca="1" si="123"/>
        <v>#N/A</v>
      </c>
      <c r="BV137" s="46" t="e">
        <f t="shared" ca="1" si="124"/>
        <v>#N/A</v>
      </c>
      <c r="BW137" s="46">
        <v>130</v>
      </c>
      <c r="BX137" s="46" t="e">
        <f t="shared" si="135"/>
        <v>#N/A</v>
      </c>
      <c r="BY137" s="46" t="e">
        <f t="shared" ca="1" si="136"/>
        <v>#N/A</v>
      </c>
      <c r="BZ137" s="46" t="e">
        <f t="shared" ca="1" si="125"/>
        <v>#N/A</v>
      </c>
      <c r="CA137" s="46" t="e">
        <f t="shared" ca="1" si="126"/>
        <v>#N/A</v>
      </c>
      <c r="CC137" s="50"/>
      <c r="CD137" s="50"/>
      <c r="CE137" s="50"/>
      <c r="CF137" s="50"/>
      <c r="CG137" s="50"/>
      <c r="CH137" s="50"/>
      <c r="CI137" s="50"/>
      <c r="CJ137" s="50"/>
      <c r="CO137" s="43"/>
      <c r="CP137" s="43"/>
      <c r="CQ137" s="43"/>
    </row>
    <row r="138" spans="1:95" x14ac:dyDescent="0.25">
      <c r="A138" s="43"/>
      <c r="C138" s="42"/>
      <c r="I138" s="42"/>
      <c r="J138" s="42"/>
      <c r="K138" s="42"/>
      <c r="O138" s="43"/>
      <c r="Q138" s="43"/>
      <c r="R138" s="42"/>
      <c r="V138" s="43"/>
      <c r="AC138" s="43"/>
      <c r="AD138" s="43"/>
      <c r="AF138" s="42"/>
      <c r="AG138" s="42"/>
      <c r="AH138" s="42"/>
      <c r="AI138" s="42"/>
      <c r="AJ138" s="42"/>
      <c r="AK138" s="42"/>
      <c r="AL138" s="42"/>
      <c r="AM138" s="42"/>
      <c r="AN138" s="43"/>
      <c r="AO138" s="43"/>
      <c r="AP138" s="43"/>
      <c r="AQ138" s="43"/>
      <c r="AR138" s="43"/>
      <c r="AS138" s="43"/>
      <c r="AT138" s="43"/>
      <c r="AU138" s="43"/>
      <c r="AV138" s="43"/>
      <c r="AW138" s="46"/>
      <c r="AX138" s="46"/>
      <c r="AY138" s="46">
        <v>133</v>
      </c>
      <c r="AZ138" s="46">
        <f t="shared" si="115"/>
        <v>0</v>
      </c>
      <c r="BA138" s="46" t="b">
        <f t="shared" si="116"/>
        <v>0</v>
      </c>
      <c r="BB138" s="46">
        <v>133</v>
      </c>
      <c r="BC138" s="46">
        <v>131</v>
      </c>
      <c r="BD138" s="46" t="e">
        <f t="shared" si="127"/>
        <v>#N/A</v>
      </c>
      <c r="BE138" s="46" t="e">
        <f t="shared" ca="1" si="128"/>
        <v>#N/A</v>
      </c>
      <c r="BF138" s="46" t="e">
        <f t="shared" ca="1" si="117"/>
        <v>#N/A</v>
      </c>
      <c r="BG138" s="46" t="e">
        <f t="shared" ca="1" si="118"/>
        <v>#N/A</v>
      </c>
      <c r="BH138" s="46">
        <v>131</v>
      </c>
      <c r="BI138" s="46" t="e">
        <f t="shared" si="129"/>
        <v>#N/A</v>
      </c>
      <c r="BJ138" s="46" t="e">
        <f t="shared" ca="1" si="130"/>
        <v>#N/A</v>
      </c>
      <c r="BK138" s="46" t="e">
        <f t="shared" ca="1" si="119"/>
        <v>#N/A</v>
      </c>
      <c r="BL138" s="46" t="e">
        <f t="shared" ca="1" si="120"/>
        <v>#N/A</v>
      </c>
      <c r="BM138" s="46">
        <v>131</v>
      </c>
      <c r="BN138" s="46" t="e">
        <f t="shared" si="131"/>
        <v>#N/A</v>
      </c>
      <c r="BO138" s="46" t="e">
        <f t="shared" ca="1" si="132"/>
        <v>#N/A</v>
      </c>
      <c r="BP138" s="46" t="e">
        <f t="shared" ca="1" si="121"/>
        <v>#N/A</v>
      </c>
      <c r="BQ138" s="46" t="e">
        <f t="shared" ca="1" si="122"/>
        <v>#N/A</v>
      </c>
      <c r="BR138" s="46">
        <v>131</v>
      </c>
      <c r="BS138" s="46" t="e">
        <f t="shared" si="133"/>
        <v>#N/A</v>
      </c>
      <c r="BT138" s="46" t="e">
        <f t="shared" ca="1" si="134"/>
        <v>#N/A</v>
      </c>
      <c r="BU138" s="46" t="e">
        <f t="shared" ca="1" si="123"/>
        <v>#N/A</v>
      </c>
      <c r="BV138" s="46" t="e">
        <f t="shared" ca="1" si="124"/>
        <v>#N/A</v>
      </c>
      <c r="BW138" s="46">
        <v>131</v>
      </c>
      <c r="BX138" s="46" t="e">
        <f t="shared" si="135"/>
        <v>#N/A</v>
      </c>
      <c r="BY138" s="46" t="e">
        <f t="shared" ca="1" si="136"/>
        <v>#N/A</v>
      </c>
      <c r="BZ138" s="46" t="e">
        <f t="shared" ca="1" si="125"/>
        <v>#N/A</v>
      </c>
      <c r="CA138" s="46" t="e">
        <f t="shared" ca="1" si="126"/>
        <v>#N/A</v>
      </c>
      <c r="CC138" s="50"/>
      <c r="CD138" s="50"/>
      <c r="CE138" s="50"/>
      <c r="CF138" s="50"/>
      <c r="CG138" s="50"/>
      <c r="CH138" s="50"/>
      <c r="CI138" s="50"/>
      <c r="CJ138" s="50"/>
      <c r="CO138" s="43"/>
      <c r="CP138" s="43"/>
      <c r="CQ138" s="43"/>
    </row>
    <row r="139" spans="1:95" x14ac:dyDescent="0.25">
      <c r="A139" s="43"/>
      <c r="C139" s="42"/>
      <c r="I139" s="42"/>
      <c r="J139" s="42"/>
      <c r="K139" s="42"/>
      <c r="O139" s="43"/>
      <c r="Q139" s="43"/>
      <c r="R139" s="42"/>
      <c r="V139" s="43"/>
      <c r="AC139" s="43"/>
      <c r="AD139" s="43"/>
      <c r="AF139" s="42"/>
      <c r="AG139" s="42"/>
      <c r="AH139" s="42"/>
      <c r="AI139" s="42"/>
      <c r="AJ139" s="42"/>
      <c r="AK139" s="42"/>
      <c r="AL139" s="42"/>
      <c r="AM139" s="42"/>
      <c r="AN139" s="43"/>
      <c r="AO139" s="43"/>
      <c r="AP139" s="43"/>
      <c r="AQ139" s="43"/>
      <c r="AR139" s="43"/>
      <c r="AS139" s="43"/>
      <c r="AT139" s="43"/>
      <c r="AU139" s="43"/>
      <c r="AV139" s="43"/>
      <c r="AW139" s="46"/>
      <c r="AX139" s="46"/>
      <c r="AY139" s="46">
        <v>134</v>
      </c>
      <c r="AZ139" s="46">
        <f t="shared" si="115"/>
        <v>0</v>
      </c>
      <c r="BA139" s="46" t="b">
        <f t="shared" si="116"/>
        <v>0</v>
      </c>
      <c r="BB139" s="46">
        <v>134</v>
      </c>
      <c r="BC139" s="46">
        <v>132</v>
      </c>
      <c r="BD139" s="46" t="e">
        <f t="shared" si="127"/>
        <v>#N/A</v>
      </c>
      <c r="BE139" s="46" t="e">
        <f t="shared" ca="1" si="128"/>
        <v>#N/A</v>
      </c>
      <c r="BF139" s="46" t="e">
        <f t="shared" ca="1" si="117"/>
        <v>#N/A</v>
      </c>
      <c r="BG139" s="46" t="e">
        <f t="shared" ca="1" si="118"/>
        <v>#N/A</v>
      </c>
      <c r="BH139" s="46">
        <v>132</v>
      </c>
      <c r="BI139" s="46" t="e">
        <f t="shared" si="129"/>
        <v>#N/A</v>
      </c>
      <c r="BJ139" s="46" t="e">
        <f t="shared" ca="1" si="130"/>
        <v>#N/A</v>
      </c>
      <c r="BK139" s="46" t="e">
        <f t="shared" ca="1" si="119"/>
        <v>#N/A</v>
      </c>
      <c r="BL139" s="46" t="e">
        <f t="shared" ca="1" si="120"/>
        <v>#N/A</v>
      </c>
      <c r="BM139" s="46">
        <v>132</v>
      </c>
      <c r="BN139" s="46" t="e">
        <f t="shared" si="131"/>
        <v>#N/A</v>
      </c>
      <c r="BO139" s="46" t="e">
        <f t="shared" ca="1" si="132"/>
        <v>#N/A</v>
      </c>
      <c r="BP139" s="46" t="e">
        <f t="shared" ca="1" si="121"/>
        <v>#N/A</v>
      </c>
      <c r="BQ139" s="46" t="e">
        <f t="shared" ca="1" si="122"/>
        <v>#N/A</v>
      </c>
      <c r="BR139" s="46">
        <v>132</v>
      </c>
      <c r="BS139" s="46" t="e">
        <f t="shared" si="133"/>
        <v>#N/A</v>
      </c>
      <c r="BT139" s="46" t="e">
        <f t="shared" ca="1" si="134"/>
        <v>#N/A</v>
      </c>
      <c r="BU139" s="46" t="e">
        <f t="shared" ca="1" si="123"/>
        <v>#N/A</v>
      </c>
      <c r="BV139" s="46" t="e">
        <f t="shared" ca="1" si="124"/>
        <v>#N/A</v>
      </c>
      <c r="BW139" s="46">
        <v>132</v>
      </c>
      <c r="BX139" s="46" t="e">
        <f t="shared" si="135"/>
        <v>#N/A</v>
      </c>
      <c r="BY139" s="46" t="e">
        <f t="shared" ca="1" si="136"/>
        <v>#N/A</v>
      </c>
      <c r="BZ139" s="46" t="e">
        <f t="shared" ca="1" si="125"/>
        <v>#N/A</v>
      </c>
      <c r="CA139" s="46" t="e">
        <f t="shared" ca="1" si="126"/>
        <v>#N/A</v>
      </c>
      <c r="CC139" s="50"/>
      <c r="CD139" s="50"/>
      <c r="CE139" s="50"/>
      <c r="CF139" s="50"/>
      <c r="CG139" s="50"/>
      <c r="CH139" s="50"/>
      <c r="CI139" s="50"/>
      <c r="CJ139" s="50"/>
      <c r="CO139" s="43"/>
      <c r="CP139" s="43"/>
      <c r="CQ139" s="43"/>
    </row>
    <row r="140" spans="1:95" x14ac:dyDescent="0.25">
      <c r="A140" s="43"/>
      <c r="C140" s="42"/>
      <c r="I140" s="42"/>
      <c r="J140" s="42"/>
      <c r="K140" s="42"/>
      <c r="O140" s="43"/>
      <c r="Q140" s="43"/>
      <c r="R140" s="42"/>
      <c r="V140" s="43"/>
      <c r="AC140" s="43"/>
      <c r="AD140" s="43"/>
      <c r="AF140" s="42"/>
      <c r="AG140" s="42"/>
      <c r="AH140" s="42"/>
      <c r="AI140" s="42"/>
      <c r="AJ140" s="42"/>
      <c r="AK140" s="42"/>
      <c r="AL140" s="42"/>
      <c r="AM140" s="42"/>
      <c r="AN140" s="43"/>
      <c r="AO140" s="43"/>
      <c r="AP140" s="43"/>
      <c r="AQ140" s="43"/>
      <c r="AR140" s="43"/>
      <c r="AS140" s="43"/>
      <c r="AT140" s="43"/>
      <c r="AU140" s="43"/>
      <c r="AV140" s="43"/>
      <c r="AW140" s="46"/>
      <c r="AX140" s="46"/>
      <c r="AY140" s="46">
        <v>135</v>
      </c>
      <c r="AZ140" s="46">
        <f t="shared" si="115"/>
        <v>0</v>
      </c>
      <c r="BA140" s="46" t="b">
        <f t="shared" si="116"/>
        <v>0</v>
      </c>
      <c r="BB140" s="46">
        <v>135</v>
      </c>
      <c r="BC140" s="46">
        <v>133</v>
      </c>
      <c r="BD140" s="46" t="e">
        <f t="shared" si="127"/>
        <v>#N/A</v>
      </c>
      <c r="BE140" s="46" t="e">
        <f t="shared" ca="1" si="128"/>
        <v>#N/A</v>
      </c>
      <c r="BF140" s="46" t="e">
        <f t="shared" ca="1" si="117"/>
        <v>#N/A</v>
      </c>
      <c r="BG140" s="46" t="e">
        <f t="shared" ca="1" si="118"/>
        <v>#N/A</v>
      </c>
      <c r="BH140" s="46">
        <v>133</v>
      </c>
      <c r="BI140" s="46" t="e">
        <f t="shared" si="129"/>
        <v>#N/A</v>
      </c>
      <c r="BJ140" s="46" t="e">
        <f t="shared" ca="1" si="130"/>
        <v>#N/A</v>
      </c>
      <c r="BK140" s="46" t="e">
        <f t="shared" ca="1" si="119"/>
        <v>#N/A</v>
      </c>
      <c r="BL140" s="46" t="e">
        <f t="shared" ca="1" si="120"/>
        <v>#N/A</v>
      </c>
      <c r="BM140" s="46">
        <v>133</v>
      </c>
      <c r="BN140" s="46" t="e">
        <f t="shared" si="131"/>
        <v>#N/A</v>
      </c>
      <c r="BO140" s="46" t="e">
        <f t="shared" ca="1" si="132"/>
        <v>#N/A</v>
      </c>
      <c r="BP140" s="46" t="e">
        <f t="shared" ca="1" si="121"/>
        <v>#N/A</v>
      </c>
      <c r="BQ140" s="46" t="e">
        <f t="shared" ca="1" si="122"/>
        <v>#N/A</v>
      </c>
      <c r="BR140" s="46">
        <v>133</v>
      </c>
      <c r="BS140" s="46" t="e">
        <f t="shared" si="133"/>
        <v>#N/A</v>
      </c>
      <c r="BT140" s="46" t="e">
        <f t="shared" ca="1" si="134"/>
        <v>#N/A</v>
      </c>
      <c r="BU140" s="46" t="e">
        <f t="shared" ca="1" si="123"/>
        <v>#N/A</v>
      </c>
      <c r="BV140" s="46" t="e">
        <f t="shared" ca="1" si="124"/>
        <v>#N/A</v>
      </c>
      <c r="BW140" s="46">
        <v>133</v>
      </c>
      <c r="BX140" s="46" t="e">
        <f t="shared" si="135"/>
        <v>#N/A</v>
      </c>
      <c r="BY140" s="46" t="e">
        <f t="shared" ca="1" si="136"/>
        <v>#N/A</v>
      </c>
      <c r="BZ140" s="46" t="e">
        <f t="shared" ca="1" si="125"/>
        <v>#N/A</v>
      </c>
      <c r="CA140" s="46" t="e">
        <f t="shared" ca="1" si="126"/>
        <v>#N/A</v>
      </c>
      <c r="CC140" s="50"/>
      <c r="CD140" s="50"/>
      <c r="CE140" s="50"/>
      <c r="CF140" s="50"/>
      <c r="CG140" s="50"/>
      <c r="CH140" s="50"/>
      <c r="CI140" s="50"/>
      <c r="CJ140" s="50"/>
      <c r="CO140" s="43"/>
      <c r="CP140" s="43"/>
      <c r="CQ140" s="43"/>
    </row>
    <row r="141" spans="1:95" x14ac:dyDescent="0.25">
      <c r="A141" s="43"/>
      <c r="C141" s="42"/>
      <c r="I141" s="42"/>
      <c r="J141" s="42"/>
      <c r="K141" s="42"/>
      <c r="O141" s="43"/>
      <c r="Q141" s="43"/>
      <c r="R141" s="42"/>
      <c r="V141" s="43"/>
      <c r="AC141" s="43"/>
      <c r="AD141" s="43"/>
      <c r="AF141" s="42"/>
      <c r="AG141" s="42"/>
      <c r="AH141" s="42"/>
      <c r="AI141" s="42"/>
      <c r="AJ141" s="42"/>
      <c r="AK141" s="42"/>
      <c r="AL141" s="42"/>
      <c r="AM141" s="42"/>
      <c r="AN141" s="43"/>
      <c r="AO141" s="43"/>
      <c r="AP141" s="43"/>
      <c r="AQ141" s="43"/>
      <c r="AR141" s="43"/>
      <c r="AS141" s="43"/>
      <c r="AT141" s="43"/>
      <c r="AU141" s="43"/>
      <c r="AV141" s="43"/>
      <c r="AW141" s="46"/>
      <c r="AX141" s="46"/>
      <c r="AY141" s="46">
        <v>136</v>
      </c>
      <c r="AZ141" s="46">
        <f t="shared" si="115"/>
        <v>0</v>
      </c>
      <c r="BA141" s="46" t="b">
        <f t="shared" si="116"/>
        <v>0</v>
      </c>
      <c r="BB141" s="46">
        <v>136</v>
      </c>
      <c r="BC141" s="46">
        <v>134</v>
      </c>
      <c r="BD141" s="46" t="e">
        <f t="shared" si="127"/>
        <v>#N/A</v>
      </c>
      <c r="BE141" s="46" t="e">
        <f t="shared" ca="1" si="128"/>
        <v>#N/A</v>
      </c>
      <c r="BF141" s="46" t="e">
        <f t="shared" ca="1" si="117"/>
        <v>#N/A</v>
      </c>
      <c r="BG141" s="46" t="e">
        <f t="shared" ca="1" si="118"/>
        <v>#N/A</v>
      </c>
      <c r="BH141" s="46">
        <v>134</v>
      </c>
      <c r="BI141" s="46" t="e">
        <f t="shared" si="129"/>
        <v>#N/A</v>
      </c>
      <c r="BJ141" s="46" t="e">
        <f t="shared" ca="1" si="130"/>
        <v>#N/A</v>
      </c>
      <c r="BK141" s="46" t="e">
        <f t="shared" ca="1" si="119"/>
        <v>#N/A</v>
      </c>
      <c r="BL141" s="46" t="e">
        <f t="shared" ca="1" si="120"/>
        <v>#N/A</v>
      </c>
      <c r="BM141" s="46">
        <v>134</v>
      </c>
      <c r="BN141" s="46" t="e">
        <f t="shared" si="131"/>
        <v>#N/A</v>
      </c>
      <c r="BO141" s="46" t="e">
        <f t="shared" ca="1" si="132"/>
        <v>#N/A</v>
      </c>
      <c r="BP141" s="46" t="e">
        <f t="shared" ca="1" si="121"/>
        <v>#N/A</v>
      </c>
      <c r="BQ141" s="46" t="e">
        <f t="shared" ca="1" si="122"/>
        <v>#N/A</v>
      </c>
      <c r="BR141" s="46">
        <v>134</v>
      </c>
      <c r="BS141" s="46" t="e">
        <f t="shared" si="133"/>
        <v>#N/A</v>
      </c>
      <c r="BT141" s="46" t="e">
        <f t="shared" ca="1" si="134"/>
        <v>#N/A</v>
      </c>
      <c r="BU141" s="46" t="e">
        <f t="shared" ca="1" si="123"/>
        <v>#N/A</v>
      </c>
      <c r="BV141" s="46" t="e">
        <f t="shared" ca="1" si="124"/>
        <v>#N/A</v>
      </c>
      <c r="BW141" s="46">
        <v>134</v>
      </c>
      <c r="BX141" s="46" t="e">
        <f t="shared" si="135"/>
        <v>#N/A</v>
      </c>
      <c r="BY141" s="46" t="e">
        <f t="shared" ca="1" si="136"/>
        <v>#N/A</v>
      </c>
      <c r="BZ141" s="46" t="e">
        <f t="shared" ca="1" si="125"/>
        <v>#N/A</v>
      </c>
      <c r="CA141" s="46" t="e">
        <f t="shared" ca="1" si="126"/>
        <v>#N/A</v>
      </c>
      <c r="CC141" s="50"/>
      <c r="CD141" s="50"/>
      <c r="CE141" s="50"/>
      <c r="CF141" s="50"/>
      <c r="CG141" s="50"/>
      <c r="CH141" s="50"/>
      <c r="CI141" s="50"/>
      <c r="CJ141" s="50"/>
      <c r="CO141" s="43"/>
      <c r="CP141" s="43"/>
      <c r="CQ141" s="43"/>
    </row>
    <row r="142" spans="1:95" x14ac:dyDescent="0.25">
      <c r="A142" s="43"/>
      <c r="C142" s="42"/>
      <c r="I142" s="42"/>
      <c r="J142" s="42"/>
      <c r="K142" s="42"/>
      <c r="O142" s="43"/>
      <c r="Q142" s="43"/>
      <c r="R142" s="42"/>
      <c r="V142" s="43"/>
      <c r="AC142" s="43"/>
      <c r="AD142" s="43"/>
      <c r="AF142" s="42"/>
      <c r="AG142" s="42"/>
      <c r="AH142" s="42"/>
      <c r="AI142" s="42"/>
      <c r="AJ142" s="42"/>
      <c r="AK142" s="42"/>
      <c r="AL142" s="42"/>
      <c r="AM142" s="42"/>
      <c r="AN142" s="43"/>
      <c r="AO142" s="43"/>
      <c r="AP142" s="43"/>
      <c r="AQ142" s="43"/>
      <c r="AR142" s="43"/>
      <c r="AS142" s="43"/>
      <c r="AT142" s="43"/>
      <c r="AU142" s="43"/>
      <c r="AV142" s="43"/>
      <c r="AW142" s="46"/>
      <c r="AX142" s="46"/>
      <c r="AY142" s="46">
        <v>137</v>
      </c>
      <c r="AZ142" s="46">
        <f t="shared" si="115"/>
        <v>0</v>
      </c>
      <c r="BA142" s="46" t="b">
        <f t="shared" si="116"/>
        <v>0</v>
      </c>
      <c r="BB142" s="46">
        <v>137</v>
      </c>
      <c r="BC142" s="46">
        <v>135</v>
      </c>
      <c r="BD142" s="46" t="e">
        <f t="shared" si="127"/>
        <v>#N/A</v>
      </c>
      <c r="BE142" s="46" t="e">
        <f t="shared" ca="1" si="128"/>
        <v>#N/A</v>
      </c>
      <c r="BF142" s="46" t="e">
        <f t="shared" ca="1" si="117"/>
        <v>#N/A</v>
      </c>
      <c r="BG142" s="46" t="e">
        <f t="shared" ca="1" si="118"/>
        <v>#N/A</v>
      </c>
      <c r="BH142" s="46">
        <v>135</v>
      </c>
      <c r="BI142" s="46" t="e">
        <f t="shared" si="129"/>
        <v>#N/A</v>
      </c>
      <c r="BJ142" s="46" t="e">
        <f t="shared" ca="1" si="130"/>
        <v>#N/A</v>
      </c>
      <c r="BK142" s="46" t="e">
        <f t="shared" ca="1" si="119"/>
        <v>#N/A</v>
      </c>
      <c r="BL142" s="46" t="e">
        <f t="shared" ca="1" si="120"/>
        <v>#N/A</v>
      </c>
      <c r="BM142" s="46">
        <v>135</v>
      </c>
      <c r="BN142" s="46" t="e">
        <f t="shared" si="131"/>
        <v>#N/A</v>
      </c>
      <c r="BO142" s="46" t="e">
        <f t="shared" ca="1" si="132"/>
        <v>#N/A</v>
      </c>
      <c r="BP142" s="46" t="e">
        <f t="shared" ca="1" si="121"/>
        <v>#N/A</v>
      </c>
      <c r="BQ142" s="46" t="e">
        <f t="shared" ca="1" si="122"/>
        <v>#N/A</v>
      </c>
      <c r="BR142" s="46">
        <v>135</v>
      </c>
      <c r="BS142" s="46" t="e">
        <f t="shared" si="133"/>
        <v>#N/A</v>
      </c>
      <c r="BT142" s="46" t="e">
        <f t="shared" ca="1" si="134"/>
        <v>#N/A</v>
      </c>
      <c r="BU142" s="46" t="e">
        <f t="shared" ca="1" si="123"/>
        <v>#N/A</v>
      </c>
      <c r="BV142" s="46" t="e">
        <f t="shared" ca="1" si="124"/>
        <v>#N/A</v>
      </c>
      <c r="BW142" s="46">
        <v>135</v>
      </c>
      <c r="BX142" s="46" t="e">
        <f t="shared" si="135"/>
        <v>#N/A</v>
      </c>
      <c r="BY142" s="46" t="e">
        <f t="shared" ca="1" si="136"/>
        <v>#N/A</v>
      </c>
      <c r="BZ142" s="46" t="e">
        <f t="shared" ca="1" si="125"/>
        <v>#N/A</v>
      </c>
      <c r="CA142" s="46" t="e">
        <f t="shared" ca="1" si="126"/>
        <v>#N/A</v>
      </c>
      <c r="CC142" s="50"/>
      <c r="CD142" s="50"/>
      <c r="CE142" s="50"/>
      <c r="CF142" s="50"/>
      <c r="CG142" s="50"/>
      <c r="CH142" s="50"/>
      <c r="CI142" s="50"/>
      <c r="CJ142" s="50"/>
      <c r="CO142" s="43"/>
      <c r="CP142" s="43"/>
      <c r="CQ142" s="43"/>
    </row>
    <row r="143" spans="1:95" x14ac:dyDescent="0.25">
      <c r="A143" s="43"/>
      <c r="C143" s="42"/>
      <c r="I143" s="42"/>
      <c r="J143" s="42"/>
      <c r="K143" s="42"/>
      <c r="O143" s="43"/>
      <c r="Q143" s="43"/>
      <c r="R143" s="42"/>
      <c r="V143" s="43"/>
      <c r="AC143" s="43"/>
      <c r="AD143" s="43"/>
      <c r="AF143" s="42"/>
      <c r="AG143" s="42"/>
      <c r="AH143" s="42"/>
      <c r="AI143" s="42"/>
      <c r="AJ143" s="42"/>
      <c r="AK143" s="42"/>
      <c r="AL143" s="42"/>
      <c r="AM143" s="42"/>
      <c r="AN143" s="43"/>
      <c r="AO143" s="43"/>
      <c r="AP143" s="43"/>
      <c r="AQ143" s="43"/>
      <c r="AR143" s="43"/>
      <c r="AS143" s="43"/>
      <c r="AT143" s="43"/>
      <c r="AU143" s="43"/>
      <c r="AV143" s="43"/>
      <c r="AW143" s="46"/>
      <c r="AX143" s="46"/>
      <c r="AY143" s="46">
        <v>138</v>
      </c>
      <c r="AZ143" s="46">
        <f t="shared" si="115"/>
        <v>0</v>
      </c>
      <c r="BA143" s="46" t="b">
        <f t="shared" si="116"/>
        <v>0</v>
      </c>
      <c r="BB143" s="46">
        <v>138</v>
      </c>
      <c r="BC143" s="46">
        <v>136</v>
      </c>
      <c r="BD143" s="46" t="e">
        <f t="shared" si="127"/>
        <v>#N/A</v>
      </c>
      <c r="BE143" s="46" t="e">
        <f t="shared" ca="1" si="128"/>
        <v>#N/A</v>
      </c>
      <c r="BF143" s="46" t="e">
        <f t="shared" ca="1" si="117"/>
        <v>#N/A</v>
      </c>
      <c r="BG143" s="46" t="e">
        <f t="shared" ca="1" si="118"/>
        <v>#N/A</v>
      </c>
      <c r="BH143" s="46">
        <v>136</v>
      </c>
      <c r="BI143" s="46" t="e">
        <f t="shared" si="129"/>
        <v>#N/A</v>
      </c>
      <c r="BJ143" s="46" t="e">
        <f t="shared" ca="1" si="130"/>
        <v>#N/A</v>
      </c>
      <c r="BK143" s="46" t="e">
        <f t="shared" ca="1" si="119"/>
        <v>#N/A</v>
      </c>
      <c r="BL143" s="46" t="e">
        <f t="shared" ca="1" si="120"/>
        <v>#N/A</v>
      </c>
      <c r="BM143" s="46">
        <v>136</v>
      </c>
      <c r="BN143" s="46" t="e">
        <f t="shared" si="131"/>
        <v>#N/A</v>
      </c>
      <c r="BO143" s="46" t="e">
        <f t="shared" ca="1" si="132"/>
        <v>#N/A</v>
      </c>
      <c r="BP143" s="46" t="e">
        <f t="shared" ca="1" si="121"/>
        <v>#N/A</v>
      </c>
      <c r="BQ143" s="46" t="e">
        <f t="shared" ca="1" si="122"/>
        <v>#N/A</v>
      </c>
      <c r="BR143" s="46">
        <v>136</v>
      </c>
      <c r="BS143" s="46" t="e">
        <f t="shared" si="133"/>
        <v>#N/A</v>
      </c>
      <c r="BT143" s="46" t="e">
        <f t="shared" ca="1" si="134"/>
        <v>#N/A</v>
      </c>
      <c r="BU143" s="46" t="e">
        <f t="shared" ca="1" si="123"/>
        <v>#N/A</v>
      </c>
      <c r="BV143" s="46" t="e">
        <f t="shared" ca="1" si="124"/>
        <v>#N/A</v>
      </c>
      <c r="BW143" s="46">
        <v>136</v>
      </c>
      <c r="BX143" s="46" t="e">
        <f t="shared" si="135"/>
        <v>#N/A</v>
      </c>
      <c r="BY143" s="46" t="e">
        <f t="shared" ca="1" si="136"/>
        <v>#N/A</v>
      </c>
      <c r="BZ143" s="46" t="e">
        <f t="shared" ca="1" si="125"/>
        <v>#N/A</v>
      </c>
      <c r="CA143" s="46" t="e">
        <f t="shared" ca="1" si="126"/>
        <v>#N/A</v>
      </c>
      <c r="CC143" s="50"/>
      <c r="CD143" s="50"/>
      <c r="CE143" s="50"/>
      <c r="CF143" s="50"/>
      <c r="CG143" s="50"/>
      <c r="CH143" s="50"/>
      <c r="CI143" s="50"/>
      <c r="CJ143" s="50"/>
      <c r="CO143" s="43"/>
      <c r="CP143" s="43"/>
      <c r="CQ143" s="43"/>
    </row>
    <row r="144" spans="1:95" x14ac:dyDescent="0.25">
      <c r="A144" s="43"/>
      <c r="C144" s="42"/>
      <c r="I144" s="42"/>
      <c r="J144" s="42"/>
      <c r="K144" s="42"/>
      <c r="O144" s="43"/>
      <c r="Q144" s="43"/>
      <c r="R144" s="42"/>
      <c r="V144" s="43"/>
      <c r="AC144" s="43"/>
      <c r="AD144" s="43"/>
      <c r="AF144" s="42"/>
      <c r="AG144" s="42"/>
      <c r="AH144" s="42"/>
      <c r="AI144" s="42"/>
      <c r="AJ144" s="42"/>
      <c r="AK144" s="42"/>
      <c r="AL144" s="42"/>
      <c r="AM144" s="42"/>
      <c r="AN144" s="43"/>
      <c r="AO144" s="43"/>
      <c r="AP144" s="43"/>
      <c r="AQ144" s="43"/>
      <c r="AR144" s="43"/>
      <c r="AS144" s="43"/>
      <c r="AT144" s="43"/>
      <c r="AU144" s="43"/>
      <c r="AV144" s="43"/>
      <c r="AW144" s="46"/>
      <c r="AX144" s="46"/>
      <c r="AY144" s="46">
        <v>139</v>
      </c>
      <c r="AZ144" s="46">
        <f t="shared" si="115"/>
        <v>0</v>
      </c>
      <c r="BA144" s="46" t="b">
        <f t="shared" si="116"/>
        <v>0</v>
      </c>
      <c r="BB144" s="46">
        <v>139</v>
      </c>
      <c r="BC144" s="46">
        <v>137</v>
      </c>
      <c r="BD144" s="46" t="e">
        <f t="shared" si="127"/>
        <v>#N/A</v>
      </c>
      <c r="BE144" s="46" t="e">
        <f t="shared" ca="1" si="128"/>
        <v>#N/A</v>
      </c>
      <c r="BF144" s="46" t="e">
        <f t="shared" ca="1" si="117"/>
        <v>#N/A</v>
      </c>
      <c r="BG144" s="46" t="e">
        <f t="shared" ca="1" si="118"/>
        <v>#N/A</v>
      </c>
      <c r="BH144" s="46">
        <v>137</v>
      </c>
      <c r="BI144" s="46" t="e">
        <f t="shared" si="129"/>
        <v>#N/A</v>
      </c>
      <c r="BJ144" s="46" t="e">
        <f t="shared" ca="1" si="130"/>
        <v>#N/A</v>
      </c>
      <c r="BK144" s="46" t="e">
        <f t="shared" ca="1" si="119"/>
        <v>#N/A</v>
      </c>
      <c r="BL144" s="46" t="e">
        <f t="shared" ca="1" si="120"/>
        <v>#N/A</v>
      </c>
      <c r="BM144" s="46">
        <v>137</v>
      </c>
      <c r="BN144" s="46" t="e">
        <f t="shared" si="131"/>
        <v>#N/A</v>
      </c>
      <c r="BO144" s="46" t="e">
        <f t="shared" ca="1" si="132"/>
        <v>#N/A</v>
      </c>
      <c r="BP144" s="46" t="e">
        <f t="shared" ca="1" si="121"/>
        <v>#N/A</v>
      </c>
      <c r="BQ144" s="46" t="e">
        <f t="shared" ca="1" si="122"/>
        <v>#N/A</v>
      </c>
      <c r="BR144" s="46">
        <v>137</v>
      </c>
      <c r="BS144" s="46" t="e">
        <f t="shared" si="133"/>
        <v>#N/A</v>
      </c>
      <c r="BT144" s="46" t="e">
        <f t="shared" ca="1" si="134"/>
        <v>#N/A</v>
      </c>
      <c r="BU144" s="46" t="e">
        <f t="shared" ca="1" si="123"/>
        <v>#N/A</v>
      </c>
      <c r="BV144" s="46" t="e">
        <f t="shared" ca="1" si="124"/>
        <v>#N/A</v>
      </c>
      <c r="BW144" s="46">
        <v>137</v>
      </c>
      <c r="BX144" s="46" t="e">
        <f t="shared" si="135"/>
        <v>#N/A</v>
      </c>
      <c r="BY144" s="46" t="e">
        <f t="shared" ca="1" si="136"/>
        <v>#N/A</v>
      </c>
      <c r="BZ144" s="46" t="e">
        <f t="shared" ca="1" si="125"/>
        <v>#N/A</v>
      </c>
      <c r="CA144" s="46" t="e">
        <f t="shared" ca="1" si="126"/>
        <v>#N/A</v>
      </c>
      <c r="CC144" s="50"/>
      <c r="CD144" s="50"/>
      <c r="CE144" s="50"/>
      <c r="CF144" s="50"/>
      <c r="CG144" s="50"/>
      <c r="CH144" s="50"/>
      <c r="CI144" s="50"/>
      <c r="CJ144" s="50"/>
      <c r="CO144" s="43"/>
      <c r="CP144" s="43"/>
      <c r="CQ144" s="43"/>
    </row>
    <row r="145" spans="1:95" x14ac:dyDescent="0.25">
      <c r="A145" s="43"/>
      <c r="C145" s="42"/>
      <c r="I145" s="42"/>
      <c r="J145" s="42"/>
      <c r="K145" s="42"/>
      <c r="O145" s="43"/>
      <c r="Q145" s="43"/>
      <c r="R145" s="42"/>
      <c r="V145" s="43"/>
      <c r="AC145" s="43"/>
      <c r="AD145" s="43"/>
      <c r="AF145" s="42"/>
      <c r="AG145" s="42"/>
      <c r="AH145" s="42"/>
      <c r="AI145" s="42"/>
      <c r="AJ145" s="42"/>
      <c r="AK145" s="42"/>
      <c r="AL145" s="42"/>
      <c r="AM145" s="42"/>
      <c r="AN145" s="43"/>
      <c r="AO145" s="43"/>
      <c r="AP145" s="43"/>
      <c r="AQ145" s="43"/>
      <c r="AR145" s="43"/>
      <c r="AS145" s="43"/>
      <c r="AT145" s="43"/>
      <c r="AU145" s="43"/>
      <c r="AV145" s="43"/>
      <c r="AW145" s="46"/>
      <c r="AX145" s="46"/>
      <c r="AY145" s="46">
        <v>140</v>
      </c>
      <c r="AZ145" s="46">
        <f t="shared" si="115"/>
        <v>0</v>
      </c>
      <c r="BA145" s="46" t="b">
        <f t="shared" si="116"/>
        <v>0</v>
      </c>
      <c r="BB145" s="46">
        <v>140</v>
      </c>
      <c r="BC145" s="46">
        <v>138</v>
      </c>
      <c r="BD145" s="46" t="e">
        <f t="shared" si="127"/>
        <v>#N/A</v>
      </c>
      <c r="BE145" s="46" t="e">
        <f t="shared" ca="1" si="128"/>
        <v>#N/A</v>
      </c>
      <c r="BF145" s="46" t="e">
        <f t="shared" ca="1" si="117"/>
        <v>#N/A</v>
      </c>
      <c r="BG145" s="46" t="e">
        <f t="shared" ca="1" si="118"/>
        <v>#N/A</v>
      </c>
      <c r="BH145" s="46">
        <v>138</v>
      </c>
      <c r="BI145" s="46" t="e">
        <f t="shared" si="129"/>
        <v>#N/A</v>
      </c>
      <c r="BJ145" s="46" t="e">
        <f t="shared" ca="1" si="130"/>
        <v>#N/A</v>
      </c>
      <c r="BK145" s="46" t="e">
        <f t="shared" ca="1" si="119"/>
        <v>#N/A</v>
      </c>
      <c r="BL145" s="46" t="e">
        <f t="shared" ca="1" si="120"/>
        <v>#N/A</v>
      </c>
      <c r="BM145" s="46">
        <v>138</v>
      </c>
      <c r="BN145" s="46" t="e">
        <f t="shared" si="131"/>
        <v>#N/A</v>
      </c>
      <c r="BO145" s="46" t="e">
        <f t="shared" ca="1" si="132"/>
        <v>#N/A</v>
      </c>
      <c r="BP145" s="46" t="e">
        <f t="shared" ca="1" si="121"/>
        <v>#N/A</v>
      </c>
      <c r="BQ145" s="46" t="e">
        <f t="shared" ca="1" si="122"/>
        <v>#N/A</v>
      </c>
      <c r="BR145" s="46">
        <v>138</v>
      </c>
      <c r="BS145" s="46" t="e">
        <f t="shared" si="133"/>
        <v>#N/A</v>
      </c>
      <c r="BT145" s="46" t="e">
        <f t="shared" ca="1" si="134"/>
        <v>#N/A</v>
      </c>
      <c r="BU145" s="46" t="e">
        <f t="shared" ca="1" si="123"/>
        <v>#N/A</v>
      </c>
      <c r="BV145" s="46" t="e">
        <f t="shared" ca="1" si="124"/>
        <v>#N/A</v>
      </c>
      <c r="BW145" s="46">
        <v>138</v>
      </c>
      <c r="BX145" s="46" t="e">
        <f t="shared" si="135"/>
        <v>#N/A</v>
      </c>
      <c r="BY145" s="46" t="e">
        <f t="shared" ca="1" si="136"/>
        <v>#N/A</v>
      </c>
      <c r="BZ145" s="46" t="e">
        <f t="shared" ca="1" si="125"/>
        <v>#N/A</v>
      </c>
      <c r="CA145" s="46" t="e">
        <f t="shared" ca="1" si="126"/>
        <v>#N/A</v>
      </c>
      <c r="CC145" s="50"/>
      <c r="CD145" s="50"/>
      <c r="CE145" s="50"/>
      <c r="CF145" s="50"/>
      <c r="CG145" s="50"/>
      <c r="CH145" s="50"/>
      <c r="CI145" s="50"/>
      <c r="CJ145" s="50"/>
      <c r="CO145" s="43"/>
      <c r="CP145" s="43"/>
      <c r="CQ145" s="43"/>
    </row>
    <row r="146" spans="1:95" x14ac:dyDescent="0.25">
      <c r="A146" s="43"/>
      <c r="C146" s="42"/>
      <c r="I146" s="42"/>
      <c r="J146" s="42"/>
      <c r="K146" s="42"/>
      <c r="O146" s="43"/>
      <c r="Q146" s="43"/>
      <c r="R146" s="42"/>
      <c r="V146" s="43"/>
      <c r="AC146" s="43"/>
      <c r="AD146" s="43"/>
      <c r="AF146" s="42"/>
      <c r="AG146" s="42"/>
      <c r="AH146" s="42"/>
      <c r="AI146" s="42"/>
      <c r="AJ146" s="42"/>
      <c r="AK146" s="42"/>
      <c r="AL146" s="42"/>
      <c r="AM146" s="42"/>
      <c r="AN146" s="43"/>
      <c r="AO146" s="43"/>
      <c r="AP146" s="43"/>
      <c r="AQ146" s="43"/>
      <c r="AR146" s="43"/>
      <c r="AS146" s="43"/>
      <c r="AT146" s="43"/>
      <c r="AU146" s="43"/>
      <c r="AV146" s="43"/>
      <c r="AW146" s="46"/>
      <c r="AX146" s="46"/>
      <c r="AY146" s="46">
        <v>141</v>
      </c>
      <c r="AZ146" s="46">
        <f t="shared" si="115"/>
        <v>0</v>
      </c>
      <c r="BA146" s="46" t="b">
        <f t="shared" si="116"/>
        <v>0</v>
      </c>
      <c r="BB146" s="46">
        <v>141</v>
      </c>
      <c r="BC146" s="46">
        <v>139</v>
      </c>
      <c r="BD146" s="46" t="e">
        <f t="shared" si="127"/>
        <v>#N/A</v>
      </c>
      <c r="BE146" s="46" t="e">
        <f t="shared" ca="1" si="128"/>
        <v>#N/A</v>
      </c>
      <c r="BF146" s="46" t="e">
        <f t="shared" ca="1" si="117"/>
        <v>#N/A</v>
      </c>
      <c r="BG146" s="46" t="e">
        <f t="shared" ca="1" si="118"/>
        <v>#N/A</v>
      </c>
      <c r="BH146" s="46">
        <v>139</v>
      </c>
      <c r="BI146" s="46" t="e">
        <f t="shared" si="129"/>
        <v>#N/A</v>
      </c>
      <c r="BJ146" s="46" t="e">
        <f t="shared" ca="1" si="130"/>
        <v>#N/A</v>
      </c>
      <c r="BK146" s="46" t="e">
        <f t="shared" ca="1" si="119"/>
        <v>#N/A</v>
      </c>
      <c r="BL146" s="46" t="e">
        <f t="shared" ca="1" si="120"/>
        <v>#N/A</v>
      </c>
      <c r="BM146" s="46">
        <v>139</v>
      </c>
      <c r="BN146" s="46" t="e">
        <f t="shared" si="131"/>
        <v>#N/A</v>
      </c>
      <c r="BO146" s="46" t="e">
        <f t="shared" ca="1" si="132"/>
        <v>#N/A</v>
      </c>
      <c r="BP146" s="46" t="e">
        <f t="shared" ca="1" si="121"/>
        <v>#N/A</v>
      </c>
      <c r="BQ146" s="46" t="e">
        <f t="shared" ca="1" si="122"/>
        <v>#N/A</v>
      </c>
      <c r="BR146" s="46">
        <v>139</v>
      </c>
      <c r="BS146" s="46" t="e">
        <f t="shared" si="133"/>
        <v>#N/A</v>
      </c>
      <c r="BT146" s="46" t="e">
        <f t="shared" ca="1" si="134"/>
        <v>#N/A</v>
      </c>
      <c r="BU146" s="46" t="e">
        <f t="shared" ca="1" si="123"/>
        <v>#N/A</v>
      </c>
      <c r="BV146" s="46" t="e">
        <f t="shared" ca="1" si="124"/>
        <v>#N/A</v>
      </c>
      <c r="BW146" s="46">
        <v>139</v>
      </c>
      <c r="BX146" s="46" t="e">
        <f t="shared" si="135"/>
        <v>#N/A</v>
      </c>
      <c r="BY146" s="46" t="e">
        <f t="shared" ca="1" si="136"/>
        <v>#N/A</v>
      </c>
      <c r="BZ146" s="46" t="e">
        <f t="shared" ca="1" si="125"/>
        <v>#N/A</v>
      </c>
      <c r="CA146" s="46" t="e">
        <f t="shared" ca="1" si="126"/>
        <v>#N/A</v>
      </c>
      <c r="CC146" s="50"/>
      <c r="CD146" s="50"/>
      <c r="CE146" s="50"/>
      <c r="CF146" s="50"/>
      <c r="CG146" s="50"/>
      <c r="CH146" s="50"/>
      <c r="CI146" s="50"/>
      <c r="CJ146" s="50"/>
      <c r="CO146" s="43"/>
      <c r="CP146" s="43"/>
      <c r="CQ146" s="43"/>
    </row>
    <row r="147" spans="1:95" x14ac:dyDescent="0.25">
      <c r="A147" s="43"/>
      <c r="C147" s="42"/>
      <c r="I147" s="42"/>
      <c r="J147" s="42"/>
      <c r="K147" s="42"/>
      <c r="O147" s="43"/>
      <c r="Q147" s="43"/>
      <c r="R147" s="42"/>
      <c r="V147" s="43"/>
      <c r="AC147" s="43"/>
      <c r="AD147" s="43"/>
      <c r="AF147" s="42"/>
      <c r="AG147" s="42"/>
      <c r="AH147" s="42"/>
      <c r="AI147" s="42"/>
      <c r="AJ147" s="42"/>
      <c r="AK147" s="42"/>
      <c r="AL147" s="42"/>
      <c r="AM147" s="42"/>
      <c r="AN147" s="43"/>
      <c r="AO147" s="43"/>
      <c r="AP147" s="43"/>
      <c r="AQ147" s="43"/>
      <c r="AR147" s="43"/>
      <c r="AS147" s="43"/>
      <c r="AT147" s="43"/>
      <c r="AU147" s="43"/>
      <c r="AV147" s="43"/>
      <c r="AW147" s="46"/>
      <c r="AX147" s="46"/>
      <c r="AY147" s="46">
        <v>142</v>
      </c>
      <c r="AZ147" s="46">
        <f t="shared" si="115"/>
        <v>0</v>
      </c>
      <c r="BA147" s="46" t="b">
        <f t="shared" si="116"/>
        <v>0</v>
      </c>
      <c r="BB147" s="46">
        <v>142</v>
      </c>
      <c r="BC147" s="46">
        <v>140</v>
      </c>
      <c r="BD147" s="46" t="e">
        <f t="shared" si="127"/>
        <v>#N/A</v>
      </c>
      <c r="BE147" s="46" t="e">
        <f t="shared" ca="1" si="128"/>
        <v>#N/A</v>
      </c>
      <c r="BF147" s="46" t="e">
        <f t="shared" ca="1" si="117"/>
        <v>#N/A</v>
      </c>
      <c r="BG147" s="46" t="e">
        <f t="shared" ca="1" si="118"/>
        <v>#N/A</v>
      </c>
      <c r="BH147" s="46">
        <v>140</v>
      </c>
      <c r="BI147" s="46" t="e">
        <f t="shared" si="129"/>
        <v>#N/A</v>
      </c>
      <c r="BJ147" s="46" t="e">
        <f t="shared" ca="1" si="130"/>
        <v>#N/A</v>
      </c>
      <c r="BK147" s="46" t="e">
        <f t="shared" ca="1" si="119"/>
        <v>#N/A</v>
      </c>
      <c r="BL147" s="46" t="e">
        <f t="shared" ca="1" si="120"/>
        <v>#N/A</v>
      </c>
      <c r="BM147" s="46">
        <v>140</v>
      </c>
      <c r="BN147" s="46" t="e">
        <f t="shared" si="131"/>
        <v>#N/A</v>
      </c>
      <c r="BO147" s="46" t="e">
        <f t="shared" ca="1" si="132"/>
        <v>#N/A</v>
      </c>
      <c r="BP147" s="46" t="e">
        <f t="shared" ca="1" si="121"/>
        <v>#N/A</v>
      </c>
      <c r="BQ147" s="46" t="e">
        <f t="shared" ca="1" si="122"/>
        <v>#N/A</v>
      </c>
      <c r="BR147" s="46">
        <v>140</v>
      </c>
      <c r="BS147" s="46" t="e">
        <f t="shared" si="133"/>
        <v>#N/A</v>
      </c>
      <c r="BT147" s="46" t="e">
        <f t="shared" ca="1" si="134"/>
        <v>#N/A</v>
      </c>
      <c r="BU147" s="46" t="e">
        <f t="shared" ca="1" si="123"/>
        <v>#N/A</v>
      </c>
      <c r="BV147" s="46" t="e">
        <f t="shared" ca="1" si="124"/>
        <v>#N/A</v>
      </c>
      <c r="BW147" s="46">
        <v>140</v>
      </c>
      <c r="BX147" s="46" t="e">
        <f t="shared" si="135"/>
        <v>#N/A</v>
      </c>
      <c r="BY147" s="46" t="e">
        <f t="shared" ca="1" si="136"/>
        <v>#N/A</v>
      </c>
      <c r="BZ147" s="46" t="e">
        <f t="shared" ca="1" si="125"/>
        <v>#N/A</v>
      </c>
      <c r="CA147" s="46" t="e">
        <f t="shared" ca="1" si="126"/>
        <v>#N/A</v>
      </c>
      <c r="CC147" s="50"/>
      <c r="CD147" s="50"/>
      <c r="CE147" s="50"/>
      <c r="CF147" s="50"/>
      <c r="CG147" s="50"/>
      <c r="CH147" s="50"/>
      <c r="CI147" s="50"/>
      <c r="CJ147" s="50"/>
      <c r="CO147" s="43"/>
      <c r="CP147" s="43"/>
      <c r="CQ147" s="43"/>
    </row>
    <row r="148" spans="1:95" x14ac:dyDescent="0.25">
      <c r="A148" s="43"/>
      <c r="C148" s="42"/>
      <c r="I148" s="42"/>
      <c r="J148" s="42"/>
      <c r="K148" s="42"/>
      <c r="O148" s="43"/>
      <c r="Q148" s="43"/>
      <c r="R148" s="42"/>
      <c r="V148" s="43"/>
      <c r="AC148" s="43"/>
      <c r="AD148" s="43"/>
      <c r="AF148" s="42"/>
      <c r="AG148" s="42"/>
      <c r="AH148" s="42"/>
      <c r="AI148" s="42"/>
      <c r="AJ148" s="42"/>
      <c r="AK148" s="42"/>
      <c r="AL148" s="42"/>
      <c r="AM148" s="42"/>
      <c r="AN148" s="43"/>
      <c r="AO148" s="43"/>
      <c r="AP148" s="43"/>
      <c r="AQ148" s="43"/>
      <c r="AR148" s="43"/>
      <c r="AS148" s="43"/>
      <c r="AT148" s="43"/>
      <c r="AU148" s="43"/>
      <c r="AV148" s="43"/>
      <c r="AW148" s="46"/>
      <c r="AX148" s="46"/>
      <c r="AY148" s="46">
        <v>143</v>
      </c>
      <c r="AZ148" s="46">
        <f t="shared" si="115"/>
        <v>0</v>
      </c>
      <c r="BA148" s="46" t="b">
        <f t="shared" si="116"/>
        <v>0</v>
      </c>
      <c r="BB148" s="46">
        <v>143</v>
      </c>
      <c r="BC148" s="46">
        <v>141</v>
      </c>
      <c r="BD148" s="46" t="e">
        <f t="shared" si="127"/>
        <v>#N/A</v>
      </c>
      <c r="BE148" s="46" t="e">
        <f t="shared" ca="1" si="128"/>
        <v>#N/A</v>
      </c>
      <c r="BF148" s="46" t="e">
        <f t="shared" ca="1" si="117"/>
        <v>#N/A</v>
      </c>
      <c r="BG148" s="46" t="e">
        <f t="shared" ca="1" si="118"/>
        <v>#N/A</v>
      </c>
      <c r="BH148" s="46">
        <v>141</v>
      </c>
      <c r="BI148" s="46" t="e">
        <f t="shared" si="129"/>
        <v>#N/A</v>
      </c>
      <c r="BJ148" s="46" t="e">
        <f t="shared" ca="1" si="130"/>
        <v>#N/A</v>
      </c>
      <c r="BK148" s="46" t="e">
        <f t="shared" ca="1" si="119"/>
        <v>#N/A</v>
      </c>
      <c r="BL148" s="46" t="e">
        <f t="shared" ca="1" si="120"/>
        <v>#N/A</v>
      </c>
      <c r="BM148" s="46">
        <v>141</v>
      </c>
      <c r="BN148" s="46" t="e">
        <f t="shared" si="131"/>
        <v>#N/A</v>
      </c>
      <c r="BO148" s="46" t="e">
        <f t="shared" ca="1" si="132"/>
        <v>#N/A</v>
      </c>
      <c r="BP148" s="46" t="e">
        <f t="shared" ca="1" si="121"/>
        <v>#N/A</v>
      </c>
      <c r="BQ148" s="46" t="e">
        <f t="shared" ca="1" si="122"/>
        <v>#N/A</v>
      </c>
      <c r="BR148" s="46">
        <v>141</v>
      </c>
      <c r="BS148" s="46" t="e">
        <f t="shared" si="133"/>
        <v>#N/A</v>
      </c>
      <c r="BT148" s="46" t="e">
        <f t="shared" ca="1" si="134"/>
        <v>#N/A</v>
      </c>
      <c r="BU148" s="46" t="e">
        <f t="shared" ca="1" si="123"/>
        <v>#N/A</v>
      </c>
      <c r="BV148" s="46" t="e">
        <f t="shared" ca="1" si="124"/>
        <v>#N/A</v>
      </c>
      <c r="BW148" s="46">
        <v>141</v>
      </c>
      <c r="BX148" s="46" t="e">
        <f t="shared" si="135"/>
        <v>#N/A</v>
      </c>
      <c r="BY148" s="46" t="e">
        <f t="shared" ca="1" si="136"/>
        <v>#N/A</v>
      </c>
      <c r="BZ148" s="46" t="e">
        <f t="shared" ca="1" si="125"/>
        <v>#N/A</v>
      </c>
      <c r="CA148" s="46" t="e">
        <f t="shared" ca="1" si="126"/>
        <v>#N/A</v>
      </c>
      <c r="CC148" s="50"/>
      <c r="CD148" s="50"/>
      <c r="CE148" s="50"/>
      <c r="CF148" s="50"/>
      <c r="CG148" s="50"/>
      <c r="CH148" s="50"/>
      <c r="CI148" s="50"/>
      <c r="CJ148" s="50"/>
      <c r="CO148" s="43"/>
      <c r="CP148" s="43"/>
      <c r="CQ148" s="43"/>
    </row>
    <row r="149" spans="1:95" x14ac:dyDescent="0.25">
      <c r="A149" s="43"/>
      <c r="C149" s="42"/>
      <c r="I149" s="42"/>
      <c r="J149" s="42"/>
      <c r="K149" s="42"/>
      <c r="O149" s="43"/>
      <c r="Q149" s="43"/>
      <c r="R149" s="42"/>
      <c r="V149" s="43"/>
      <c r="AC149" s="43"/>
      <c r="AD149" s="43"/>
      <c r="AF149" s="42"/>
      <c r="AG149" s="42"/>
      <c r="AH149" s="42"/>
      <c r="AI149" s="42"/>
      <c r="AJ149" s="42"/>
      <c r="AK149" s="42"/>
      <c r="AL149" s="42"/>
      <c r="AM149" s="42"/>
      <c r="AN149" s="43"/>
      <c r="AO149" s="43"/>
      <c r="AP149" s="43"/>
      <c r="AQ149" s="43"/>
      <c r="AR149" s="43"/>
      <c r="AS149" s="43"/>
      <c r="AT149" s="43"/>
      <c r="AU149" s="43"/>
      <c r="AV149" s="43"/>
      <c r="AW149" s="46"/>
      <c r="AX149" s="46"/>
      <c r="AY149" s="46">
        <v>144</v>
      </c>
      <c r="AZ149" s="46">
        <f t="shared" si="115"/>
        <v>0</v>
      </c>
      <c r="BA149" s="46" t="b">
        <f t="shared" si="116"/>
        <v>0</v>
      </c>
      <c r="BB149" s="46">
        <v>144</v>
      </c>
      <c r="BC149" s="46">
        <v>142</v>
      </c>
      <c r="BD149" s="46" t="e">
        <f t="shared" si="127"/>
        <v>#N/A</v>
      </c>
      <c r="BE149" s="46" t="e">
        <f t="shared" ca="1" si="128"/>
        <v>#N/A</v>
      </c>
      <c r="BF149" s="46" t="e">
        <f t="shared" ca="1" si="117"/>
        <v>#N/A</v>
      </c>
      <c r="BG149" s="46" t="e">
        <f t="shared" ca="1" si="118"/>
        <v>#N/A</v>
      </c>
      <c r="BH149" s="46">
        <v>142</v>
      </c>
      <c r="BI149" s="46" t="e">
        <f t="shared" si="129"/>
        <v>#N/A</v>
      </c>
      <c r="BJ149" s="46" t="e">
        <f t="shared" ca="1" si="130"/>
        <v>#N/A</v>
      </c>
      <c r="BK149" s="46" t="e">
        <f t="shared" ca="1" si="119"/>
        <v>#N/A</v>
      </c>
      <c r="BL149" s="46" t="e">
        <f t="shared" ca="1" si="120"/>
        <v>#N/A</v>
      </c>
      <c r="BM149" s="46">
        <v>142</v>
      </c>
      <c r="BN149" s="46" t="e">
        <f t="shared" si="131"/>
        <v>#N/A</v>
      </c>
      <c r="BO149" s="46" t="e">
        <f t="shared" ca="1" si="132"/>
        <v>#N/A</v>
      </c>
      <c r="BP149" s="46" t="e">
        <f t="shared" ca="1" si="121"/>
        <v>#N/A</v>
      </c>
      <c r="BQ149" s="46" t="e">
        <f t="shared" ca="1" si="122"/>
        <v>#N/A</v>
      </c>
      <c r="BR149" s="46">
        <v>142</v>
      </c>
      <c r="BS149" s="46" t="e">
        <f t="shared" si="133"/>
        <v>#N/A</v>
      </c>
      <c r="BT149" s="46" t="e">
        <f t="shared" ca="1" si="134"/>
        <v>#N/A</v>
      </c>
      <c r="BU149" s="46" t="e">
        <f t="shared" ca="1" si="123"/>
        <v>#N/A</v>
      </c>
      <c r="BV149" s="46" t="e">
        <f t="shared" ca="1" si="124"/>
        <v>#N/A</v>
      </c>
      <c r="BW149" s="46">
        <v>142</v>
      </c>
      <c r="BX149" s="46" t="e">
        <f t="shared" si="135"/>
        <v>#N/A</v>
      </c>
      <c r="BY149" s="46" t="e">
        <f t="shared" ca="1" si="136"/>
        <v>#N/A</v>
      </c>
      <c r="BZ149" s="46" t="e">
        <f t="shared" ca="1" si="125"/>
        <v>#N/A</v>
      </c>
      <c r="CA149" s="46" t="e">
        <f t="shared" ca="1" si="126"/>
        <v>#N/A</v>
      </c>
      <c r="CC149" s="50"/>
      <c r="CD149" s="50"/>
      <c r="CE149" s="50"/>
      <c r="CF149" s="50"/>
      <c r="CG149" s="50"/>
      <c r="CH149" s="50"/>
      <c r="CI149" s="50"/>
      <c r="CJ149" s="50"/>
      <c r="CO149" s="43"/>
      <c r="CP149" s="43"/>
      <c r="CQ149" s="43"/>
    </row>
    <row r="150" spans="1:95" x14ac:dyDescent="0.25">
      <c r="A150" s="43"/>
      <c r="C150" s="42"/>
      <c r="I150" s="42"/>
      <c r="J150" s="42"/>
      <c r="K150" s="42"/>
      <c r="O150" s="43"/>
      <c r="Q150" s="43"/>
      <c r="R150" s="42"/>
      <c r="V150" s="43"/>
      <c r="AC150" s="43"/>
      <c r="AD150" s="43"/>
      <c r="AF150" s="42"/>
      <c r="AG150" s="42"/>
      <c r="AH150" s="42"/>
      <c r="AI150" s="42"/>
      <c r="AJ150" s="42"/>
      <c r="AK150" s="42"/>
      <c r="AL150" s="42"/>
      <c r="AM150" s="42"/>
      <c r="AN150" s="43"/>
      <c r="AO150" s="43"/>
      <c r="AP150" s="43"/>
      <c r="AQ150" s="43"/>
      <c r="AR150" s="43"/>
      <c r="AS150" s="43"/>
      <c r="AT150" s="43"/>
      <c r="AU150" s="43"/>
      <c r="AV150" s="43"/>
      <c r="AW150" s="46"/>
      <c r="AX150" s="46"/>
      <c r="AY150" s="46">
        <v>145</v>
      </c>
      <c r="AZ150" s="46">
        <f t="shared" si="115"/>
        <v>0</v>
      </c>
      <c r="BA150" s="46" t="b">
        <f t="shared" si="116"/>
        <v>0</v>
      </c>
      <c r="BB150" s="46">
        <v>145</v>
      </c>
      <c r="BC150" s="46">
        <v>143</v>
      </c>
      <c r="BD150" s="46" t="e">
        <f t="shared" si="127"/>
        <v>#N/A</v>
      </c>
      <c r="BE150" s="46" t="e">
        <f t="shared" ca="1" si="128"/>
        <v>#N/A</v>
      </c>
      <c r="BF150" s="46" t="e">
        <f t="shared" ca="1" si="117"/>
        <v>#N/A</v>
      </c>
      <c r="BG150" s="46" t="e">
        <f t="shared" ca="1" si="118"/>
        <v>#N/A</v>
      </c>
      <c r="BH150" s="46">
        <v>143</v>
      </c>
      <c r="BI150" s="46" t="e">
        <f t="shared" si="129"/>
        <v>#N/A</v>
      </c>
      <c r="BJ150" s="46" t="e">
        <f t="shared" ca="1" si="130"/>
        <v>#N/A</v>
      </c>
      <c r="BK150" s="46" t="e">
        <f t="shared" ca="1" si="119"/>
        <v>#N/A</v>
      </c>
      <c r="BL150" s="46" t="e">
        <f t="shared" ca="1" si="120"/>
        <v>#N/A</v>
      </c>
      <c r="BM150" s="46">
        <v>143</v>
      </c>
      <c r="BN150" s="46" t="e">
        <f t="shared" si="131"/>
        <v>#N/A</v>
      </c>
      <c r="BO150" s="46" t="e">
        <f t="shared" ca="1" si="132"/>
        <v>#N/A</v>
      </c>
      <c r="BP150" s="46" t="e">
        <f t="shared" ca="1" si="121"/>
        <v>#N/A</v>
      </c>
      <c r="BQ150" s="46" t="e">
        <f t="shared" ca="1" si="122"/>
        <v>#N/A</v>
      </c>
      <c r="BR150" s="46">
        <v>143</v>
      </c>
      <c r="BS150" s="46" t="e">
        <f t="shared" si="133"/>
        <v>#N/A</v>
      </c>
      <c r="BT150" s="46" t="e">
        <f t="shared" ca="1" si="134"/>
        <v>#N/A</v>
      </c>
      <c r="BU150" s="46" t="e">
        <f t="shared" ca="1" si="123"/>
        <v>#N/A</v>
      </c>
      <c r="BV150" s="46" t="e">
        <f t="shared" ca="1" si="124"/>
        <v>#N/A</v>
      </c>
      <c r="BW150" s="46">
        <v>143</v>
      </c>
      <c r="BX150" s="46" t="e">
        <f t="shared" si="135"/>
        <v>#N/A</v>
      </c>
      <c r="BY150" s="46" t="e">
        <f t="shared" ca="1" si="136"/>
        <v>#N/A</v>
      </c>
      <c r="BZ150" s="46" t="e">
        <f t="shared" ca="1" si="125"/>
        <v>#N/A</v>
      </c>
      <c r="CA150" s="46" t="e">
        <f t="shared" ca="1" si="126"/>
        <v>#N/A</v>
      </c>
      <c r="CC150" s="50"/>
      <c r="CD150" s="50"/>
      <c r="CE150" s="50"/>
      <c r="CF150" s="50"/>
      <c r="CG150" s="50"/>
      <c r="CH150" s="50"/>
      <c r="CI150" s="50"/>
      <c r="CJ150" s="50"/>
      <c r="CO150" s="43"/>
      <c r="CP150" s="43"/>
      <c r="CQ150" s="43"/>
    </row>
    <row r="151" spans="1:95" x14ac:dyDescent="0.25">
      <c r="A151" s="43"/>
      <c r="C151" s="42"/>
      <c r="I151" s="42"/>
      <c r="J151" s="42"/>
      <c r="K151" s="42"/>
      <c r="O151" s="43"/>
      <c r="Q151" s="43"/>
      <c r="R151" s="42"/>
      <c r="V151" s="43"/>
      <c r="AC151" s="43"/>
      <c r="AD151" s="43"/>
      <c r="AF151" s="42"/>
      <c r="AG151" s="42"/>
      <c r="AH151" s="42"/>
      <c r="AI151" s="42"/>
      <c r="AJ151" s="42"/>
      <c r="AK151" s="42"/>
      <c r="AL151" s="42"/>
      <c r="AM151" s="42"/>
      <c r="AN151" s="43"/>
      <c r="AO151" s="43"/>
      <c r="AP151" s="43"/>
      <c r="AQ151" s="43"/>
      <c r="AR151" s="43"/>
      <c r="AS151" s="43"/>
      <c r="AT151" s="43"/>
      <c r="AU151" s="43"/>
      <c r="AV151" s="43"/>
      <c r="AW151" s="46"/>
      <c r="AX151" s="46"/>
      <c r="AY151" s="46">
        <v>146</v>
      </c>
      <c r="AZ151" s="46">
        <f t="shared" si="115"/>
        <v>0</v>
      </c>
      <c r="BA151" s="46" t="b">
        <f t="shared" si="116"/>
        <v>0</v>
      </c>
      <c r="BB151" s="46">
        <v>146</v>
      </c>
      <c r="BC151" s="46">
        <v>144</v>
      </c>
      <c r="BD151" s="46" t="e">
        <f t="shared" si="127"/>
        <v>#N/A</v>
      </c>
      <c r="BE151" s="46" t="e">
        <f t="shared" ca="1" si="128"/>
        <v>#N/A</v>
      </c>
      <c r="BF151" s="46" t="e">
        <f t="shared" ca="1" si="117"/>
        <v>#N/A</v>
      </c>
      <c r="BG151" s="46" t="e">
        <f t="shared" ca="1" si="118"/>
        <v>#N/A</v>
      </c>
      <c r="BH151" s="46">
        <v>144</v>
      </c>
      <c r="BI151" s="46" t="e">
        <f t="shared" si="129"/>
        <v>#N/A</v>
      </c>
      <c r="BJ151" s="46" t="e">
        <f t="shared" ca="1" si="130"/>
        <v>#N/A</v>
      </c>
      <c r="BK151" s="46" t="e">
        <f t="shared" ca="1" si="119"/>
        <v>#N/A</v>
      </c>
      <c r="BL151" s="46" t="e">
        <f t="shared" ca="1" si="120"/>
        <v>#N/A</v>
      </c>
      <c r="BM151" s="46">
        <v>144</v>
      </c>
      <c r="BN151" s="46" t="e">
        <f t="shared" si="131"/>
        <v>#N/A</v>
      </c>
      <c r="BO151" s="46" t="e">
        <f t="shared" ca="1" si="132"/>
        <v>#N/A</v>
      </c>
      <c r="BP151" s="46" t="e">
        <f t="shared" ca="1" si="121"/>
        <v>#N/A</v>
      </c>
      <c r="BQ151" s="46" t="e">
        <f t="shared" ca="1" si="122"/>
        <v>#N/A</v>
      </c>
      <c r="BR151" s="46">
        <v>144</v>
      </c>
      <c r="BS151" s="46" t="e">
        <f t="shared" si="133"/>
        <v>#N/A</v>
      </c>
      <c r="BT151" s="46" t="e">
        <f t="shared" ca="1" si="134"/>
        <v>#N/A</v>
      </c>
      <c r="BU151" s="46" t="e">
        <f t="shared" ca="1" si="123"/>
        <v>#N/A</v>
      </c>
      <c r="BV151" s="46" t="e">
        <f t="shared" ca="1" si="124"/>
        <v>#N/A</v>
      </c>
      <c r="BW151" s="46">
        <v>144</v>
      </c>
      <c r="BX151" s="46" t="e">
        <f t="shared" si="135"/>
        <v>#N/A</v>
      </c>
      <c r="BY151" s="46" t="e">
        <f t="shared" ca="1" si="136"/>
        <v>#N/A</v>
      </c>
      <c r="BZ151" s="46" t="e">
        <f t="shared" ca="1" si="125"/>
        <v>#N/A</v>
      </c>
      <c r="CA151" s="46" t="e">
        <f t="shared" ca="1" si="126"/>
        <v>#N/A</v>
      </c>
      <c r="CC151" s="50"/>
      <c r="CD151" s="50"/>
      <c r="CE151" s="50"/>
      <c r="CF151" s="50"/>
      <c r="CG151" s="50"/>
      <c r="CH151" s="50"/>
      <c r="CI151" s="50"/>
      <c r="CJ151" s="50"/>
      <c r="CO151" s="43"/>
      <c r="CP151" s="43"/>
      <c r="CQ151" s="43"/>
    </row>
    <row r="152" spans="1:95" x14ac:dyDescent="0.25">
      <c r="A152" s="43"/>
      <c r="C152" s="42"/>
      <c r="I152" s="42"/>
      <c r="J152" s="42"/>
      <c r="K152" s="42"/>
      <c r="O152" s="43"/>
      <c r="Q152" s="43"/>
      <c r="R152" s="42"/>
      <c r="V152" s="43"/>
      <c r="AC152" s="43"/>
      <c r="AD152" s="43"/>
      <c r="AF152" s="42"/>
      <c r="AG152" s="42"/>
      <c r="AH152" s="42"/>
      <c r="AI152" s="42"/>
      <c r="AJ152" s="42"/>
      <c r="AK152" s="42"/>
      <c r="AL152" s="42"/>
      <c r="AM152" s="42"/>
      <c r="AN152" s="43"/>
      <c r="AO152" s="43"/>
      <c r="AP152" s="43"/>
      <c r="AQ152" s="43"/>
      <c r="AR152" s="43"/>
      <c r="AS152" s="43"/>
      <c r="AT152" s="43"/>
      <c r="AU152" s="43"/>
      <c r="AV152" s="43"/>
      <c r="AW152" s="46"/>
      <c r="AX152" s="46"/>
      <c r="AY152" s="46">
        <v>147</v>
      </c>
      <c r="AZ152" s="46">
        <f t="shared" si="115"/>
        <v>0</v>
      </c>
      <c r="BA152" s="46" t="b">
        <f t="shared" si="116"/>
        <v>0</v>
      </c>
      <c r="BB152" s="46">
        <v>147</v>
      </c>
      <c r="BC152" s="46">
        <v>145</v>
      </c>
      <c r="BD152" s="46" t="e">
        <f t="shared" si="127"/>
        <v>#N/A</v>
      </c>
      <c r="BE152" s="46" t="e">
        <f t="shared" ca="1" si="128"/>
        <v>#N/A</v>
      </c>
      <c r="BF152" s="46" t="e">
        <f t="shared" ca="1" si="117"/>
        <v>#N/A</v>
      </c>
      <c r="BG152" s="46" t="e">
        <f t="shared" ca="1" si="118"/>
        <v>#N/A</v>
      </c>
      <c r="BH152" s="46">
        <v>145</v>
      </c>
      <c r="BI152" s="46" t="e">
        <f t="shared" si="129"/>
        <v>#N/A</v>
      </c>
      <c r="BJ152" s="46" t="e">
        <f t="shared" ca="1" si="130"/>
        <v>#N/A</v>
      </c>
      <c r="BK152" s="46" t="e">
        <f t="shared" ca="1" si="119"/>
        <v>#N/A</v>
      </c>
      <c r="BL152" s="46" t="e">
        <f t="shared" ca="1" si="120"/>
        <v>#N/A</v>
      </c>
      <c r="BM152" s="46">
        <v>145</v>
      </c>
      <c r="BN152" s="46" t="e">
        <f t="shared" si="131"/>
        <v>#N/A</v>
      </c>
      <c r="BO152" s="46" t="e">
        <f t="shared" ca="1" si="132"/>
        <v>#N/A</v>
      </c>
      <c r="BP152" s="46" t="e">
        <f t="shared" ca="1" si="121"/>
        <v>#N/A</v>
      </c>
      <c r="BQ152" s="46" t="e">
        <f t="shared" ca="1" si="122"/>
        <v>#N/A</v>
      </c>
      <c r="BR152" s="46">
        <v>145</v>
      </c>
      <c r="BS152" s="46" t="e">
        <f t="shared" si="133"/>
        <v>#N/A</v>
      </c>
      <c r="BT152" s="46" t="e">
        <f t="shared" ca="1" si="134"/>
        <v>#N/A</v>
      </c>
      <c r="BU152" s="46" t="e">
        <f t="shared" ca="1" si="123"/>
        <v>#N/A</v>
      </c>
      <c r="BV152" s="46" t="e">
        <f t="shared" ca="1" si="124"/>
        <v>#N/A</v>
      </c>
      <c r="BW152" s="46">
        <v>145</v>
      </c>
      <c r="BX152" s="46" t="e">
        <f t="shared" si="135"/>
        <v>#N/A</v>
      </c>
      <c r="BY152" s="46" t="e">
        <f t="shared" ca="1" si="136"/>
        <v>#N/A</v>
      </c>
      <c r="BZ152" s="46" t="e">
        <f t="shared" ca="1" si="125"/>
        <v>#N/A</v>
      </c>
      <c r="CA152" s="46" t="e">
        <f t="shared" ca="1" si="126"/>
        <v>#N/A</v>
      </c>
      <c r="CC152" s="50"/>
      <c r="CD152" s="50"/>
      <c r="CE152" s="50"/>
      <c r="CF152" s="50"/>
      <c r="CG152" s="50"/>
      <c r="CH152" s="50"/>
      <c r="CI152" s="50"/>
      <c r="CJ152" s="50"/>
      <c r="CO152" s="43"/>
      <c r="CP152" s="43"/>
      <c r="CQ152" s="43"/>
    </row>
    <row r="153" spans="1:95" x14ac:dyDescent="0.25">
      <c r="A153" s="43"/>
      <c r="C153" s="42"/>
      <c r="I153" s="42"/>
      <c r="J153" s="42"/>
      <c r="K153" s="42"/>
      <c r="O153" s="43"/>
      <c r="Q153" s="43"/>
      <c r="R153" s="42"/>
      <c r="V153" s="43"/>
      <c r="AC153" s="43"/>
      <c r="AD153" s="43"/>
      <c r="AF153" s="42"/>
      <c r="AG153" s="42"/>
      <c r="AH153" s="42"/>
      <c r="AI153" s="42"/>
      <c r="AJ153" s="42"/>
      <c r="AK153" s="42"/>
      <c r="AL153" s="42"/>
      <c r="AM153" s="42"/>
      <c r="AN153" s="43"/>
      <c r="AO153" s="43"/>
      <c r="AP153" s="43"/>
      <c r="AQ153" s="43"/>
      <c r="AR153" s="43"/>
      <c r="AS153" s="43"/>
      <c r="AT153" s="43"/>
      <c r="AU153" s="43"/>
      <c r="AV153" s="43"/>
      <c r="AW153" s="46"/>
      <c r="AX153" s="46"/>
      <c r="AY153" s="46">
        <v>148</v>
      </c>
      <c r="AZ153" s="46">
        <f t="shared" si="115"/>
        <v>0</v>
      </c>
      <c r="BA153" s="46" t="b">
        <f t="shared" si="116"/>
        <v>0</v>
      </c>
      <c r="BB153" s="46">
        <v>148</v>
      </c>
      <c r="BC153" s="46">
        <v>146</v>
      </c>
      <c r="BD153" s="46" t="e">
        <f t="shared" si="127"/>
        <v>#N/A</v>
      </c>
      <c r="BE153" s="46" t="e">
        <f t="shared" ca="1" si="128"/>
        <v>#N/A</v>
      </c>
      <c r="BF153" s="46" t="e">
        <f t="shared" ca="1" si="117"/>
        <v>#N/A</v>
      </c>
      <c r="BG153" s="46" t="e">
        <f t="shared" ca="1" si="118"/>
        <v>#N/A</v>
      </c>
      <c r="BH153" s="46">
        <v>146</v>
      </c>
      <c r="BI153" s="46" t="e">
        <f t="shared" si="129"/>
        <v>#N/A</v>
      </c>
      <c r="BJ153" s="46" t="e">
        <f t="shared" ca="1" si="130"/>
        <v>#N/A</v>
      </c>
      <c r="BK153" s="46" t="e">
        <f t="shared" ca="1" si="119"/>
        <v>#N/A</v>
      </c>
      <c r="BL153" s="46" t="e">
        <f t="shared" ca="1" si="120"/>
        <v>#N/A</v>
      </c>
      <c r="BM153" s="46">
        <v>146</v>
      </c>
      <c r="BN153" s="46" t="e">
        <f t="shared" si="131"/>
        <v>#N/A</v>
      </c>
      <c r="BO153" s="46" t="e">
        <f t="shared" ca="1" si="132"/>
        <v>#N/A</v>
      </c>
      <c r="BP153" s="46" t="e">
        <f t="shared" ca="1" si="121"/>
        <v>#N/A</v>
      </c>
      <c r="BQ153" s="46" t="e">
        <f t="shared" ca="1" si="122"/>
        <v>#N/A</v>
      </c>
      <c r="BR153" s="46">
        <v>146</v>
      </c>
      <c r="BS153" s="46" t="e">
        <f t="shared" si="133"/>
        <v>#N/A</v>
      </c>
      <c r="BT153" s="46" t="e">
        <f t="shared" ca="1" si="134"/>
        <v>#N/A</v>
      </c>
      <c r="BU153" s="46" t="e">
        <f t="shared" ca="1" si="123"/>
        <v>#N/A</v>
      </c>
      <c r="BV153" s="46" t="e">
        <f t="shared" ca="1" si="124"/>
        <v>#N/A</v>
      </c>
      <c r="BW153" s="46">
        <v>146</v>
      </c>
      <c r="BX153" s="46" t="e">
        <f t="shared" si="135"/>
        <v>#N/A</v>
      </c>
      <c r="BY153" s="46" t="e">
        <f t="shared" ca="1" si="136"/>
        <v>#N/A</v>
      </c>
      <c r="BZ153" s="46" t="e">
        <f t="shared" ca="1" si="125"/>
        <v>#N/A</v>
      </c>
      <c r="CA153" s="46" t="e">
        <f t="shared" ca="1" si="126"/>
        <v>#N/A</v>
      </c>
      <c r="CC153" s="50"/>
      <c r="CD153" s="50"/>
      <c r="CE153" s="50"/>
      <c r="CF153" s="50"/>
      <c r="CG153" s="50"/>
      <c r="CH153" s="50"/>
      <c r="CI153" s="50"/>
      <c r="CJ153" s="50"/>
      <c r="CO153" s="43"/>
      <c r="CP153" s="43"/>
      <c r="CQ153" s="43"/>
    </row>
    <row r="154" spans="1:95" x14ac:dyDescent="0.25">
      <c r="A154" s="43"/>
      <c r="C154" s="42"/>
      <c r="I154" s="42"/>
      <c r="J154" s="42"/>
      <c r="K154" s="42"/>
      <c r="O154" s="43"/>
      <c r="Q154" s="43"/>
      <c r="R154" s="42"/>
      <c r="V154" s="43"/>
      <c r="AC154" s="43"/>
      <c r="AD154" s="43"/>
      <c r="AF154" s="42"/>
      <c r="AG154" s="42"/>
      <c r="AH154" s="42"/>
      <c r="AI154" s="42"/>
      <c r="AJ154" s="42"/>
      <c r="AK154" s="42"/>
      <c r="AL154" s="42"/>
      <c r="AM154" s="42"/>
      <c r="AN154" s="43"/>
      <c r="AO154" s="43"/>
      <c r="AP154" s="43"/>
      <c r="AQ154" s="43"/>
      <c r="AR154" s="43"/>
      <c r="AS154" s="43"/>
      <c r="AT154" s="43"/>
      <c r="AU154" s="43"/>
      <c r="AV154" s="43"/>
      <c r="AW154" s="46"/>
      <c r="AX154" s="46"/>
      <c r="AY154" s="46">
        <v>149</v>
      </c>
      <c r="AZ154" s="46">
        <f t="shared" si="115"/>
        <v>0</v>
      </c>
      <c r="BA154" s="46" t="b">
        <f t="shared" si="116"/>
        <v>0</v>
      </c>
      <c r="BB154" s="46">
        <v>149</v>
      </c>
      <c r="BC154" s="46">
        <v>147</v>
      </c>
      <c r="BD154" s="46" t="e">
        <f t="shared" si="127"/>
        <v>#N/A</v>
      </c>
      <c r="BE154" s="46" t="e">
        <f t="shared" ca="1" si="128"/>
        <v>#N/A</v>
      </c>
      <c r="BF154" s="46" t="e">
        <f t="shared" ca="1" si="117"/>
        <v>#N/A</v>
      </c>
      <c r="BG154" s="46" t="e">
        <f t="shared" ca="1" si="118"/>
        <v>#N/A</v>
      </c>
      <c r="BH154" s="46">
        <v>147</v>
      </c>
      <c r="BI154" s="46" t="e">
        <f t="shared" si="129"/>
        <v>#N/A</v>
      </c>
      <c r="BJ154" s="46" t="e">
        <f t="shared" ca="1" si="130"/>
        <v>#N/A</v>
      </c>
      <c r="BK154" s="46" t="e">
        <f t="shared" ca="1" si="119"/>
        <v>#N/A</v>
      </c>
      <c r="BL154" s="46" t="e">
        <f t="shared" ca="1" si="120"/>
        <v>#N/A</v>
      </c>
      <c r="BM154" s="46">
        <v>147</v>
      </c>
      <c r="BN154" s="46" t="e">
        <f t="shared" si="131"/>
        <v>#N/A</v>
      </c>
      <c r="BO154" s="46" t="e">
        <f t="shared" ca="1" si="132"/>
        <v>#N/A</v>
      </c>
      <c r="BP154" s="46" t="e">
        <f t="shared" ca="1" si="121"/>
        <v>#N/A</v>
      </c>
      <c r="BQ154" s="46" t="e">
        <f t="shared" ca="1" si="122"/>
        <v>#N/A</v>
      </c>
      <c r="BR154" s="46">
        <v>147</v>
      </c>
      <c r="BS154" s="46" t="e">
        <f t="shared" si="133"/>
        <v>#N/A</v>
      </c>
      <c r="BT154" s="46" t="e">
        <f t="shared" ca="1" si="134"/>
        <v>#N/A</v>
      </c>
      <c r="BU154" s="46" t="e">
        <f t="shared" ca="1" si="123"/>
        <v>#N/A</v>
      </c>
      <c r="BV154" s="46" t="e">
        <f t="shared" ca="1" si="124"/>
        <v>#N/A</v>
      </c>
      <c r="BW154" s="46">
        <v>147</v>
      </c>
      <c r="BX154" s="46" t="e">
        <f t="shared" si="135"/>
        <v>#N/A</v>
      </c>
      <c r="BY154" s="46" t="e">
        <f t="shared" ca="1" si="136"/>
        <v>#N/A</v>
      </c>
      <c r="BZ154" s="46" t="e">
        <f t="shared" ca="1" si="125"/>
        <v>#N/A</v>
      </c>
      <c r="CA154" s="46" t="e">
        <f t="shared" ca="1" si="126"/>
        <v>#N/A</v>
      </c>
      <c r="CC154" s="50"/>
      <c r="CD154" s="50"/>
      <c r="CE154" s="50"/>
      <c r="CF154" s="50"/>
      <c r="CG154" s="50"/>
      <c r="CH154" s="50"/>
      <c r="CI154" s="50"/>
      <c r="CJ154" s="50"/>
      <c r="CO154" s="43"/>
      <c r="CP154" s="43"/>
      <c r="CQ154" s="43"/>
    </row>
    <row r="155" spans="1:95" x14ac:dyDescent="0.25">
      <c r="A155" s="43"/>
      <c r="C155" s="42"/>
      <c r="I155" s="42"/>
      <c r="J155" s="42"/>
      <c r="K155" s="42"/>
      <c r="O155" s="43"/>
      <c r="Q155" s="43"/>
      <c r="R155" s="42"/>
      <c r="V155" s="43"/>
      <c r="AC155" s="43"/>
      <c r="AD155" s="43"/>
      <c r="AF155" s="42"/>
      <c r="AG155" s="42"/>
      <c r="AH155" s="42"/>
      <c r="AI155" s="42"/>
      <c r="AJ155" s="42"/>
      <c r="AK155" s="42"/>
      <c r="AL155" s="42"/>
      <c r="AM155" s="42"/>
      <c r="AN155" s="43"/>
      <c r="AO155" s="43"/>
      <c r="AP155" s="43"/>
      <c r="AQ155" s="43"/>
      <c r="AR155" s="43"/>
      <c r="AS155" s="43"/>
      <c r="AT155" s="43"/>
      <c r="AU155" s="43"/>
      <c r="AV155" s="43"/>
      <c r="AW155" s="46"/>
      <c r="AX155" s="46"/>
      <c r="AY155" s="46">
        <v>150</v>
      </c>
      <c r="AZ155" s="46">
        <f t="shared" si="115"/>
        <v>0</v>
      </c>
      <c r="BA155" s="46" t="b">
        <f t="shared" si="116"/>
        <v>0</v>
      </c>
      <c r="BB155" s="46">
        <v>150</v>
      </c>
      <c r="BC155" s="46">
        <v>148</v>
      </c>
      <c r="BD155" s="46" t="e">
        <f t="shared" si="127"/>
        <v>#N/A</v>
      </c>
      <c r="BE155" s="46" t="e">
        <f t="shared" ca="1" si="128"/>
        <v>#N/A</v>
      </c>
      <c r="BF155" s="46" t="e">
        <f t="shared" ca="1" si="117"/>
        <v>#N/A</v>
      </c>
      <c r="BG155" s="46" t="e">
        <f t="shared" ca="1" si="118"/>
        <v>#N/A</v>
      </c>
      <c r="BH155" s="46">
        <v>148</v>
      </c>
      <c r="BI155" s="46" t="e">
        <f t="shared" si="129"/>
        <v>#N/A</v>
      </c>
      <c r="BJ155" s="46" t="e">
        <f t="shared" ca="1" si="130"/>
        <v>#N/A</v>
      </c>
      <c r="BK155" s="46" t="e">
        <f t="shared" ca="1" si="119"/>
        <v>#N/A</v>
      </c>
      <c r="BL155" s="46" t="e">
        <f t="shared" ca="1" si="120"/>
        <v>#N/A</v>
      </c>
      <c r="BM155" s="46">
        <v>148</v>
      </c>
      <c r="BN155" s="46" t="e">
        <f t="shared" si="131"/>
        <v>#N/A</v>
      </c>
      <c r="BO155" s="46" t="e">
        <f t="shared" ca="1" si="132"/>
        <v>#N/A</v>
      </c>
      <c r="BP155" s="46" t="e">
        <f t="shared" ca="1" si="121"/>
        <v>#N/A</v>
      </c>
      <c r="BQ155" s="46" t="e">
        <f t="shared" ca="1" si="122"/>
        <v>#N/A</v>
      </c>
      <c r="BR155" s="46">
        <v>148</v>
      </c>
      <c r="BS155" s="46" t="e">
        <f t="shared" si="133"/>
        <v>#N/A</v>
      </c>
      <c r="BT155" s="46" t="e">
        <f t="shared" ca="1" si="134"/>
        <v>#N/A</v>
      </c>
      <c r="BU155" s="46" t="e">
        <f t="shared" ca="1" si="123"/>
        <v>#N/A</v>
      </c>
      <c r="BV155" s="46" t="e">
        <f t="shared" ca="1" si="124"/>
        <v>#N/A</v>
      </c>
      <c r="BW155" s="46">
        <v>148</v>
      </c>
      <c r="BX155" s="46" t="e">
        <f t="shared" si="135"/>
        <v>#N/A</v>
      </c>
      <c r="BY155" s="46" t="e">
        <f t="shared" ca="1" si="136"/>
        <v>#N/A</v>
      </c>
      <c r="BZ155" s="46" t="e">
        <f t="shared" ca="1" si="125"/>
        <v>#N/A</v>
      </c>
      <c r="CA155" s="46" t="e">
        <f t="shared" ca="1" si="126"/>
        <v>#N/A</v>
      </c>
      <c r="CC155" s="50"/>
      <c r="CD155" s="50"/>
      <c r="CE155" s="50"/>
      <c r="CF155" s="50"/>
      <c r="CG155" s="50"/>
      <c r="CH155" s="50"/>
      <c r="CI155" s="50"/>
      <c r="CJ155" s="50"/>
      <c r="CO155" s="43"/>
      <c r="CP155" s="43"/>
      <c r="CQ155" s="43"/>
    </row>
    <row r="156" spans="1:95" x14ac:dyDescent="0.25">
      <c r="A156" s="43"/>
      <c r="C156" s="42"/>
      <c r="I156" s="42"/>
      <c r="J156" s="42"/>
      <c r="K156" s="42"/>
      <c r="O156" s="43"/>
      <c r="Q156" s="43"/>
      <c r="R156" s="42"/>
      <c r="V156" s="43"/>
      <c r="AC156" s="43"/>
      <c r="AD156" s="43"/>
      <c r="AF156" s="42"/>
      <c r="AG156" s="42"/>
      <c r="AH156" s="42"/>
      <c r="AI156" s="42"/>
      <c r="AJ156" s="42"/>
      <c r="AK156" s="42"/>
      <c r="AL156" s="42"/>
      <c r="AM156" s="42"/>
      <c r="AN156" s="43"/>
      <c r="AO156" s="43"/>
      <c r="AP156" s="43"/>
      <c r="AQ156" s="43"/>
      <c r="AR156" s="43"/>
      <c r="AS156" s="43"/>
      <c r="AT156" s="43"/>
      <c r="AU156" s="43"/>
      <c r="AV156" s="43"/>
      <c r="AW156" s="46"/>
      <c r="AX156" s="46"/>
      <c r="AY156" s="46">
        <v>151</v>
      </c>
      <c r="AZ156" s="46">
        <f t="shared" si="115"/>
        <v>0</v>
      </c>
      <c r="BA156" s="46" t="b">
        <f t="shared" si="116"/>
        <v>0</v>
      </c>
      <c r="BB156" s="46">
        <v>151</v>
      </c>
      <c r="BC156" s="46">
        <v>149</v>
      </c>
      <c r="BD156" s="46" t="e">
        <f t="shared" si="127"/>
        <v>#N/A</v>
      </c>
      <c r="BE156" s="46" t="e">
        <f t="shared" ca="1" si="128"/>
        <v>#N/A</v>
      </c>
      <c r="BF156" s="46" t="e">
        <f t="shared" ca="1" si="117"/>
        <v>#N/A</v>
      </c>
      <c r="BG156" s="46" t="e">
        <f t="shared" ca="1" si="118"/>
        <v>#N/A</v>
      </c>
      <c r="BH156" s="46">
        <v>149</v>
      </c>
      <c r="BI156" s="46" t="e">
        <f t="shared" si="129"/>
        <v>#N/A</v>
      </c>
      <c r="BJ156" s="46" t="e">
        <f t="shared" ca="1" si="130"/>
        <v>#N/A</v>
      </c>
      <c r="BK156" s="46" t="e">
        <f t="shared" ca="1" si="119"/>
        <v>#N/A</v>
      </c>
      <c r="BL156" s="46" t="e">
        <f t="shared" ca="1" si="120"/>
        <v>#N/A</v>
      </c>
      <c r="BM156" s="46">
        <v>149</v>
      </c>
      <c r="BN156" s="46" t="e">
        <f t="shared" si="131"/>
        <v>#N/A</v>
      </c>
      <c r="BO156" s="46" t="e">
        <f t="shared" ca="1" si="132"/>
        <v>#N/A</v>
      </c>
      <c r="BP156" s="46" t="e">
        <f t="shared" ca="1" si="121"/>
        <v>#N/A</v>
      </c>
      <c r="BQ156" s="46" t="e">
        <f t="shared" ca="1" si="122"/>
        <v>#N/A</v>
      </c>
      <c r="BR156" s="46">
        <v>149</v>
      </c>
      <c r="BS156" s="46" t="e">
        <f t="shared" si="133"/>
        <v>#N/A</v>
      </c>
      <c r="BT156" s="46" t="e">
        <f t="shared" ca="1" si="134"/>
        <v>#N/A</v>
      </c>
      <c r="BU156" s="46" t="e">
        <f t="shared" ca="1" si="123"/>
        <v>#N/A</v>
      </c>
      <c r="BV156" s="46" t="e">
        <f t="shared" ca="1" si="124"/>
        <v>#N/A</v>
      </c>
      <c r="BW156" s="46">
        <v>149</v>
      </c>
      <c r="BX156" s="46" t="e">
        <f t="shared" si="135"/>
        <v>#N/A</v>
      </c>
      <c r="BY156" s="46" t="e">
        <f t="shared" ca="1" si="136"/>
        <v>#N/A</v>
      </c>
      <c r="BZ156" s="46" t="e">
        <f t="shared" ca="1" si="125"/>
        <v>#N/A</v>
      </c>
      <c r="CA156" s="46" t="e">
        <f t="shared" ca="1" si="126"/>
        <v>#N/A</v>
      </c>
      <c r="CC156" s="50"/>
      <c r="CD156" s="50"/>
      <c r="CE156" s="50"/>
      <c r="CF156" s="50"/>
      <c r="CG156" s="50"/>
      <c r="CH156" s="50"/>
      <c r="CI156" s="50"/>
      <c r="CJ156" s="50"/>
      <c r="CO156" s="43"/>
      <c r="CP156" s="43"/>
      <c r="CQ156" s="43"/>
    </row>
    <row r="157" spans="1:95" x14ac:dyDescent="0.25">
      <c r="A157" s="43"/>
      <c r="C157" s="42"/>
      <c r="I157" s="42"/>
      <c r="J157" s="42"/>
      <c r="K157" s="42"/>
      <c r="O157" s="43"/>
      <c r="Q157" s="43"/>
      <c r="R157" s="42"/>
      <c r="V157" s="43"/>
      <c r="AC157" s="43"/>
      <c r="AD157" s="43"/>
      <c r="AF157" s="42"/>
      <c r="AG157" s="42"/>
      <c r="AH157" s="42"/>
      <c r="AI157" s="42"/>
      <c r="AJ157" s="42"/>
      <c r="AK157" s="42"/>
      <c r="AL157" s="42"/>
      <c r="AM157" s="42"/>
      <c r="AN157" s="43"/>
      <c r="AO157" s="43"/>
      <c r="AP157" s="43"/>
      <c r="AQ157" s="43"/>
      <c r="AR157" s="43"/>
      <c r="AS157" s="43"/>
      <c r="AT157" s="43"/>
      <c r="AU157" s="43"/>
      <c r="AV157" s="43"/>
      <c r="AW157" s="46"/>
      <c r="AX157" s="46"/>
      <c r="AY157" s="46">
        <v>152</v>
      </c>
      <c r="AZ157" s="46">
        <f t="shared" si="115"/>
        <v>0</v>
      </c>
      <c r="BA157" s="46" t="b">
        <f t="shared" si="116"/>
        <v>0</v>
      </c>
      <c r="BB157" s="46">
        <v>152</v>
      </c>
      <c r="BC157" s="46">
        <v>150</v>
      </c>
      <c r="BD157" s="46" t="e">
        <f t="shared" si="127"/>
        <v>#N/A</v>
      </c>
      <c r="BE157" s="46" t="e">
        <f t="shared" ca="1" si="128"/>
        <v>#N/A</v>
      </c>
      <c r="BF157" s="46" t="e">
        <f t="shared" ca="1" si="117"/>
        <v>#N/A</v>
      </c>
      <c r="BG157" s="46" t="e">
        <f t="shared" ca="1" si="118"/>
        <v>#N/A</v>
      </c>
      <c r="BH157" s="46">
        <v>150</v>
      </c>
      <c r="BI157" s="46" t="e">
        <f t="shared" si="129"/>
        <v>#N/A</v>
      </c>
      <c r="BJ157" s="46" t="e">
        <f t="shared" ca="1" si="130"/>
        <v>#N/A</v>
      </c>
      <c r="BK157" s="46" t="e">
        <f t="shared" ca="1" si="119"/>
        <v>#N/A</v>
      </c>
      <c r="BL157" s="46" t="e">
        <f t="shared" ca="1" si="120"/>
        <v>#N/A</v>
      </c>
      <c r="BM157" s="46">
        <v>150</v>
      </c>
      <c r="BN157" s="46" t="e">
        <f t="shared" si="131"/>
        <v>#N/A</v>
      </c>
      <c r="BO157" s="46" t="e">
        <f t="shared" ca="1" si="132"/>
        <v>#N/A</v>
      </c>
      <c r="BP157" s="46" t="e">
        <f t="shared" ca="1" si="121"/>
        <v>#N/A</v>
      </c>
      <c r="BQ157" s="46" t="e">
        <f t="shared" ca="1" si="122"/>
        <v>#N/A</v>
      </c>
      <c r="BR157" s="46">
        <v>150</v>
      </c>
      <c r="BS157" s="46" t="e">
        <f t="shared" si="133"/>
        <v>#N/A</v>
      </c>
      <c r="BT157" s="46" t="e">
        <f t="shared" ca="1" si="134"/>
        <v>#N/A</v>
      </c>
      <c r="BU157" s="46" t="e">
        <f t="shared" ca="1" si="123"/>
        <v>#N/A</v>
      </c>
      <c r="BV157" s="46" t="e">
        <f t="shared" ca="1" si="124"/>
        <v>#N/A</v>
      </c>
      <c r="BW157" s="46">
        <v>150</v>
      </c>
      <c r="BX157" s="46" t="e">
        <f t="shared" si="135"/>
        <v>#N/A</v>
      </c>
      <c r="BY157" s="46" t="e">
        <f t="shared" ca="1" si="136"/>
        <v>#N/A</v>
      </c>
      <c r="BZ157" s="46" t="e">
        <f t="shared" ca="1" si="125"/>
        <v>#N/A</v>
      </c>
      <c r="CA157" s="46" t="e">
        <f t="shared" ca="1" si="126"/>
        <v>#N/A</v>
      </c>
      <c r="CC157" s="50"/>
      <c r="CD157" s="50"/>
      <c r="CE157" s="50"/>
      <c r="CF157" s="50"/>
      <c r="CG157" s="50"/>
      <c r="CH157" s="50"/>
      <c r="CI157" s="50"/>
      <c r="CJ157" s="50"/>
      <c r="CO157" s="43"/>
      <c r="CP157" s="43"/>
      <c r="CQ157" s="43"/>
    </row>
    <row r="158" spans="1:95" x14ac:dyDescent="0.25">
      <c r="A158" s="43"/>
      <c r="C158" s="42"/>
      <c r="I158" s="42"/>
      <c r="J158" s="42"/>
      <c r="K158" s="42"/>
      <c r="O158" s="43"/>
      <c r="Q158" s="43"/>
      <c r="R158" s="42"/>
      <c r="V158" s="43"/>
      <c r="AC158" s="43"/>
      <c r="AD158" s="43"/>
      <c r="AF158" s="42"/>
      <c r="AG158" s="42"/>
      <c r="AH158" s="42"/>
      <c r="AI158" s="42"/>
      <c r="AJ158" s="42"/>
      <c r="AK158" s="42"/>
      <c r="AL158" s="42"/>
      <c r="AM158" s="42"/>
      <c r="AN158" s="43"/>
      <c r="AO158" s="43"/>
      <c r="AP158" s="43"/>
      <c r="AQ158" s="43"/>
      <c r="AR158" s="43"/>
      <c r="AS158" s="43"/>
      <c r="AT158" s="43"/>
      <c r="AU158" s="43"/>
      <c r="AV158" s="43"/>
      <c r="AW158" s="46"/>
      <c r="AX158" s="46"/>
      <c r="AY158" s="46">
        <v>153</v>
      </c>
      <c r="AZ158" s="46">
        <f t="shared" si="115"/>
        <v>0</v>
      </c>
      <c r="BA158" s="46" t="b">
        <f t="shared" si="116"/>
        <v>0</v>
      </c>
      <c r="BB158" s="46">
        <v>153</v>
      </c>
      <c r="BC158" s="46">
        <v>151</v>
      </c>
      <c r="BD158" s="46" t="e">
        <f t="shared" si="127"/>
        <v>#N/A</v>
      </c>
      <c r="BE158" s="46" t="e">
        <f t="shared" ca="1" si="128"/>
        <v>#N/A</v>
      </c>
      <c r="BF158" s="46" t="e">
        <f t="shared" ca="1" si="117"/>
        <v>#N/A</v>
      </c>
      <c r="BG158" s="46" t="e">
        <f t="shared" ca="1" si="118"/>
        <v>#N/A</v>
      </c>
      <c r="BH158" s="46">
        <v>151</v>
      </c>
      <c r="BI158" s="46" t="e">
        <f t="shared" si="129"/>
        <v>#N/A</v>
      </c>
      <c r="BJ158" s="46" t="e">
        <f t="shared" ca="1" si="130"/>
        <v>#N/A</v>
      </c>
      <c r="BK158" s="46" t="e">
        <f t="shared" ca="1" si="119"/>
        <v>#N/A</v>
      </c>
      <c r="BL158" s="46" t="e">
        <f t="shared" ca="1" si="120"/>
        <v>#N/A</v>
      </c>
      <c r="BM158" s="46">
        <v>151</v>
      </c>
      <c r="BN158" s="46" t="e">
        <f t="shared" si="131"/>
        <v>#N/A</v>
      </c>
      <c r="BO158" s="46" t="e">
        <f t="shared" ca="1" si="132"/>
        <v>#N/A</v>
      </c>
      <c r="BP158" s="46" t="e">
        <f t="shared" ca="1" si="121"/>
        <v>#N/A</v>
      </c>
      <c r="BQ158" s="46" t="e">
        <f t="shared" ca="1" si="122"/>
        <v>#N/A</v>
      </c>
      <c r="BR158" s="46">
        <v>151</v>
      </c>
      <c r="BS158" s="46" t="e">
        <f t="shared" si="133"/>
        <v>#N/A</v>
      </c>
      <c r="BT158" s="46" t="e">
        <f t="shared" ca="1" si="134"/>
        <v>#N/A</v>
      </c>
      <c r="BU158" s="46" t="e">
        <f t="shared" ca="1" si="123"/>
        <v>#N/A</v>
      </c>
      <c r="BV158" s="46" t="e">
        <f t="shared" ca="1" si="124"/>
        <v>#N/A</v>
      </c>
      <c r="BW158" s="46">
        <v>151</v>
      </c>
      <c r="BX158" s="46" t="e">
        <f t="shared" si="135"/>
        <v>#N/A</v>
      </c>
      <c r="BY158" s="46" t="e">
        <f t="shared" ca="1" si="136"/>
        <v>#N/A</v>
      </c>
      <c r="BZ158" s="46" t="e">
        <f t="shared" ca="1" si="125"/>
        <v>#N/A</v>
      </c>
      <c r="CA158" s="46" t="e">
        <f t="shared" ca="1" si="126"/>
        <v>#N/A</v>
      </c>
      <c r="CC158" s="50"/>
      <c r="CD158" s="50"/>
      <c r="CE158" s="50"/>
      <c r="CF158" s="50"/>
      <c r="CG158" s="50"/>
      <c r="CH158" s="50"/>
      <c r="CI158" s="50"/>
      <c r="CJ158" s="50"/>
      <c r="CO158" s="43"/>
      <c r="CP158" s="43"/>
      <c r="CQ158" s="43"/>
    </row>
    <row r="159" spans="1:95" x14ac:dyDescent="0.25">
      <c r="A159" s="43"/>
      <c r="C159" s="42"/>
      <c r="I159" s="42"/>
      <c r="J159" s="42"/>
      <c r="K159" s="42"/>
      <c r="O159" s="43"/>
      <c r="Q159" s="43"/>
      <c r="R159" s="42"/>
      <c r="V159" s="43"/>
      <c r="AC159" s="43"/>
      <c r="AD159" s="43"/>
      <c r="AF159" s="42"/>
      <c r="AG159" s="42"/>
      <c r="AH159" s="42"/>
      <c r="AI159" s="42"/>
      <c r="AJ159" s="42"/>
      <c r="AK159" s="42"/>
      <c r="AL159" s="42"/>
      <c r="AM159" s="42"/>
      <c r="AN159" s="43"/>
      <c r="AO159" s="43"/>
      <c r="AP159" s="43"/>
      <c r="AQ159" s="43"/>
      <c r="AR159" s="43"/>
      <c r="AS159" s="43"/>
      <c r="AT159" s="43"/>
      <c r="AU159" s="43"/>
      <c r="AV159" s="43"/>
      <c r="AW159" s="46"/>
      <c r="AX159" s="46"/>
      <c r="AY159" s="46">
        <v>154</v>
      </c>
      <c r="AZ159" s="46">
        <f t="shared" si="115"/>
        <v>0</v>
      </c>
      <c r="BA159" s="46" t="b">
        <f t="shared" si="116"/>
        <v>0</v>
      </c>
      <c r="BB159" s="46">
        <v>154</v>
      </c>
      <c r="BC159" s="46">
        <v>152</v>
      </c>
      <c r="BD159" s="46" t="e">
        <f t="shared" si="127"/>
        <v>#N/A</v>
      </c>
      <c r="BE159" s="46" t="e">
        <f t="shared" ca="1" si="128"/>
        <v>#N/A</v>
      </c>
      <c r="BF159" s="46" t="e">
        <f t="shared" ca="1" si="117"/>
        <v>#N/A</v>
      </c>
      <c r="BG159" s="46" t="e">
        <f t="shared" ca="1" si="118"/>
        <v>#N/A</v>
      </c>
      <c r="BH159" s="46">
        <v>152</v>
      </c>
      <c r="BI159" s="46" t="e">
        <f t="shared" si="129"/>
        <v>#N/A</v>
      </c>
      <c r="BJ159" s="46" t="e">
        <f t="shared" ca="1" si="130"/>
        <v>#N/A</v>
      </c>
      <c r="BK159" s="46" t="e">
        <f t="shared" ca="1" si="119"/>
        <v>#N/A</v>
      </c>
      <c r="BL159" s="46" t="e">
        <f t="shared" ca="1" si="120"/>
        <v>#N/A</v>
      </c>
      <c r="BM159" s="46">
        <v>152</v>
      </c>
      <c r="BN159" s="46" t="e">
        <f t="shared" si="131"/>
        <v>#N/A</v>
      </c>
      <c r="BO159" s="46" t="e">
        <f t="shared" ca="1" si="132"/>
        <v>#N/A</v>
      </c>
      <c r="BP159" s="46" t="e">
        <f t="shared" ca="1" si="121"/>
        <v>#N/A</v>
      </c>
      <c r="BQ159" s="46" t="e">
        <f t="shared" ca="1" si="122"/>
        <v>#N/A</v>
      </c>
      <c r="BR159" s="46">
        <v>152</v>
      </c>
      <c r="BS159" s="46" t="e">
        <f t="shared" si="133"/>
        <v>#N/A</v>
      </c>
      <c r="BT159" s="46" t="e">
        <f t="shared" ca="1" si="134"/>
        <v>#N/A</v>
      </c>
      <c r="BU159" s="46" t="e">
        <f t="shared" ca="1" si="123"/>
        <v>#N/A</v>
      </c>
      <c r="BV159" s="46" t="e">
        <f t="shared" ca="1" si="124"/>
        <v>#N/A</v>
      </c>
      <c r="BW159" s="46">
        <v>152</v>
      </c>
      <c r="BX159" s="46" t="e">
        <f t="shared" si="135"/>
        <v>#N/A</v>
      </c>
      <c r="BY159" s="46" t="e">
        <f t="shared" ca="1" si="136"/>
        <v>#N/A</v>
      </c>
      <c r="BZ159" s="46" t="e">
        <f t="shared" ca="1" si="125"/>
        <v>#N/A</v>
      </c>
      <c r="CA159" s="46" t="e">
        <f t="shared" ca="1" si="126"/>
        <v>#N/A</v>
      </c>
      <c r="CC159" s="50"/>
      <c r="CD159" s="50"/>
      <c r="CE159" s="50"/>
      <c r="CF159" s="50"/>
      <c r="CG159" s="50"/>
      <c r="CH159" s="50"/>
      <c r="CI159" s="50"/>
      <c r="CJ159" s="50"/>
      <c r="CO159" s="43"/>
      <c r="CP159" s="43"/>
      <c r="CQ159" s="43"/>
    </row>
    <row r="160" spans="1:95" x14ac:dyDescent="0.25">
      <c r="A160" s="43"/>
      <c r="C160" s="42"/>
      <c r="I160" s="42"/>
      <c r="J160" s="42"/>
      <c r="K160" s="42"/>
      <c r="O160" s="43"/>
      <c r="Q160" s="43"/>
      <c r="R160" s="42"/>
      <c r="V160" s="43"/>
      <c r="AC160" s="43"/>
      <c r="AD160" s="43"/>
      <c r="AF160" s="42"/>
      <c r="AG160" s="42"/>
      <c r="AH160" s="42"/>
      <c r="AI160" s="42"/>
      <c r="AJ160" s="42"/>
      <c r="AK160" s="42"/>
      <c r="AL160" s="42"/>
      <c r="AM160" s="42"/>
      <c r="AN160" s="43"/>
      <c r="AO160" s="43"/>
      <c r="AP160" s="43"/>
      <c r="AQ160" s="43"/>
      <c r="AR160" s="43"/>
      <c r="AS160" s="43"/>
      <c r="AT160" s="43"/>
      <c r="AU160" s="43"/>
      <c r="AV160" s="43"/>
      <c r="AW160" s="46"/>
      <c r="AX160" s="46"/>
      <c r="AY160" s="46">
        <v>155</v>
      </c>
      <c r="AZ160" s="46">
        <f t="shared" si="115"/>
        <v>0</v>
      </c>
      <c r="BA160" s="46" t="b">
        <f t="shared" si="116"/>
        <v>0</v>
      </c>
      <c r="BB160" s="46">
        <v>155</v>
      </c>
      <c r="BC160" s="46">
        <v>153</v>
      </c>
      <c r="BD160" s="46" t="e">
        <f t="shared" si="127"/>
        <v>#N/A</v>
      </c>
      <c r="BE160" s="46" t="e">
        <f t="shared" ca="1" si="128"/>
        <v>#N/A</v>
      </c>
      <c r="BF160" s="46" t="e">
        <f t="shared" ca="1" si="117"/>
        <v>#N/A</v>
      </c>
      <c r="BG160" s="46" t="e">
        <f t="shared" ca="1" si="118"/>
        <v>#N/A</v>
      </c>
      <c r="BH160" s="46">
        <v>153</v>
      </c>
      <c r="BI160" s="46" t="e">
        <f t="shared" si="129"/>
        <v>#N/A</v>
      </c>
      <c r="BJ160" s="46" t="e">
        <f t="shared" ca="1" si="130"/>
        <v>#N/A</v>
      </c>
      <c r="BK160" s="46" t="e">
        <f t="shared" ca="1" si="119"/>
        <v>#N/A</v>
      </c>
      <c r="BL160" s="46" t="e">
        <f t="shared" ca="1" si="120"/>
        <v>#N/A</v>
      </c>
      <c r="BM160" s="46">
        <v>153</v>
      </c>
      <c r="BN160" s="46" t="e">
        <f t="shared" si="131"/>
        <v>#N/A</v>
      </c>
      <c r="BO160" s="46" t="e">
        <f t="shared" ca="1" si="132"/>
        <v>#N/A</v>
      </c>
      <c r="BP160" s="46" t="e">
        <f t="shared" ca="1" si="121"/>
        <v>#N/A</v>
      </c>
      <c r="BQ160" s="46" t="e">
        <f t="shared" ca="1" si="122"/>
        <v>#N/A</v>
      </c>
      <c r="BR160" s="46">
        <v>153</v>
      </c>
      <c r="BS160" s="46" t="e">
        <f t="shared" si="133"/>
        <v>#N/A</v>
      </c>
      <c r="BT160" s="46" t="e">
        <f t="shared" ca="1" si="134"/>
        <v>#N/A</v>
      </c>
      <c r="BU160" s="46" t="e">
        <f t="shared" ca="1" si="123"/>
        <v>#N/A</v>
      </c>
      <c r="BV160" s="46" t="e">
        <f t="shared" ca="1" si="124"/>
        <v>#N/A</v>
      </c>
      <c r="BW160" s="46">
        <v>153</v>
      </c>
      <c r="BX160" s="46" t="e">
        <f t="shared" si="135"/>
        <v>#N/A</v>
      </c>
      <c r="BY160" s="46" t="e">
        <f t="shared" ca="1" si="136"/>
        <v>#N/A</v>
      </c>
      <c r="BZ160" s="46" t="e">
        <f t="shared" ca="1" si="125"/>
        <v>#N/A</v>
      </c>
      <c r="CA160" s="46" t="e">
        <f t="shared" ca="1" si="126"/>
        <v>#N/A</v>
      </c>
      <c r="CC160" s="50"/>
      <c r="CD160" s="50"/>
      <c r="CE160" s="50"/>
      <c r="CF160" s="50"/>
      <c r="CG160" s="50"/>
      <c r="CH160" s="50"/>
      <c r="CI160" s="50"/>
      <c r="CJ160" s="50"/>
      <c r="CO160" s="43"/>
      <c r="CP160" s="43"/>
      <c r="CQ160" s="43"/>
    </row>
    <row r="161" spans="1:95" x14ac:dyDescent="0.25">
      <c r="A161" s="43"/>
      <c r="C161" s="42"/>
      <c r="I161" s="42"/>
      <c r="J161" s="42"/>
      <c r="K161" s="42"/>
      <c r="O161" s="43"/>
      <c r="Q161" s="43"/>
      <c r="R161" s="42"/>
      <c r="V161" s="43"/>
      <c r="AC161" s="43"/>
      <c r="AD161" s="43"/>
      <c r="AF161" s="42"/>
      <c r="AG161" s="42"/>
      <c r="AH161" s="42"/>
      <c r="AI161" s="42"/>
      <c r="AJ161" s="42"/>
      <c r="AK161" s="42"/>
      <c r="AL161" s="42"/>
      <c r="AM161" s="42"/>
      <c r="AN161" s="43"/>
      <c r="AO161" s="43"/>
      <c r="AP161" s="43"/>
      <c r="AQ161" s="43"/>
      <c r="AR161" s="43"/>
      <c r="AS161" s="43"/>
      <c r="AT161" s="43"/>
      <c r="AU161" s="43"/>
      <c r="AV161" s="43"/>
      <c r="AW161" s="46"/>
      <c r="AX161" s="46"/>
      <c r="AY161" s="46">
        <v>156</v>
      </c>
      <c r="AZ161" s="46">
        <f t="shared" si="115"/>
        <v>0</v>
      </c>
      <c r="BA161" s="46" t="b">
        <f t="shared" si="116"/>
        <v>0</v>
      </c>
      <c r="BB161" s="46">
        <v>156</v>
      </c>
      <c r="BC161" s="46">
        <v>154</v>
      </c>
      <c r="BD161" s="46" t="e">
        <f t="shared" si="127"/>
        <v>#N/A</v>
      </c>
      <c r="BE161" s="46" t="e">
        <f t="shared" ca="1" si="128"/>
        <v>#N/A</v>
      </c>
      <c r="BF161" s="46" t="e">
        <f t="shared" ca="1" si="117"/>
        <v>#N/A</v>
      </c>
      <c r="BG161" s="46" t="e">
        <f t="shared" ca="1" si="118"/>
        <v>#N/A</v>
      </c>
      <c r="BH161" s="46">
        <v>154</v>
      </c>
      <c r="BI161" s="46" t="e">
        <f t="shared" si="129"/>
        <v>#N/A</v>
      </c>
      <c r="BJ161" s="46" t="e">
        <f t="shared" ca="1" si="130"/>
        <v>#N/A</v>
      </c>
      <c r="BK161" s="46" t="e">
        <f t="shared" ca="1" si="119"/>
        <v>#N/A</v>
      </c>
      <c r="BL161" s="46" t="e">
        <f t="shared" ca="1" si="120"/>
        <v>#N/A</v>
      </c>
      <c r="BM161" s="46">
        <v>154</v>
      </c>
      <c r="BN161" s="46" t="e">
        <f t="shared" si="131"/>
        <v>#N/A</v>
      </c>
      <c r="BO161" s="46" t="e">
        <f t="shared" ca="1" si="132"/>
        <v>#N/A</v>
      </c>
      <c r="BP161" s="46" t="e">
        <f t="shared" ca="1" si="121"/>
        <v>#N/A</v>
      </c>
      <c r="BQ161" s="46" t="e">
        <f t="shared" ca="1" si="122"/>
        <v>#N/A</v>
      </c>
      <c r="BR161" s="46">
        <v>154</v>
      </c>
      <c r="BS161" s="46" t="e">
        <f t="shared" si="133"/>
        <v>#N/A</v>
      </c>
      <c r="BT161" s="46" t="e">
        <f t="shared" ca="1" si="134"/>
        <v>#N/A</v>
      </c>
      <c r="BU161" s="46" t="e">
        <f t="shared" ca="1" si="123"/>
        <v>#N/A</v>
      </c>
      <c r="BV161" s="46" t="e">
        <f t="shared" ca="1" si="124"/>
        <v>#N/A</v>
      </c>
      <c r="BW161" s="46">
        <v>154</v>
      </c>
      <c r="BX161" s="46" t="e">
        <f t="shared" si="135"/>
        <v>#N/A</v>
      </c>
      <c r="BY161" s="46" t="e">
        <f t="shared" ca="1" si="136"/>
        <v>#N/A</v>
      </c>
      <c r="BZ161" s="46" t="e">
        <f t="shared" ca="1" si="125"/>
        <v>#N/A</v>
      </c>
      <c r="CA161" s="46" t="e">
        <f t="shared" ca="1" si="126"/>
        <v>#N/A</v>
      </c>
      <c r="CC161" s="50"/>
      <c r="CD161" s="50"/>
      <c r="CE161" s="50"/>
      <c r="CF161" s="50"/>
      <c r="CG161" s="50"/>
      <c r="CH161" s="50"/>
      <c r="CI161" s="50"/>
      <c r="CJ161" s="50"/>
      <c r="CO161" s="43"/>
      <c r="CP161" s="43"/>
      <c r="CQ161" s="43"/>
    </row>
    <row r="162" spans="1:95" x14ac:dyDescent="0.25">
      <c r="A162" s="43"/>
      <c r="C162" s="42"/>
      <c r="I162" s="42"/>
      <c r="J162" s="42"/>
      <c r="K162" s="42"/>
      <c r="O162" s="43"/>
      <c r="Q162" s="43"/>
      <c r="R162" s="42"/>
      <c r="V162" s="43"/>
      <c r="AC162" s="43"/>
      <c r="AD162" s="43"/>
      <c r="AF162" s="42"/>
      <c r="AG162" s="42"/>
      <c r="AH162" s="42"/>
      <c r="AI162" s="42"/>
      <c r="AJ162" s="42"/>
      <c r="AK162" s="42"/>
      <c r="AL162" s="42"/>
      <c r="AM162" s="42"/>
      <c r="AN162" s="43"/>
      <c r="AO162" s="43"/>
      <c r="AP162" s="43"/>
      <c r="AQ162" s="43"/>
      <c r="AR162" s="43"/>
      <c r="AS162" s="43"/>
      <c r="AT162" s="43"/>
      <c r="AU162" s="43"/>
      <c r="AV162" s="43"/>
      <c r="AW162" s="46"/>
      <c r="AX162" s="46"/>
      <c r="AY162" s="46">
        <v>157</v>
      </c>
      <c r="AZ162" s="46">
        <f t="shared" si="115"/>
        <v>0</v>
      </c>
      <c r="BA162" s="46" t="b">
        <f t="shared" si="116"/>
        <v>0</v>
      </c>
      <c r="BB162" s="46">
        <v>157</v>
      </c>
      <c r="BC162" s="46">
        <v>155</v>
      </c>
      <c r="BD162" s="46" t="e">
        <f t="shared" si="127"/>
        <v>#N/A</v>
      </c>
      <c r="BE162" s="46" t="e">
        <f t="shared" ca="1" si="128"/>
        <v>#N/A</v>
      </c>
      <c r="BF162" s="46" t="e">
        <f t="shared" ca="1" si="117"/>
        <v>#N/A</v>
      </c>
      <c r="BG162" s="46" t="e">
        <f t="shared" ca="1" si="118"/>
        <v>#N/A</v>
      </c>
      <c r="BH162" s="46">
        <v>155</v>
      </c>
      <c r="BI162" s="46" t="e">
        <f t="shared" si="129"/>
        <v>#N/A</v>
      </c>
      <c r="BJ162" s="46" t="e">
        <f t="shared" ca="1" si="130"/>
        <v>#N/A</v>
      </c>
      <c r="BK162" s="46" t="e">
        <f t="shared" ca="1" si="119"/>
        <v>#N/A</v>
      </c>
      <c r="BL162" s="46" t="e">
        <f t="shared" ca="1" si="120"/>
        <v>#N/A</v>
      </c>
      <c r="BM162" s="46">
        <v>155</v>
      </c>
      <c r="BN162" s="46" t="e">
        <f t="shared" si="131"/>
        <v>#N/A</v>
      </c>
      <c r="BO162" s="46" t="e">
        <f t="shared" ca="1" si="132"/>
        <v>#N/A</v>
      </c>
      <c r="BP162" s="46" t="e">
        <f t="shared" ca="1" si="121"/>
        <v>#N/A</v>
      </c>
      <c r="BQ162" s="46" t="e">
        <f t="shared" ca="1" si="122"/>
        <v>#N/A</v>
      </c>
      <c r="BR162" s="46">
        <v>155</v>
      </c>
      <c r="BS162" s="46" t="e">
        <f t="shared" si="133"/>
        <v>#N/A</v>
      </c>
      <c r="BT162" s="46" t="e">
        <f t="shared" ca="1" si="134"/>
        <v>#N/A</v>
      </c>
      <c r="BU162" s="46" t="e">
        <f t="shared" ca="1" si="123"/>
        <v>#N/A</v>
      </c>
      <c r="BV162" s="46" t="e">
        <f t="shared" ca="1" si="124"/>
        <v>#N/A</v>
      </c>
      <c r="BW162" s="46">
        <v>155</v>
      </c>
      <c r="BX162" s="46" t="e">
        <f t="shared" si="135"/>
        <v>#N/A</v>
      </c>
      <c r="BY162" s="46" t="e">
        <f t="shared" ca="1" si="136"/>
        <v>#N/A</v>
      </c>
      <c r="BZ162" s="46" t="e">
        <f t="shared" ca="1" si="125"/>
        <v>#N/A</v>
      </c>
      <c r="CA162" s="46" t="e">
        <f t="shared" ca="1" si="126"/>
        <v>#N/A</v>
      </c>
      <c r="CC162" s="50"/>
      <c r="CD162" s="50"/>
      <c r="CE162" s="50"/>
      <c r="CF162" s="50"/>
      <c r="CG162" s="50"/>
      <c r="CH162" s="50"/>
      <c r="CI162" s="50"/>
      <c r="CJ162" s="50"/>
      <c r="CO162" s="43"/>
      <c r="CP162" s="43"/>
      <c r="CQ162" s="43"/>
    </row>
    <row r="163" spans="1:95" x14ac:dyDescent="0.25">
      <c r="A163" s="43"/>
      <c r="C163" s="42"/>
      <c r="I163" s="42"/>
      <c r="J163" s="42"/>
      <c r="K163" s="42"/>
      <c r="O163" s="43"/>
      <c r="Q163" s="43"/>
      <c r="R163" s="42"/>
      <c r="V163" s="43"/>
      <c r="AC163" s="43"/>
      <c r="AD163" s="43"/>
      <c r="AF163" s="42"/>
      <c r="AG163" s="42"/>
      <c r="AH163" s="42"/>
      <c r="AI163" s="42"/>
      <c r="AJ163" s="42"/>
      <c r="AK163" s="42"/>
      <c r="AL163" s="42"/>
      <c r="AM163" s="42"/>
      <c r="AN163" s="43"/>
      <c r="AO163" s="43"/>
      <c r="AP163" s="43"/>
      <c r="AQ163" s="43"/>
      <c r="AR163" s="43"/>
      <c r="AS163" s="43"/>
      <c r="AT163" s="43"/>
      <c r="AU163" s="43"/>
      <c r="AV163" s="43"/>
      <c r="AW163" s="46"/>
      <c r="AX163" s="46"/>
      <c r="AY163" s="46">
        <v>158</v>
      </c>
      <c r="AZ163" s="46">
        <f t="shared" si="115"/>
        <v>0</v>
      </c>
      <c r="BA163" s="46" t="b">
        <f t="shared" si="116"/>
        <v>0</v>
      </c>
      <c r="BB163" s="46">
        <v>158</v>
      </c>
      <c r="BC163" s="46">
        <v>156</v>
      </c>
      <c r="BD163" s="46" t="e">
        <f t="shared" si="127"/>
        <v>#N/A</v>
      </c>
      <c r="BE163" s="46" t="e">
        <f t="shared" ca="1" si="128"/>
        <v>#N/A</v>
      </c>
      <c r="BF163" s="46" t="e">
        <f t="shared" ca="1" si="117"/>
        <v>#N/A</v>
      </c>
      <c r="BG163" s="46" t="e">
        <f t="shared" ca="1" si="118"/>
        <v>#N/A</v>
      </c>
      <c r="BH163" s="46">
        <v>156</v>
      </c>
      <c r="BI163" s="46" t="e">
        <f t="shared" si="129"/>
        <v>#N/A</v>
      </c>
      <c r="BJ163" s="46" t="e">
        <f t="shared" ca="1" si="130"/>
        <v>#N/A</v>
      </c>
      <c r="BK163" s="46" t="e">
        <f t="shared" ca="1" si="119"/>
        <v>#N/A</v>
      </c>
      <c r="BL163" s="46" t="e">
        <f t="shared" ca="1" si="120"/>
        <v>#N/A</v>
      </c>
      <c r="BM163" s="46">
        <v>156</v>
      </c>
      <c r="BN163" s="46" t="e">
        <f t="shared" si="131"/>
        <v>#N/A</v>
      </c>
      <c r="BO163" s="46" t="e">
        <f t="shared" ca="1" si="132"/>
        <v>#N/A</v>
      </c>
      <c r="BP163" s="46" t="e">
        <f t="shared" ca="1" si="121"/>
        <v>#N/A</v>
      </c>
      <c r="BQ163" s="46" t="e">
        <f t="shared" ca="1" si="122"/>
        <v>#N/A</v>
      </c>
      <c r="BR163" s="46">
        <v>156</v>
      </c>
      <c r="BS163" s="46" t="e">
        <f t="shared" si="133"/>
        <v>#N/A</v>
      </c>
      <c r="BT163" s="46" t="e">
        <f t="shared" ca="1" si="134"/>
        <v>#N/A</v>
      </c>
      <c r="BU163" s="46" t="e">
        <f t="shared" ca="1" si="123"/>
        <v>#N/A</v>
      </c>
      <c r="BV163" s="46" t="e">
        <f t="shared" ca="1" si="124"/>
        <v>#N/A</v>
      </c>
      <c r="BW163" s="46">
        <v>156</v>
      </c>
      <c r="BX163" s="46" t="e">
        <f t="shared" si="135"/>
        <v>#N/A</v>
      </c>
      <c r="BY163" s="46" t="e">
        <f t="shared" ca="1" si="136"/>
        <v>#N/A</v>
      </c>
      <c r="BZ163" s="46" t="e">
        <f t="shared" ca="1" si="125"/>
        <v>#N/A</v>
      </c>
      <c r="CA163" s="46" t="e">
        <f t="shared" ca="1" si="126"/>
        <v>#N/A</v>
      </c>
      <c r="CC163" s="50"/>
      <c r="CD163" s="50"/>
      <c r="CE163" s="50"/>
      <c r="CF163" s="50"/>
      <c r="CG163" s="50"/>
      <c r="CH163" s="50"/>
      <c r="CI163" s="50"/>
      <c r="CJ163" s="50"/>
      <c r="CO163" s="43"/>
      <c r="CP163" s="43"/>
      <c r="CQ163" s="43"/>
    </row>
    <row r="164" spans="1:95" x14ac:dyDescent="0.25">
      <c r="A164" s="43"/>
      <c r="C164" s="42"/>
      <c r="I164" s="42"/>
      <c r="J164" s="42"/>
      <c r="K164" s="42"/>
      <c r="O164" s="43"/>
      <c r="Q164" s="43"/>
      <c r="R164" s="42"/>
      <c r="V164" s="43"/>
      <c r="AC164" s="43"/>
      <c r="AD164" s="43"/>
      <c r="AF164" s="42"/>
      <c r="AG164" s="42"/>
      <c r="AH164" s="42"/>
      <c r="AI164" s="42"/>
      <c r="AJ164" s="42"/>
      <c r="AK164" s="42"/>
      <c r="AL164" s="42"/>
      <c r="AM164" s="42"/>
      <c r="AN164" s="43"/>
      <c r="AO164" s="43"/>
      <c r="AP164" s="43"/>
      <c r="AQ164" s="43"/>
      <c r="AR164" s="43"/>
      <c r="AS164" s="43"/>
      <c r="AT164" s="43"/>
      <c r="AU164" s="43"/>
      <c r="AV164" s="43"/>
      <c r="AW164" s="46"/>
      <c r="AX164" s="46"/>
      <c r="AY164" s="46">
        <v>159</v>
      </c>
      <c r="AZ164" s="46">
        <f t="shared" si="115"/>
        <v>0</v>
      </c>
      <c r="BA164" s="46" t="b">
        <f t="shared" si="116"/>
        <v>0</v>
      </c>
      <c r="BB164" s="46">
        <v>159</v>
      </c>
      <c r="BC164" s="46">
        <v>157</v>
      </c>
      <c r="BD164" s="46" t="e">
        <f t="shared" si="127"/>
        <v>#N/A</v>
      </c>
      <c r="BE164" s="46" t="e">
        <f t="shared" ca="1" si="128"/>
        <v>#N/A</v>
      </c>
      <c r="BF164" s="46" t="e">
        <f t="shared" ca="1" si="117"/>
        <v>#N/A</v>
      </c>
      <c r="BG164" s="46" t="e">
        <f t="shared" ca="1" si="118"/>
        <v>#N/A</v>
      </c>
      <c r="BH164" s="46">
        <v>157</v>
      </c>
      <c r="BI164" s="46" t="e">
        <f t="shared" si="129"/>
        <v>#N/A</v>
      </c>
      <c r="BJ164" s="46" t="e">
        <f t="shared" ca="1" si="130"/>
        <v>#N/A</v>
      </c>
      <c r="BK164" s="46" t="e">
        <f t="shared" ca="1" si="119"/>
        <v>#N/A</v>
      </c>
      <c r="BL164" s="46" t="e">
        <f t="shared" ca="1" si="120"/>
        <v>#N/A</v>
      </c>
      <c r="BM164" s="46">
        <v>157</v>
      </c>
      <c r="BN164" s="46" t="e">
        <f t="shared" si="131"/>
        <v>#N/A</v>
      </c>
      <c r="BO164" s="46" t="e">
        <f t="shared" ca="1" si="132"/>
        <v>#N/A</v>
      </c>
      <c r="BP164" s="46" t="e">
        <f t="shared" ca="1" si="121"/>
        <v>#N/A</v>
      </c>
      <c r="BQ164" s="46" t="e">
        <f t="shared" ca="1" si="122"/>
        <v>#N/A</v>
      </c>
      <c r="BR164" s="46">
        <v>157</v>
      </c>
      <c r="BS164" s="46" t="e">
        <f t="shared" si="133"/>
        <v>#N/A</v>
      </c>
      <c r="BT164" s="46" t="e">
        <f t="shared" ca="1" si="134"/>
        <v>#N/A</v>
      </c>
      <c r="BU164" s="46" t="e">
        <f t="shared" ca="1" si="123"/>
        <v>#N/A</v>
      </c>
      <c r="BV164" s="46" t="e">
        <f t="shared" ca="1" si="124"/>
        <v>#N/A</v>
      </c>
      <c r="BW164" s="46">
        <v>157</v>
      </c>
      <c r="BX164" s="46" t="e">
        <f t="shared" si="135"/>
        <v>#N/A</v>
      </c>
      <c r="BY164" s="46" t="e">
        <f t="shared" ca="1" si="136"/>
        <v>#N/A</v>
      </c>
      <c r="BZ164" s="46" t="e">
        <f t="shared" ca="1" si="125"/>
        <v>#N/A</v>
      </c>
      <c r="CA164" s="46" t="e">
        <f t="shared" ca="1" si="126"/>
        <v>#N/A</v>
      </c>
      <c r="CC164" s="50"/>
      <c r="CD164" s="50"/>
      <c r="CE164" s="50"/>
      <c r="CF164" s="50"/>
      <c r="CG164" s="50"/>
      <c r="CH164" s="50"/>
      <c r="CI164" s="50"/>
      <c r="CJ164" s="50"/>
      <c r="CO164" s="43"/>
      <c r="CP164" s="43"/>
      <c r="CQ164" s="43"/>
    </row>
    <row r="165" spans="1:95" x14ac:dyDescent="0.25">
      <c r="A165" s="43"/>
      <c r="C165" s="42"/>
      <c r="I165" s="42"/>
      <c r="J165" s="42"/>
      <c r="K165" s="42"/>
      <c r="O165" s="43"/>
      <c r="Q165" s="43"/>
      <c r="R165" s="42"/>
      <c r="V165" s="43"/>
      <c r="AC165" s="43"/>
      <c r="AD165" s="43"/>
      <c r="AF165" s="42"/>
      <c r="AG165" s="42"/>
      <c r="AH165" s="42"/>
      <c r="AI165" s="42"/>
      <c r="AJ165" s="42"/>
      <c r="AK165" s="42"/>
      <c r="AL165" s="42"/>
      <c r="AM165" s="42"/>
      <c r="AN165" s="43"/>
      <c r="AO165" s="43"/>
      <c r="AP165" s="43"/>
      <c r="AQ165" s="43"/>
      <c r="AR165" s="43"/>
      <c r="AS165" s="43"/>
      <c r="AT165" s="43"/>
      <c r="AU165" s="43"/>
      <c r="AV165" s="43"/>
      <c r="AW165" s="46"/>
      <c r="AX165" s="46"/>
      <c r="AY165" s="46">
        <v>160</v>
      </c>
      <c r="AZ165" s="46">
        <f t="shared" si="115"/>
        <v>0</v>
      </c>
      <c r="BA165" s="46" t="b">
        <f t="shared" si="116"/>
        <v>0</v>
      </c>
      <c r="BB165" s="46">
        <v>160</v>
      </c>
      <c r="BC165" s="46">
        <v>158</v>
      </c>
      <c r="BD165" s="46" t="e">
        <f t="shared" si="127"/>
        <v>#N/A</v>
      </c>
      <c r="BE165" s="46" t="e">
        <f t="shared" ca="1" si="128"/>
        <v>#N/A</v>
      </c>
      <c r="BF165" s="46" t="e">
        <f t="shared" ca="1" si="117"/>
        <v>#N/A</v>
      </c>
      <c r="BG165" s="46" t="e">
        <f t="shared" ca="1" si="118"/>
        <v>#N/A</v>
      </c>
      <c r="BH165" s="46">
        <v>158</v>
      </c>
      <c r="BI165" s="46" t="e">
        <f t="shared" si="129"/>
        <v>#N/A</v>
      </c>
      <c r="BJ165" s="46" t="e">
        <f t="shared" ca="1" si="130"/>
        <v>#N/A</v>
      </c>
      <c r="BK165" s="46" t="e">
        <f t="shared" ca="1" si="119"/>
        <v>#N/A</v>
      </c>
      <c r="BL165" s="46" t="e">
        <f t="shared" ca="1" si="120"/>
        <v>#N/A</v>
      </c>
      <c r="BM165" s="46">
        <v>158</v>
      </c>
      <c r="BN165" s="46" t="e">
        <f t="shared" si="131"/>
        <v>#N/A</v>
      </c>
      <c r="BO165" s="46" t="e">
        <f t="shared" ca="1" si="132"/>
        <v>#N/A</v>
      </c>
      <c r="BP165" s="46" t="e">
        <f t="shared" ca="1" si="121"/>
        <v>#N/A</v>
      </c>
      <c r="BQ165" s="46" t="e">
        <f t="shared" ca="1" si="122"/>
        <v>#N/A</v>
      </c>
      <c r="BR165" s="46">
        <v>158</v>
      </c>
      <c r="BS165" s="46" t="e">
        <f t="shared" si="133"/>
        <v>#N/A</v>
      </c>
      <c r="BT165" s="46" t="e">
        <f t="shared" ca="1" si="134"/>
        <v>#N/A</v>
      </c>
      <c r="BU165" s="46" t="e">
        <f t="shared" ca="1" si="123"/>
        <v>#N/A</v>
      </c>
      <c r="BV165" s="46" t="e">
        <f t="shared" ca="1" si="124"/>
        <v>#N/A</v>
      </c>
      <c r="BW165" s="46">
        <v>158</v>
      </c>
      <c r="BX165" s="46" t="e">
        <f t="shared" si="135"/>
        <v>#N/A</v>
      </c>
      <c r="BY165" s="46" t="e">
        <f t="shared" ca="1" si="136"/>
        <v>#N/A</v>
      </c>
      <c r="BZ165" s="46" t="e">
        <f t="shared" ca="1" si="125"/>
        <v>#N/A</v>
      </c>
      <c r="CA165" s="46" t="e">
        <f t="shared" ca="1" si="126"/>
        <v>#N/A</v>
      </c>
      <c r="CC165" s="50"/>
      <c r="CD165" s="50"/>
      <c r="CE165" s="50"/>
      <c r="CF165" s="50"/>
      <c r="CG165" s="50"/>
      <c r="CH165" s="50"/>
      <c r="CI165" s="50"/>
      <c r="CJ165" s="50"/>
      <c r="CO165" s="43"/>
      <c r="CP165" s="43"/>
      <c r="CQ165" s="43"/>
    </row>
    <row r="166" spans="1:95" x14ac:dyDescent="0.25">
      <c r="A166" s="43"/>
      <c r="C166" s="42"/>
      <c r="I166" s="42"/>
      <c r="J166" s="42"/>
      <c r="K166" s="42"/>
      <c r="O166" s="43"/>
      <c r="Q166" s="43"/>
      <c r="R166" s="42"/>
      <c r="V166" s="43"/>
      <c r="AC166" s="43"/>
      <c r="AD166" s="43"/>
      <c r="AF166" s="42"/>
      <c r="AG166" s="42"/>
      <c r="AH166" s="42"/>
      <c r="AI166" s="42"/>
      <c r="AJ166" s="42"/>
      <c r="AK166" s="42"/>
      <c r="AL166" s="42"/>
      <c r="AM166" s="42"/>
      <c r="AN166" s="43"/>
      <c r="AO166" s="43"/>
      <c r="AP166" s="43"/>
      <c r="AQ166" s="43"/>
      <c r="AR166" s="43"/>
      <c r="AS166" s="43"/>
      <c r="AT166" s="43"/>
      <c r="AU166" s="43"/>
      <c r="AV166" s="43"/>
      <c r="AW166" s="46"/>
      <c r="AX166" s="46"/>
      <c r="AY166" s="46">
        <v>161</v>
      </c>
      <c r="AZ166" s="46">
        <f t="shared" si="115"/>
        <v>0</v>
      </c>
      <c r="BA166" s="46" t="b">
        <f t="shared" si="116"/>
        <v>0</v>
      </c>
      <c r="BB166" s="46">
        <v>161</v>
      </c>
      <c r="BC166" s="46">
        <v>159</v>
      </c>
      <c r="BD166" s="46" t="e">
        <f t="shared" si="127"/>
        <v>#N/A</v>
      </c>
      <c r="BE166" s="46" t="e">
        <f t="shared" ca="1" si="128"/>
        <v>#N/A</v>
      </c>
      <c r="BF166" s="46" t="e">
        <f t="shared" ca="1" si="117"/>
        <v>#N/A</v>
      </c>
      <c r="BG166" s="46" t="e">
        <f t="shared" ca="1" si="118"/>
        <v>#N/A</v>
      </c>
      <c r="BH166" s="46">
        <v>159</v>
      </c>
      <c r="BI166" s="46" t="e">
        <f t="shared" si="129"/>
        <v>#N/A</v>
      </c>
      <c r="BJ166" s="46" t="e">
        <f t="shared" ca="1" si="130"/>
        <v>#N/A</v>
      </c>
      <c r="BK166" s="46" t="e">
        <f t="shared" ca="1" si="119"/>
        <v>#N/A</v>
      </c>
      <c r="BL166" s="46" t="e">
        <f t="shared" ca="1" si="120"/>
        <v>#N/A</v>
      </c>
      <c r="BM166" s="46">
        <v>159</v>
      </c>
      <c r="BN166" s="46" t="e">
        <f t="shared" si="131"/>
        <v>#N/A</v>
      </c>
      <c r="BO166" s="46" t="e">
        <f t="shared" ca="1" si="132"/>
        <v>#N/A</v>
      </c>
      <c r="BP166" s="46" t="e">
        <f t="shared" ca="1" si="121"/>
        <v>#N/A</v>
      </c>
      <c r="BQ166" s="46" t="e">
        <f t="shared" ca="1" si="122"/>
        <v>#N/A</v>
      </c>
      <c r="BR166" s="46">
        <v>159</v>
      </c>
      <c r="BS166" s="46" t="e">
        <f t="shared" si="133"/>
        <v>#N/A</v>
      </c>
      <c r="BT166" s="46" t="e">
        <f t="shared" ca="1" si="134"/>
        <v>#N/A</v>
      </c>
      <c r="BU166" s="46" t="e">
        <f t="shared" ca="1" si="123"/>
        <v>#N/A</v>
      </c>
      <c r="BV166" s="46" t="e">
        <f t="shared" ca="1" si="124"/>
        <v>#N/A</v>
      </c>
      <c r="BW166" s="46">
        <v>159</v>
      </c>
      <c r="BX166" s="46" t="e">
        <f t="shared" si="135"/>
        <v>#N/A</v>
      </c>
      <c r="BY166" s="46" t="e">
        <f t="shared" ca="1" si="136"/>
        <v>#N/A</v>
      </c>
      <c r="BZ166" s="46" t="e">
        <f t="shared" ca="1" si="125"/>
        <v>#N/A</v>
      </c>
      <c r="CA166" s="46" t="e">
        <f t="shared" ca="1" si="126"/>
        <v>#N/A</v>
      </c>
      <c r="CC166" s="50"/>
      <c r="CD166" s="50"/>
      <c r="CE166" s="50"/>
      <c r="CF166" s="50"/>
      <c r="CG166" s="50"/>
      <c r="CH166" s="50"/>
      <c r="CI166" s="50"/>
      <c r="CJ166" s="50"/>
      <c r="CO166" s="43"/>
      <c r="CP166" s="43"/>
      <c r="CQ166" s="43"/>
    </row>
    <row r="167" spans="1:95" x14ac:dyDescent="0.25">
      <c r="A167" s="43"/>
      <c r="C167" s="42"/>
      <c r="I167" s="42"/>
      <c r="J167" s="42"/>
      <c r="K167" s="42"/>
      <c r="O167" s="43"/>
      <c r="Q167" s="43"/>
      <c r="R167" s="42"/>
      <c r="V167" s="43"/>
      <c r="AC167" s="43"/>
      <c r="AD167" s="43"/>
      <c r="AF167" s="42"/>
      <c r="AG167" s="42"/>
      <c r="AH167" s="42"/>
      <c r="AI167" s="42"/>
      <c r="AJ167" s="42"/>
      <c r="AK167" s="42"/>
      <c r="AL167" s="42"/>
      <c r="AM167" s="42"/>
      <c r="AN167" s="43"/>
      <c r="AO167" s="43"/>
      <c r="AP167" s="43"/>
      <c r="AQ167" s="43"/>
      <c r="AR167" s="43"/>
      <c r="AS167" s="43"/>
      <c r="AT167" s="43"/>
      <c r="AU167" s="43"/>
      <c r="AV167" s="43"/>
      <c r="AW167" s="46"/>
      <c r="AX167" s="46"/>
      <c r="AY167" s="46">
        <v>162</v>
      </c>
      <c r="AZ167" s="46">
        <f t="shared" ref="AZ167:AZ198" si="137" xml:space="preserve"> IFERROR(MATCH(AY167, $AW$7:$AW$10, 0), 0)</f>
        <v>0</v>
      </c>
      <c r="BA167" s="46" t="b">
        <f t="shared" ref="BA167:BA198" si="138">IF(AY167 &lt;= $AX$11, IF(AZ167 = 0, BA166 + $AI$6 + $AI$11, BA166 + ($AI$13 - $AI$11)))</f>
        <v>0</v>
      </c>
      <c r="BB167" s="46">
        <v>162</v>
      </c>
      <c r="BC167" s="46">
        <v>160</v>
      </c>
      <c r="BD167" s="46" t="e">
        <f t="shared" si="127"/>
        <v>#N/A</v>
      </c>
      <c r="BE167" s="46" t="e">
        <f t="shared" ca="1" si="128"/>
        <v>#N/A</v>
      </c>
      <c r="BF167" s="46" t="e">
        <f t="shared" ref="BF167:BF198" ca="1" si="139" xml:space="preserve"> IF(BE167, IF(MOD(BC167, 3) = 0, BE167 - $AI$11 / 2 - $AI$6, IF(MOD(BC167, 3) = 1, BE167 - $AI$11 / 2, BE167)))</f>
        <v>#N/A</v>
      </c>
      <c r="BG167" s="46" t="e">
        <f t="shared" ref="BG167:BG198" ca="1" si="140" xml:space="preserve"> IF(BE167, IF(MOD(BC167, 3) = 2, $AI$22, $AI$22 + 60 + 50 + 35))</f>
        <v>#N/A</v>
      </c>
      <c r="BH167" s="46">
        <v>160</v>
      </c>
      <c r="BI167" s="46" t="e">
        <f t="shared" si="129"/>
        <v>#N/A</v>
      </c>
      <c r="BJ167" s="46" t="e">
        <f t="shared" ca="1" si="130"/>
        <v>#N/A</v>
      </c>
      <c r="BK167" s="46" t="e">
        <f t="shared" ref="BK167:BK198" ca="1" si="141" xml:space="preserve"> IF(BJ167, IF(MOD(BH167, 3) = 0, BJ167 - $AI$11 / 2 - $AI$6, IF(MOD(BH167, 3) = 1, BJ167 - $AI$11 / 2, BJ167)))</f>
        <v>#N/A</v>
      </c>
      <c r="BL167" s="46" t="e">
        <f t="shared" ref="BL167:BL198" ca="1" si="142" xml:space="preserve"> IF(BJ167, IF(MOD(BH167, 3) = 2, $AI$22, $AI$22 + 60 + 50 + 35))</f>
        <v>#N/A</v>
      </c>
      <c r="BM167" s="46">
        <v>160</v>
      </c>
      <c r="BN167" s="46" t="e">
        <f t="shared" si="131"/>
        <v>#N/A</v>
      </c>
      <c r="BO167" s="46" t="e">
        <f t="shared" ca="1" si="132"/>
        <v>#N/A</v>
      </c>
      <c r="BP167" s="46" t="e">
        <f t="shared" ref="BP167:BP198" ca="1" si="143" xml:space="preserve"> IF(BO167, IF(MOD(BM167, 3) = 0, BO167 - $AI$11 / 2 - $AI$6, IF(MOD(BM167, 3) = 1, BO167 - $AI$11 / 2, BO167)))</f>
        <v>#N/A</v>
      </c>
      <c r="BQ167" s="46" t="e">
        <f t="shared" ref="BQ167:BQ198" ca="1" si="144" xml:space="preserve"> IF(BO167, IF(MOD(BM167, 3) = 2, $AI$22, $AI$22 + 60 + 50 + 35))</f>
        <v>#N/A</v>
      </c>
      <c r="BR167" s="46">
        <v>160</v>
      </c>
      <c r="BS167" s="46" t="e">
        <f t="shared" si="133"/>
        <v>#N/A</v>
      </c>
      <c r="BT167" s="46" t="e">
        <f t="shared" ca="1" si="134"/>
        <v>#N/A</v>
      </c>
      <c r="BU167" s="46" t="e">
        <f t="shared" ref="BU167:BU198" ca="1" si="145" xml:space="preserve"> IF(BT167, IF(MOD(BR167, 3) = 0, BT167 - $AI$11 / 2 - $AI$6, IF(MOD(BR167, 3) = 1, BT167 - $AI$11 / 2, BT167)))</f>
        <v>#N/A</v>
      </c>
      <c r="BV167" s="46" t="e">
        <f t="shared" ref="BV167:BV198" ca="1" si="146" xml:space="preserve"> IF(BT167, IF(MOD(BR167, 3) = 2, $AI$22, $AI$22 + 60 + 50 + 35))</f>
        <v>#N/A</v>
      </c>
      <c r="BW167" s="46">
        <v>160</v>
      </c>
      <c r="BX167" s="46" t="e">
        <f t="shared" si="135"/>
        <v>#N/A</v>
      </c>
      <c r="BY167" s="46" t="e">
        <f t="shared" ca="1" si="136"/>
        <v>#N/A</v>
      </c>
      <c r="BZ167" s="46" t="e">
        <f t="shared" ref="BZ167:BZ198" ca="1" si="147" xml:space="preserve"> IF(BY167, IF(MOD(BW167, 3) = 0, BY167 - $AI$11 / 2 - $AI$6, IF(MOD(BW167, 3) = 1, BY167 - $AI$11 / 2, BY167)))</f>
        <v>#N/A</v>
      </c>
      <c r="CA167" s="46" t="e">
        <f t="shared" ref="CA167:CA198" ca="1" si="148" xml:space="preserve"> IF(BY167, IF(MOD(BW167, 3) = 2, $AI$22, $AI$22 + 60 + 50 + 35))</f>
        <v>#N/A</v>
      </c>
      <c r="CC167" s="50"/>
      <c r="CD167" s="50"/>
      <c r="CE167" s="50"/>
      <c r="CF167" s="50"/>
      <c r="CG167" s="50"/>
      <c r="CH167" s="50"/>
      <c r="CI167" s="50"/>
      <c r="CJ167" s="50"/>
      <c r="CO167" s="43"/>
      <c r="CP167" s="43"/>
      <c r="CQ167" s="43"/>
    </row>
    <row r="168" spans="1:95" x14ac:dyDescent="0.25">
      <c r="A168" s="43"/>
      <c r="C168" s="42"/>
      <c r="I168" s="42"/>
      <c r="J168" s="42"/>
      <c r="K168" s="42"/>
      <c r="O168" s="43"/>
      <c r="Q168" s="43"/>
      <c r="R168" s="42"/>
      <c r="V168" s="43"/>
      <c r="AC168" s="43"/>
      <c r="AD168" s="43"/>
      <c r="AF168" s="42"/>
      <c r="AG168" s="42"/>
      <c r="AH168" s="42"/>
      <c r="AI168" s="42"/>
      <c r="AJ168" s="42"/>
      <c r="AK168" s="42"/>
      <c r="AL168" s="42"/>
      <c r="AM168" s="42"/>
      <c r="AN168" s="43"/>
      <c r="AO168" s="43"/>
      <c r="AP168" s="43"/>
      <c r="AQ168" s="43"/>
      <c r="AR168" s="43"/>
      <c r="AS168" s="43"/>
      <c r="AT168" s="43"/>
      <c r="AU168" s="43"/>
      <c r="AV168" s="43"/>
      <c r="AW168" s="46"/>
      <c r="AX168" s="46"/>
      <c r="AY168" s="46">
        <v>163</v>
      </c>
      <c r="AZ168" s="46">
        <f t="shared" si="137"/>
        <v>0</v>
      </c>
      <c r="BA168" s="46" t="b">
        <f t="shared" si="138"/>
        <v>0</v>
      </c>
      <c r="BB168" s="46">
        <v>163</v>
      </c>
      <c r="BC168" s="46">
        <v>161</v>
      </c>
      <c r="BD168" s="46" t="e">
        <f t="shared" si="127"/>
        <v>#N/A</v>
      </c>
      <c r="BE168" s="46" t="e">
        <f t="shared" ca="1" si="128"/>
        <v>#N/A</v>
      </c>
      <c r="BF168" s="46" t="e">
        <f t="shared" ca="1" si="139"/>
        <v>#N/A</v>
      </c>
      <c r="BG168" s="46" t="e">
        <f t="shared" ca="1" si="140"/>
        <v>#N/A</v>
      </c>
      <c r="BH168" s="46">
        <v>161</v>
      </c>
      <c r="BI168" s="46" t="e">
        <f t="shared" si="129"/>
        <v>#N/A</v>
      </c>
      <c r="BJ168" s="46" t="e">
        <f t="shared" ca="1" si="130"/>
        <v>#N/A</v>
      </c>
      <c r="BK168" s="46" t="e">
        <f t="shared" ca="1" si="141"/>
        <v>#N/A</v>
      </c>
      <c r="BL168" s="46" t="e">
        <f t="shared" ca="1" si="142"/>
        <v>#N/A</v>
      </c>
      <c r="BM168" s="46">
        <v>161</v>
      </c>
      <c r="BN168" s="46" t="e">
        <f t="shared" si="131"/>
        <v>#N/A</v>
      </c>
      <c r="BO168" s="46" t="e">
        <f t="shared" ca="1" si="132"/>
        <v>#N/A</v>
      </c>
      <c r="BP168" s="46" t="e">
        <f t="shared" ca="1" si="143"/>
        <v>#N/A</v>
      </c>
      <c r="BQ168" s="46" t="e">
        <f t="shared" ca="1" si="144"/>
        <v>#N/A</v>
      </c>
      <c r="BR168" s="46">
        <v>161</v>
      </c>
      <c r="BS168" s="46" t="e">
        <f t="shared" si="133"/>
        <v>#N/A</v>
      </c>
      <c r="BT168" s="46" t="e">
        <f t="shared" ca="1" si="134"/>
        <v>#N/A</v>
      </c>
      <c r="BU168" s="46" t="e">
        <f t="shared" ca="1" si="145"/>
        <v>#N/A</v>
      </c>
      <c r="BV168" s="46" t="e">
        <f t="shared" ca="1" si="146"/>
        <v>#N/A</v>
      </c>
      <c r="BW168" s="46">
        <v>161</v>
      </c>
      <c r="BX168" s="46" t="e">
        <f t="shared" si="135"/>
        <v>#N/A</v>
      </c>
      <c r="BY168" s="46" t="e">
        <f t="shared" ca="1" si="136"/>
        <v>#N/A</v>
      </c>
      <c r="BZ168" s="46" t="e">
        <f t="shared" ca="1" si="147"/>
        <v>#N/A</v>
      </c>
      <c r="CA168" s="46" t="e">
        <f t="shared" ca="1" si="148"/>
        <v>#N/A</v>
      </c>
      <c r="CC168" s="50"/>
      <c r="CD168" s="50"/>
      <c r="CE168" s="50"/>
      <c r="CF168" s="50"/>
      <c r="CG168" s="50"/>
      <c r="CH168" s="50"/>
      <c r="CI168" s="50"/>
      <c r="CJ168" s="50"/>
      <c r="CO168" s="43"/>
      <c r="CP168" s="43"/>
      <c r="CQ168" s="43"/>
    </row>
    <row r="169" spans="1:95" x14ac:dyDescent="0.25">
      <c r="A169" s="43"/>
      <c r="C169" s="42"/>
      <c r="I169" s="42"/>
      <c r="J169" s="42"/>
      <c r="K169" s="42"/>
      <c r="O169" s="43"/>
      <c r="Q169" s="43"/>
      <c r="R169" s="42"/>
      <c r="V169" s="43"/>
      <c r="AC169" s="43"/>
      <c r="AD169" s="43"/>
      <c r="AF169" s="42"/>
      <c r="AG169" s="42"/>
      <c r="AH169" s="42"/>
      <c r="AI169" s="42"/>
      <c r="AJ169" s="42"/>
      <c r="AK169" s="42"/>
      <c r="AL169" s="42"/>
      <c r="AM169" s="42"/>
      <c r="AN169" s="43"/>
      <c r="AO169" s="43"/>
      <c r="AP169" s="43"/>
      <c r="AQ169" s="43"/>
      <c r="AR169" s="43"/>
      <c r="AS169" s="43"/>
      <c r="AT169" s="43"/>
      <c r="AU169" s="43"/>
      <c r="AV169" s="43"/>
      <c r="AW169" s="46"/>
      <c r="AX169" s="46"/>
      <c r="AY169" s="46">
        <v>164</v>
      </c>
      <c r="AZ169" s="46">
        <f t="shared" si="137"/>
        <v>0</v>
      </c>
      <c r="BA169" s="46" t="b">
        <f t="shared" si="138"/>
        <v>0</v>
      </c>
      <c r="BB169" s="46">
        <v>164</v>
      </c>
      <c r="BC169" s="46">
        <v>162</v>
      </c>
      <c r="BD169" s="46" t="e">
        <f t="shared" si="127"/>
        <v>#N/A</v>
      </c>
      <c r="BE169" s="46" t="e">
        <f t="shared" ca="1" si="128"/>
        <v>#N/A</v>
      </c>
      <c r="BF169" s="46" t="e">
        <f t="shared" ca="1" si="139"/>
        <v>#N/A</v>
      </c>
      <c r="BG169" s="46" t="e">
        <f t="shared" ca="1" si="140"/>
        <v>#N/A</v>
      </c>
      <c r="BH169" s="46">
        <v>162</v>
      </c>
      <c r="BI169" s="46" t="e">
        <f t="shared" si="129"/>
        <v>#N/A</v>
      </c>
      <c r="BJ169" s="46" t="e">
        <f t="shared" ca="1" si="130"/>
        <v>#N/A</v>
      </c>
      <c r="BK169" s="46" t="e">
        <f t="shared" ca="1" si="141"/>
        <v>#N/A</v>
      </c>
      <c r="BL169" s="46" t="e">
        <f t="shared" ca="1" si="142"/>
        <v>#N/A</v>
      </c>
      <c r="BM169" s="46">
        <v>162</v>
      </c>
      <c r="BN169" s="46" t="e">
        <f t="shared" si="131"/>
        <v>#N/A</v>
      </c>
      <c r="BO169" s="46" t="e">
        <f t="shared" ca="1" si="132"/>
        <v>#N/A</v>
      </c>
      <c r="BP169" s="46" t="e">
        <f t="shared" ca="1" si="143"/>
        <v>#N/A</v>
      </c>
      <c r="BQ169" s="46" t="e">
        <f t="shared" ca="1" si="144"/>
        <v>#N/A</v>
      </c>
      <c r="BR169" s="46">
        <v>162</v>
      </c>
      <c r="BS169" s="46" t="e">
        <f t="shared" si="133"/>
        <v>#N/A</v>
      </c>
      <c r="BT169" s="46" t="e">
        <f t="shared" ca="1" si="134"/>
        <v>#N/A</v>
      </c>
      <c r="BU169" s="46" t="e">
        <f t="shared" ca="1" si="145"/>
        <v>#N/A</v>
      </c>
      <c r="BV169" s="46" t="e">
        <f t="shared" ca="1" si="146"/>
        <v>#N/A</v>
      </c>
      <c r="BW169" s="46">
        <v>162</v>
      </c>
      <c r="BX169" s="46" t="e">
        <f t="shared" si="135"/>
        <v>#N/A</v>
      </c>
      <c r="BY169" s="46" t="e">
        <f t="shared" ca="1" si="136"/>
        <v>#N/A</v>
      </c>
      <c r="BZ169" s="46" t="e">
        <f t="shared" ca="1" si="147"/>
        <v>#N/A</v>
      </c>
      <c r="CA169" s="46" t="e">
        <f t="shared" ca="1" si="148"/>
        <v>#N/A</v>
      </c>
      <c r="CC169" s="50"/>
      <c r="CD169" s="50"/>
      <c r="CE169" s="50"/>
      <c r="CF169" s="50"/>
      <c r="CG169" s="50"/>
      <c r="CH169" s="50"/>
      <c r="CI169" s="50"/>
      <c r="CJ169" s="50"/>
      <c r="CO169" s="43"/>
      <c r="CP169" s="43"/>
      <c r="CQ169" s="43"/>
    </row>
    <row r="170" spans="1:95" x14ac:dyDescent="0.25">
      <c r="A170" s="43"/>
      <c r="C170" s="42"/>
      <c r="I170" s="42"/>
      <c r="J170" s="42"/>
      <c r="K170" s="42"/>
      <c r="O170" s="43"/>
      <c r="Q170" s="43"/>
      <c r="R170" s="42"/>
      <c r="V170" s="43"/>
      <c r="AC170" s="43"/>
      <c r="AD170" s="43"/>
      <c r="AF170" s="42"/>
      <c r="AG170" s="42"/>
      <c r="AH170" s="42"/>
      <c r="AI170" s="42"/>
      <c r="AJ170" s="42"/>
      <c r="AK170" s="42"/>
      <c r="AL170" s="42"/>
      <c r="AM170" s="42"/>
      <c r="AN170" s="43"/>
      <c r="AO170" s="43"/>
      <c r="AP170" s="43"/>
      <c r="AQ170" s="43"/>
      <c r="AR170" s="43"/>
      <c r="AS170" s="43"/>
      <c r="AT170" s="43"/>
      <c r="AU170" s="43"/>
      <c r="AV170" s="43"/>
      <c r="AW170" s="46"/>
      <c r="AX170" s="46"/>
      <c r="AY170" s="46">
        <v>165</v>
      </c>
      <c r="AZ170" s="46">
        <f t="shared" si="137"/>
        <v>0</v>
      </c>
      <c r="BA170" s="46" t="b">
        <f t="shared" si="138"/>
        <v>0</v>
      </c>
      <c r="BB170" s="46">
        <v>165</v>
      </c>
      <c r="BC170" s="46">
        <v>163</v>
      </c>
      <c r="BD170" s="46" t="e">
        <f t="shared" si="127"/>
        <v>#N/A</v>
      </c>
      <c r="BE170" s="46" t="e">
        <f t="shared" ca="1" si="128"/>
        <v>#N/A</v>
      </c>
      <c r="BF170" s="46" t="e">
        <f t="shared" ca="1" si="139"/>
        <v>#N/A</v>
      </c>
      <c r="BG170" s="46" t="e">
        <f t="shared" ca="1" si="140"/>
        <v>#N/A</v>
      </c>
      <c r="BH170" s="46">
        <v>163</v>
      </c>
      <c r="BI170" s="46" t="e">
        <f t="shared" si="129"/>
        <v>#N/A</v>
      </c>
      <c r="BJ170" s="46" t="e">
        <f t="shared" ca="1" si="130"/>
        <v>#N/A</v>
      </c>
      <c r="BK170" s="46" t="e">
        <f t="shared" ca="1" si="141"/>
        <v>#N/A</v>
      </c>
      <c r="BL170" s="46" t="e">
        <f t="shared" ca="1" si="142"/>
        <v>#N/A</v>
      </c>
      <c r="BM170" s="46">
        <v>163</v>
      </c>
      <c r="BN170" s="46" t="e">
        <f t="shared" si="131"/>
        <v>#N/A</v>
      </c>
      <c r="BO170" s="46" t="e">
        <f t="shared" ca="1" si="132"/>
        <v>#N/A</v>
      </c>
      <c r="BP170" s="46" t="e">
        <f t="shared" ca="1" si="143"/>
        <v>#N/A</v>
      </c>
      <c r="BQ170" s="46" t="e">
        <f t="shared" ca="1" si="144"/>
        <v>#N/A</v>
      </c>
      <c r="BR170" s="46">
        <v>163</v>
      </c>
      <c r="BS170" s="46" t="e">
        <f t="shared" si="133"/>
        <v>#N/A</v>
      </c>
      <c r="BT170" s="46" t="e">
        <f t="shared" ca="1" si="134"/>
        <v>#N/A</v>
      </c>
      <c r="BU170" s="46" t="e">
        <f t="shared" ca="1" si="145"/>
        <v>#N/A</v>
      </c>
      <c r="BV170" s="46" t="e">
        <f t="shared" ca="1" si="146"/>
        <v>#N/A</v>
      </c>
      <c r="BW170" s="46">
        <v>163</v>
      </c>
      <c r="BX170" s="46" t="e">
        <f t="shared" si="135"/>
        <v>#N/A</v>
      </c>
      <c r="BY170" s="46" t="e">
        <f t="shared" ca="1" si="136"/>
        <v>#N/A</v>
      </c>
      <c r="BZ170" s="46" t="e">
        <f t="shared" ca="1" si="147"/>
        <v>#N/A</v>
      </c>
      <c r="CA170" s="46" t="e">
        <f t="shared" ca="1" si="148"/>
        <v>#N/A</v>
      </c>
      <c r="CC170" s="50"/>
      <c r="CD170" s="50"/>
      <c r="CE170" s="50"/>
      <c r="CF170" s="50"/>
      <c r="CG170" s="50"/>
      <c r="CH170" s="50"/>
      <c r="CI170" s="50"/>
      <c r="CJ170" s="50"/>
      <c r="CO170" s="43"/>
      <c r="CP170" s="43"/>
      <c r="CQ170" s="43"/>
    </row>
    <row r="171" spans="1:95" x14ac:dyDescent="0.25">
      <c r="A171" s="43"/>
      <c r="C171" s="42"/>
      <c r="I171" s="42"/>
      <c r="J171" s="42"/>
      <c r="K171" s="42"/>
      <c r="O171" s="43"/>
      <c r="Q171" s="43"/>
      <c r="R171" s="42"/>
      <c r="V171" s="43"/>
      <c r="AC171" s="43"/>
      <c r="AD171" s="43"/>
      <c r="AF171" s="42"/>
      <c r="AG171" s="42"/>
      <c r="AH171" s="42"/>
      <c r="AI171" s="42"/>
      <c r="AJ171" s="42"/>
      <c r="AK171" s="42"/>
      <c r="AL171" s="42"/>
      <c r="AM171" s="42"/>
      <c r="AN171" s="43"/>
      <c r="AO171" s="43"/>
      <c r="AP171" s="43"/>
      <c r="AQ171" s="43"/>
      <c r="AR171" s="43"/>
      <c r="AS171" s="43"/>
      <c r="AT171" s="43"/>
      <c r="AU171" s="43"/>
      <c r="AV171" s="43"/>
      <c r="AW171" s="46"/>
      <c r="AX171" s="46"/>
      <c r="AY171" s="46">
        <v>166</v>
      </c>
      <c r="AZ171" s="46">
        <f t="shared" si="137"/>
        <v>0</v>
      </c>
      <c r="BA171" s="46" t="b">
        <f t="shared" si="138"/>
        <v>0</v>
      </c>
      <c r="BB171" s="46">
        <v>166</v>
      </c>
      <c r="BC171" s="46">
        <v>164</v>
      </c>
      <c r="BD171" s="46" t="e">
        <f t="shared" si="127"/>
        <v>#N/A</v>
      </c>
      <c r="BE171" s="46" t="e">
        <f t="shared" ca="1" si="128"/>
        <v>#N/A</v>
      </c>
      <c r="BF171" s="46" t="e">
        <f t="shared" ca="1" si="139"/>
        <v>#N/A</v>
      </c>
      <c r="BG171" s="46" t="e">
        <f t="shared" ca="1" si="140"/>
        <v>#N/A</v>
      </c>
      <c r="BH171" s="46">
        <v>164</v>
      </c>
      <c r="BI171" s="46" t="e">
        <f t="shared" si="129"/>
        <v>#N/A</v>
      </c>
      <c r="BJ171" s="46" t="e">
        <f t="shared" ca="1" si="130"/>
        <v>#N/A</v>
      </c>
      <c r="BK171" s="46" t="e">
        <f t="shared" ca="1" si="141"/>
        <v>#N/A</v>
      </c>
      <c r="BL171" s="46" t="e">
        <f t="shared" ca="1" si="142"/>
        <v>#N/A</v>
      </c>
      <c r="BM171" s="46">
        <v>164</v>
      </c>
      <c r="BN171" s="46" t="e">
        <f t="shared" si="131"/>
        <v>#N/A</v>
      </c>
      <c r="BO171" s="46" t="e">
        <f t="shared" ca="1" si="132"/>
        <v>#N/A</v>
      </c>
      <c r="BP171" s="46" t="e">
        <f t="shared" ca="1" si="143"/>
        <v>#N/A</v>
      </c>
      <c r="BQ171" s="46" t="e">
        <f t="shared" ca="1" si="144"/>
        <v>#N/A</v>
      </c>
      <c r="BR171" s="46">
        <v>164</v>
      </c>
      <c r="BS171" s="46" t="e">
        <f t="shared" si="133"/>
        <v>#N/A</v>
      </c>
      <c r="BT171" s="46" t="e">
        <f t="shared" ca="1" si="134"/>
        <v>#N/A</v>
      </c>
      <c r="BU171" s="46" t="e">
        <f t="shared" ca="1" si="145"/>
        <v>#N/A</v>
      </c>
      <c r="BV171" s="46" t="e">
        <f t="shared" ca="1" si="146"/>
        <v>#N/A</v>
      </c>
      <c r="BW171" s="46">
        <v>164</v>
      </c>
      <c r="BX171" s="46" t="e">
        <f t="shared" si="135"/>
        <v>#N/A</v>
      </c>
      <c r="BY171" s="46" t="e">
        <f t="shared" ca="1" si="136"/>
        <v>#N/A</v>
      </c>
      <c r="BZ171" s="46" t="e">
        <f t="shared" ca="1" si="147"/>
        <v>#N/A</v>
      </c>
      <c r="CA171" s="46" t="e">
        <f t="shared" ca="1" si="148"/>
        <v>#N/A</v>
      </c>
      <c r="CC171" s="50"/>
      <c r="CD171" s="50"/>
      <c r="CE171" s="50"/>
      <c r="CF171" s="50"/>
      <c r="CG171" s="50"/>
      <c r="CH171" s="50"/>
      <c r="CI171" s="50"/>
      <c r="CJ171" s="50"/>
      <c r="CO171" s="43"/>
      <c r="CP171" s="43"/>
      <c r="CQ171" s="43"/>
    </row>
    <row r="172" spans="1:95" x14ac:dyDescent="0.25">
      <c r="A172" s="43"/>
      <c r="C172" s="42"/>
      <c r="I172" s="42"/>
      <c r="J172" s="42"/>
      <c r="K172" s="42"/>
      <c r="O172" s="43"/>
      <c r="Q172" s="43"/>
      <c r="R172" s="42"/>
      <c r="V172" s="43"/>
      <c r="AC172" s="43"/>
      <c r="AD172" s="43"/>
      <c r="AF172" s="42"/>
      <c r="AG172" s="42"/>
      <c r="AH172" s="42"/>
      <c r="AI172" s="42"/>
      <c r="AJ172" s="42"/>
      <c r="AK172" s="42"/>
      <c r="AL172" s="42"/>
      <c r="AM172" s="42"/>
      <c r="AN172" s="43"/>
      <c r="AO172" s="43"/>
      <c r="AP172" s="43"/>
      <c r="AQ172" s="43"/>
      <c r="AR172" s="43"/>
      <c r="AS172" s="43"/>
      <c r="AT172" s="43"/>
      <c r="AU172" s="43"/>
      <c r="AV172" s="43"/>
      <c r="AW172" s="46"/>
      <c r="AX172" s="46"/>
      <c r="AY172" s="46">
        <v>167</v>
      </c>
      <c r="AZ172" s="46">
        <f t="shared" si="137"/>
        <v>0</v>
      </c>
      <c r="BA172" s="46" t="b">
        <f t="shared" si="138"/>
        <v>0</v>
      </c>
      <c r="BB172" s="46">
        <v>167</v>
      </c>
      <c r="BC172" s="46">
        <v>165</v>
      </c>
      <c r="BD172" s="46" t="e">
        <f t="shared" si="127"/>
        <v>#N/A</v>
      </c>
      <c r="BE172" s="46" t="e">
        <f t="shared" ca="1" si="128"/>
        <v>#N/A</v>
      </c>
      <c r="BF172" s="46" t="e">
        <f t="shared" ca="1" si="139"/>
        <v>#N/A</v>
      </c>
      <c r="BG172" s="46" t="e">
        <f t="shared" ca="1" si="140"/>
        <v>#N/A</v>
      </c>
      <c r="BH172" s="46">
        <v>165</v>
      </c>
      <c r="BI172" s="46" t="e">
        <f t="shared" si="129"/>
        <v>#N/A</v>
      </c>
      <c r="BJ172" s="46" t="e">
        <f t="shared" ca="1" si="130"/>
        <v>#N/A</v>
      </c>
      <c r="BK172" s="46" t="e">
        <f t="shared" ca="1" si="141"/>
        <v>#N/A</v>
      </c>
      <c r="BL172" s="46" t="e">
        <f t="shared" ca="1" si="142"/>
        <v>#N/A</v>
      </c>
      <c r="BM172" s="46">
        <v>165</v>
      </c>
      <c r="BN172" s="46" t="e">
        <f t="shared" si="131"/>
        <v>#N/A</v>
      </c>
      <c r="BO172" s="46" t="e">
        <f t="shared" ca="1" si="132"/>
        <v>#N/A</v>
      </c>
      <c r="BP172" s="46" t="e">
        <f t="shared" ca="1" si="143"/>
        <v>#N/A</v>
      </c>
      <c r="BQ172" s="46" t="e">
        <f t="shared" ca="1" si="144"/>
        <v>#N/A</v>
      </c>
      <c r="BR172" s="46">
        <v>165</v>
      </c>
      <c r="BS172" s="46" t="e">
        <f t="shared" si="133"/>
        <v>#N/A</v>
      </c>
      <c r="BT172" s="46" t="e">
        <f t="shared" ca="1" si="134"/>
        <v>#N/A</v>
      </c>
      <c r="BU172" s="46" t="e">
        <f t="shared" ca="1" si="145"/>
        <v>#N/A</v>
      </c>
      <c r="BV172" s="46" t="e">
        <f t="shared" ca="1" si="146"/>
        <v>#N/A</v>
      </c>
      <c r="BW172" s="46">
        <v>165</v>
      </c>
      <c r="BX172" s="46" t="e">
        <f t="shared" si="135"/>
        <v>#N/A</v>
      </c>
      <c r="BY172" s="46" t="e">
        <f t="shared" ca="1" si="136"/>
        <v>#N/A</v>
      </c>
      <c r="BZ172" s="46" t="e">
        <f t="shared" ca="1" si="147"/>
        <v>#N/A</v>
      </c>
      <c r="CA172" s="46" t="e">
        <f t="shared" ca="1" si="148"/>
        <v>#N/A</v>
      </c>
      <c r="CC172" s="50"/>
      <c r="CD172" s="50"/>
      <c r="CE172" s="50"/>
      <c r="CF172" s="50"/>
      <c r="CG172" s="50"/>
      <c r="CH172" s="50"/>
      <c r="CI172" s="50"/>
      <c r="CJ172" s="50"/>
      <c r="CO172" s="43"/>
      <c r="CP172" s="43"/>
      <c r="CQ172" s="43"/>
    </row>
    <row r="173" spans="1:95" x14ac:dyDescent="0.25">
      <c r="A173" s="43"/>
      <c r="C173" s="42"/>
      <c r="I173" s="42"/>
      <c r="J173" s="42"/>
      <c r="K173" s="42"/>
      <c r="O173" s="43"/>
      <c r="Q173" s="43"/>
      <c r="R173" s="42"/>
      <c r="V173" s="43"/>
      <c r="AC173" s="43"/>
      <c r="AD173" s="43"/>
      <c r="AF173" s="42"/>
      <c r="AG173" s="42"/>
      <c r="AH173" s="42"/>
      <c r="AI173" s="42"/>
      <c r="AJ173" s="42"/>
      <c r="AK173" s="42"/>
      <c r="AL173" s="42"/>
      <c r="AM173" s="42"/>
      <c r="AN173" s="43"/>
      <c r="AO173" s="43"/>
      <c r="AP173" s="43"/>
      <c r="AQ173" s="43"/>
      <c r="AR173" s="43"/>
      <c r="AS173" s="43"/>
      <c r="AT173" s="43"/>
      <c r="AU173" s="43"/>
      <c r="AV173" s="43"/>
      <c r="AW173" s="46"/>
      <c r="AX173" s="46"/>
      <c r="AY173" s="46">
        <v>168</v>
      </c>
      <c r="AZ173" s="46">
        <f t="shared" si="137"/>
        <v>0</v>
      </c>
      <c r="BA173" s="46" t="b">
        <f t="shared" si="138"/>
        <v>0</v>
      </c>
      <c r="BB173" s="46">
        <v>168</v>
      </c>
      <c r="BC173" s="46">
        <v>166</v>
      </c>
      <c r="BD173" s="46" t="e">
        <f t="shared" si="127"/>
        <v>#N/A</v>
      </c>
      <c r="BE173" s="46" t="e">
        <f t="shared" ca="1" si="128"/>
        <v>#N/A</v>
      </c>
      <c r="BF173" s="46" t="e">
        <f t="shared" ca="1" si="139"/>
        <v>#N/A</v>
      </c>
      <c r="BG173" s="46" t="e">
        <f t="shared" ca="1" si="140"/>
        <v>#N/A</v>
      </c>
      <c r="BH173" s="46">
        <v>166</v>
      </c>
      <c r="BI173" s="46" t="e">
        <f t="shared" si="129"/>
        <v>#N/A</v>
      </c>
      <c r="BJ173" s="46" t="e">
        <f t="shared" ca="1" si="130"/>
        <v>#N/A</v>
      </c>
      <c r="BK173" s="46" t="e">
        <f t="shared" ca="1" si="141"/>
        <v>#N/A</v>
      </c>
      <c r="BL173" s="46" t="e">
        <f t="shared" ca="1" si="142"/>
        <v>#N/A</v>
      </c>
      <c r="BM173" s="46">
        <v>166</v>
      </c>
      <c r="BN173" s="46" t="e">
        <f t="shared" si="131"/>
        <v>#N/A</v>
      </c>
      <c r="BO173" s="46" t="e">
        <f t="shared" ca="1" si="132"/>
        <v>#N/A</v>
      </c>
      <c r="BP173" s="46" t="e">
        <f t="shared" ca="1" si="143"/>
        <v>#N/A</v>
      </c>
      <c r="BQ173" s="46" t="e">
        <f t="shared" ca="1" si="144"/>
        <v>#N/A</v>
      </c>
      <c r="BR173" s="46">
        <v>166</v>
      </c>
      <c r="BS173" s="46" t="e">
        <f t="shared" si="133"/>
        <v>#N/A</v>
      </c>
      <c r="BT173" s="46" t="e">
        <f t="shared" ca="1" si="134"/>
        <v>#N/A</v>
      </c>
      <c r="BU173" s="46" t="e">
        <f t="shared" ca="1" si="145"/>
        <v>#N/A</v>
      </c>
      <c r="BV173" s="46" t="e">
        <f t="shared" ca="1" si="146"/>
        <v>#N/A</v>
      </c>
      <c r="BW173" s="46">
        <v>166</v>
      </c>
      <c r="BX173" s="46" t="e">
        <f t="shared" si="135"/>
        <v>#N/A</v>
      </c>
      <c r="BY173" s="46" t="e">
        <f t="shared" ca="1" si="136"/>
        <v>#N/A</v>
      </c>
      <c r="BZ173" s="46" t="e">
        <f t="shared" ca="1" si="147"/>
        <v>#N/A</v>
      </c>
      <c r="CA173" s="46" t="e">
        <f t="shared" ca="1" si="148"/>
        <v>#N/A</v>
      </c>
      <c r="CC173" s="50"/>
      <c r="CD173" s="50"/>
      <c r="CE173" s="50"/>
      <c r="CF173" s="50"/>
      <c r="CG173" s="50"/>
      <c r="CH173" s="50"/>
      <c r="CI173" s="50"/>
      <c r="CJ173" s="50"/>
      <c r="CO173" s="43"/>
      <c r="CP173" s="43"/>
      <c r="CQ173" s="43"/>
    </row>
    <row r="174" spans="1:95" x14ac:dyDescent="0.25">
      <c r="A174" s="43"/>
      <c r="C174" s="42"/>
      <c r="I174" s="42"/>
      <c r="J174" s="42"/>
      <c r="K174" s="42"/>
      <c r="O174" s="43"/>
      <c r="Q174" s="43"/>
      <c r="R174" s="42"/>
      <c r="V174" s="43"/>
      <c r="AC174" s="43"/>
      <c r="AD174" s="43"/>
      <c r="AF174" s="42"/>
      <c r="AG174" s="42"/>
      <c r="AH174" s="42"/>
      <c r="AI174" s="42"/>
      <c r="AJ174" s="42"/>
      <c r="AK174" s="42"/>
      <c r="AL174" s="42"/>
      <c r="AM174" s="42"/>
      <c r="AN174" s="43"/>
      <c r="AO174" s="43"/>
      <c r="AP174" s="43"/>
      <c r="AQ174" s="43"/>
      <c r="AR174" s="43"/>
      <c r="AS174" s="43"/>
      <c r="AT174" s="43"/>
      <c r="AU174" s="43"/>
      <c r="AV174" s="43"/>
      <c r="AW174" s="46"/>
      <c r="AX174" s="46"/>
      <c r="AY174" s="46">
        <v>169</v>
      </c>
      <c r="AZ174" s="46">
        <f t="shared" si="137"/>
        <v>0</v>
      </c>
      <c r="BA174" s="46" t="b">
        <f t="shared" si="138"/>
        <v>0</v>
      </c>
      <c r="BB174" s="46">
        <v>169</v>
      </c>
      <c r="BC174" s="46">
        <v>167</v>
      </c>
      <c r="BD174" s="46" t="e">
        <f t="shared" si="127"/>
        <v>#N/A</v>
      </c>
      <c r="BE174" s="46" t="e">
        <f t="shared" ca="1" si="128"/>
        <v>#N/A</v>
      </c>
      <c r="BF174" s="46" t="e">
        <f t="shared" ca="1" si="139"/>
        <v>#N/A</v>
      </c>
      <c r="BG174" s="46" t="e">
        <f t="shared" ca="1" si="140"/>
        <v>#N/A</v>
      </c>
      <c r="BH174" s="46">
        <v>167</v>
      </c>
      <c r="BI174" s="46" t="e">
        <f t="shared" si="129"/>
        <v>#N/A</v>
      </c>
      <c r="BJ174" s="46" t="e">
        <f t="shared" ca="1" si="130"/>
        <v>#N/A</v>
      </c>
      <c r="BK174" s="46" t="e">
        <f t="shared" ca="1" si="141"/>
        <v>#N/A</v>
      </c>
      <c r="BL174" s="46" t="e">
        <f t="shared" ca="1" si="142"/>
        <v>#N/A</v>
      </c>
      <c r="BM174" s="46">
        <v>167</v>
      </c>
      <c r="BN174" s="46" t="e">
        <f t="shared" si="131"/>
        <v>#N/A</v>
      </c>
      <c r="BO174" s="46" t="e">
        <f t="shared" ca="1" si="132"/>
        <v>#N/A</v>
      </c>
      <c r="BP174" s="46" t="e">
        <f t="shared" ca="1" si="143"/>
        <v>#N/A</v>
      </c>
      <c r="BQ174" s="46" t="e">
        <f t="shared" ca="1" si="144"/>
        <v>#N/A</v>
      </c>
      <c r="BR174" s="46">
        <v>167</v>
      </c>
      <c r="BS174" s="46" t="e">
        <f t="shared" si="133"/>
        <v>#N/A</v>
      </c>
      <c r="BT174" s="46" t="e">
        <f t="shared" ca="1" si="134"/>
        <v>#N/A</v>
      </c>
      <c r="BU174" s="46" t="e">
        <f t="shared" ca="1" si="145"/>
        <v>#N/A</v>
      </c>
      <c r="BV174" s="46" t="e">
        <f t="shared" ca="1" si="146"/>
        <v>#N/A</v>
      </c>
      <c r="BW174" s="46">
        <v>167</v>
      </c>
      <c r="BX174" s="46" t="e">
        <f t="shared" si="135"/>
        <v>#N/A</v>
      </c>
      <c r="BY174" s="46" t="e">
        <f t="shared" ca="1" si="136"/>
        <v>#N/A</v>
      </c>
      <c r="BZ174" s="46" t="e">
        <f t="shared" ca="1" si="147"/>
        <v>#N/A</v>
      </c>
      <c r="CA174" s="46" t="e">
        <f t="shared" ca="1" si="148"/>
        <v>#N/A</v>
      </c>
      <c r="CC174" s="50"/>
      <c r="CD174" s="50"/>
      <c r="CE174" s="50"/>
      <c r="CF174" s="50"/>
      <c r="CG174" s="50"/>
      <c r="CH174" s="50"/>
      <c r="CI174" s="50"/>
      <c r="CJ174" s="50"/>
      <c r="CO174" s="43"/>
      <c r="CP174" s="43"/>
      <c r="CQ174" s="43"/>
    </row>
    <row r="175" spans="1:95" x14ac:dyDescent="0.25">
      <c r="A175" s="43"/>
      <c r="C175" s="42"/>
      <c r="I175" s="42"/>
      <c r="J175" s="42"/>
      <c r="K175" s="42"/>
      <c r="O175" s="43"/>
      <c r="Q175" s="43"/>
      <c r="R175" s="42"/>
      <c r="V175" s="43"/>
      <c r="AC175" s="43"/>
      <c r="AD175" s="43"/>
      <c r="AF175" s="42"/>
      <c r="AG175" s="42"/>
      <c r="AH175" s="42"/>
      <c r="AI175" s="42"/>
      <c r="AJ175" s="42"/>
      <c r="AK175" s="42"/>
      <c r="AL175" s="42"/>
      <c r="AM175" s="42"/>
      <c r="AN175" s="43"/>
      <c r="AO175" s="43"/>
      <c r="AP175" s="43"/>
      <c r="AQ175" s="43"/>
      <c r="AR175" s="43"/>
      <c r="AS175" s="43"/>
      <c r="AT175" s="43"/>
      <c r="AU175" s="43"/>
      <c r="AV175" s="43"/>
      <c r="AW175" s="46"/>
      <c r="AX175" s="46"/>
      <c r="AY175" s="46">
        <v>170</v>
      </c>
      <c r="AZ175" s="46">
        <f t="shared" si="137"/>
        <v>0</v>
      </c>
      <c r="BA175" s="46" t="b">
        <f t="shared" si="138"/>
        <v>0</v>
      </c>
      <c r="BB175" s="46">
        <v>170</v>
      </c>
      <c r="BC175" s="46">
        <v>168</v>
      </c>
      <c r="BD175" s="46" t="e">
        <f t="shared" si="127"/>
        <v>#N/A</v>
      </c>
      <c r="BE175" s="46" t="e">
        <f t="shared" ca="1" si="128"/>
        <v>#N/A</v>
      </c>
      <c r="BF175" s="46" t="e">
        <f t="shared" ca="1" si="139"/>
        <v>#N/A</v>
      </c>
      <c r="BG175" s="46" t="e">
        <f t="shared" ca="1" si="140"/>
        <v>#N/A</v>
      </c>
      <c r="BH175" s="46">
        <v>168</v>
      </c>
      <c r="BI175" s="46" t="e">
        <f t="shared" si="129"/>
        <v>#N/A</v>
      </c>
      <c r="BJ175" s="46" t="e">
        <f t="shared" ca="1" si="130"/>
        <v>#N/A</v>
      </c>
      <c r="BK175" s="46" t="e">
        <f t="shared" ca="1" si="141"/>
        <v>#N/A</v>
      </c>
      <c r="BL175" s="46" t="e">
        <f t="shared" ca="1" si="142"/>
        <v>#N/A</v>
      </c>
      <c r="BM175" s="46">
        <v>168</v>
      </c>
      <c r="BN175" s="46" t="e">
        <f t="shared" si="131"/>
        <v>#N/A</v>
      </c>
      <c r="BO175" s="46" t="e">
        <f t="shared" ca="1" si="132"/>
        <v>#N/A</v>
      </c>
      <c r="BP175" s="46" t="e">
        <f t="shared" ca="1" si="143"/>
        <v>#N/A</v>
      </c>
      <c r="BQ175" s="46" t="e">
        <f t="shared" ca="1" si="144"/>
        <v>#N/A</v>
      </c>
      <c r="BR175" s="46">
        <v>168</v>
      </c>
      <c r="BS175" s="46" t="e">
        <f t="shared" si="133"/>
        <v>#N/A</v>
      </c>
      <c r="BT175" s="46" t="e">
        <f t="shared" ca="1" si="134"/>
        <v>#N/A</v>
      </c>
      <c r="BU175" s="46" t="e">
        <f t="shared" ca="1" si="145"/>
        <v>#N/A</v>
      </c>
      <c r="BV175" s="46" t="e">
        <f t="shared" ca="1" si="146"/>
        <v>#N/A</v>
      </c>
      <c r="BW175" s="46">
        <v>168</v>
      </c>
      <c r="BX175" s="46" t="e">
        <f t="shared" si="135"/>
        <v>#N/A</v>
      </c>
      <c r="BY175" s="46" t="e">
        <f t="shared" ca="1" si="136"/>
        <v>#N/A</v>
      </c>
      <c r="BZ175" s="46" t="e">
        <f t="shared" ca="1" si="147"/>
        <v>#N/A</v>
      </c>
      <c r="CA175" s="46" t="e">
        <f t="shared" ca="1" si="148"/>
        <v>#N/A</v>
      </c>
      <c r="CC175" s="50"/>
      <c r="CD175" s="50"/>
      <c r="CE175" s="50"/>
      <c r="CF175" s="50"/>
      <c r="CG175" s="50"/>
      <c r="CH175" s="50"/>
      <c r="CI175" s="50"/>
      <c r="CJ175" s="50"/>
      <c r="CO175" s="43"/>
      <c r="CP175" s="43"/>
      <c r="CQ175" s="43"/>
    </row>
    <row r="176" spans="1:95" x14ac:dyDescent="0.25">
      <c r="A176" s="43"/>
      <c r="C176" s="42"/>
      <c r="I176" s="42"/>
      <c r="J176" s="42"/>
      <c r="K176" s="42"/>
      <c r="O176" s="43"/>
      <c r="Q176" s="43"/>
      <c r="R176" s="42"/>
      <c r="V176" s="43"/>
      <c r="AC176" s="43"/>
      <c r="AD176" s="43"/>
      <c r="AF176" s="42"/>
      <c r="AG176" s="42"/>
      <c r="AH176" s="42"/>
      <c r="AI176" s="42"/>
      <c r="AJ176" s="42"/>
      <c r="AK176" s="42"/>
      <c r="AL176" s="42"/>
      <c r="AM176" s="42"/>
      <c r="AN176" s="43"/>
      <c r="AO176" s="43"/>
      <c r="AP176" s="43"/>
      <c r="AQ176" s="43"/>
      <c r="AR176" s="43"/>
      <c r="AS176" s="43"/>
      <c r="AT176" s="43"/>
      <c r="AU176" s="43"/>
      <c r="AV176" s="43"/>
      <c r="AW176" s="46"/>
      <c r="AX176" s="46"/>
      <c r="AY176" s="46">
        <v>171</v>
      </c>
      <c r="AZ176" s="46">
        <f t="shared" si="137"/>
        <v>0</v>
      </c>
      <c r="BA176" s="46" t="b">
        <f t="shared" si="138"/>
        <v>0</v>
      </c>
      <c r="BB176" s="46">
        <v>171</v>
      </c>
      <c r="BC176" s="46">
        <v>169</v>
      </c>
      <c r="BD176" s="46" t="e">
        <f t="shared" si="127"/>
        <v>#N/A</v>
      </c>
      <c r="BE176" s="46" t="e">
        <f t="shared" ca="1" si="128"/>
        <v>#N/A</v>
      </c>
      <c r="BF176" s="46" t="e">
        <f t="shared" ca="1" si="139"/>
        <v>#N/A</v>
      </c>
      <c r="BG176" s="46" t="e">
        <f t="shared" ca="1" si="140"/>
        <v>#N/A</v>
      </c>
      <c r="BH176" s="46">
        <v>169</v>
      </c>
      <c r="BI176" s="46" t="e">
        <f t="shared" si="129"/>
        <v>#N/A</v>
      </c>
      <c r="BJ176" s="46" t="e">
        <f t="shared" ca="1" si="130"/>
        <v>#N/A</v>
      </c>
      <c r="BK176" s="46" t="e">
        <f t="shared" ca="1" si="141"/>
        <v>#N/A</v>
      </c>
      <c r="BL176" s="46" t="e">
        <f t="shared" ca="1" si="142"/>
        <v>#N/A</v>
      </c>
      <c r="BM176" s="46">
        <v>169</v>
      </c>
      <c r="BN176" s="46" t="e">
        <f t="shared" si="131"/>
        <v>#N/A</v>
      </c>
      <c r="BO176" s="46" t="e">
        <f t="shared" ca="1" si="132"/>
        <v>#N/A</v>
      </c>
      <c r="BP176" s="46" t="e">
        <f t="shared" ca="1" si="143"/>
        <v>#N/A</v>
      </c>
      <c r="BQ176" s="46" t="e">
        <f t="shared" ca="1" si="144"/>
        <v>#N/A</v>
      </c>
      <c r="BR176" s="46">
        <v>169</v>
      </c>
      <c r="BS176" s="46" t="e">
        <f t="shared" si="133"/>
        <v>#N/A</v>
      </c>
      <c r="BT176" s="46" t="e">
        <f t="shared" ca="1" si="134"/>
        <v>#N/A</v>
      </c>
      <c r="BU176" s="46" t="e">
        <f t="shared" ca="1" si="145"/>
        <v>#N/A</v>
      </c>
      <c r="BV176" s="46" t="e">
        <f t="shared" ca="1" si="146"/>
        <v>#N/A</v>
      </c>
      <c r="BW176" s="46">
        <v>169</v>
      </c>
      <c r="BX176" s="46" t="e">
        <f t="shared" si="135"/>
        <v>#N/A</v>
      </c>
      <c r="BY176" s="46" t="e">
        <f t="shared" ca="1" si="136"/>
        <v>#N/A</v>
      </c>
      <c r="BZ176" s="46" t="e">
        <f t="shared" ca="1" si="147"/>
        <v>#N/A</v>
      </c>
      <c r="CA176" s="46" t="e">
        <f t="shared" ca="1" si="148"/>
        <v>#N/A</v>
      </c>
      <c r="CC176" s="50"/>
      <c r="CD176" s="50"/>
      <c r="CE176" s="50"/>
      <c r="CF176" s="50"/>
      <c r="CG176" s="50"/>
      <c r="CH176" s="50"/>
      <c r="CI176" s="50"/>
      <c r="CJ176" s="50"/>
      <c r="CO176" s="43"/>
      <c r="CP176" s="43"/>
      <c r="CQ176" s="43"/>
    </row>
    <row r="177" spans="1:95" x14ac:dyDescent="0.25">
      <c r="A177" s="43"/>
      <c r="C177" s="42"/>
      <c r="I177" s="42"/>
      <c r="J177" s="42"/>
      <c r="K177" s="42"/>
      <c r="O177" s="43"/>
      <c r="Q177" s="43"/>
      <c r="R177" s="42"/>
      <c r="V177" s="43"/>
      <c r="AC177" s="43"/>
      <c r="AD177" s="43"/>
      <c r="AF177" s="42"/>
      <c r="AG177" s="42"/>
      <c r="AH177" s="42"/>
      <c r="AI177" s="42"/>
      <c r="AJ177" s="42"/>
      <c r="AK177" s="42"/>
      <c r="AL177" s="42"/>
      <c r="AM177" s="42"/>
      <c r="AN177" s="43"/>
      <c r="AO177" s="43"/>
      <c r="AP177" s="43"/>
      <c r="AQ177" s="43"/>
      <c r="AR177" s="43"/>
      <c r="AS177" s="43"/>
      <c r="AT177" s="43"/>
      <c r="AU177" s="43"/>
      <c r="AV177" s="43"/>
      <c r="AW177" s="46"/>
      <c r="AX177" s="46"/>
      <c r="AY177" s="46">
        <v>172</v>
      </c>
      <c r="AZ177" s="46">
        <f t="shared" si="137"/>
        <v>0</v>
      </c>
      <c r="BA177" s="46" t="b">
        <f t="shared" si="138"/>
        <v>0</v>
      </c>
      <c r="BB177" s="46">
        <v>172</v>
      </c>
      <c r="BC177" s="46">
        <v>170</v>
      </c>
      <c r="BD177" s="46" t="e">
        <f t="shared" si="127"/>
        <v>#N/A</v>
      </c>
      <c r="BE177" s="46" t="e">
        <f t="shared" ca="1" si="128"/>
        <v>#N/A</v>
      </c>
      <c r="BF177" s="46" t="e">
        <f t="shared" ca="1" si="139"/>
        <v>#N/A</v>
      </c>
      <c r="BG177" s="46" t="e">
        <f t="shared" ca="1" si="140"/>
        <v>#N/A</v>
      </c>
      <c r="BH177" s="46">
        <v>170</v>
      </c>
      <c r="BI177" s="46" t="e">
        <f t="shared" si="129"/>
        <v>#N/A</v>
      </c>
      <c r="BJ177" s="46" t="e">
        <f t="shared" ca="1" si="130"/>
        <v>#N/A</v>
      </c>
      <c r="BK177" s="46" t="e">
        <f t="shared" ca="1" si="141"/>
        <v>#N/A</v>
      </c>
      <c r="BL177" s="46" t="e">
        <f t="shared" ca="1" si="142"/>
        <v>#N/A</v>
      </c>
      <c r="BM177" s="46">
        <v>170</v>
      </c>
      <c r="BN177" s="46" t="e">
        <f t="shared" si="131"/>
        <v>#N/A</v>
      </c>
      <c r="BO177" s="46" t="e">
        <f t="shared" ca="1" si="132"/>
        <v>#N/A</v>
      </c>
      <c r="BP177" s="46" t="e">
        <f t="shared" ca="1" si="143"/>
        <v>#N/A</v>
      </c>
      <c r="BQ177" s="46" t="e">
        <f t="shared" ca="1" si="144"/>
        <v>#N/A</v>
      </c>
      <c r="BR177" s="46">
        <v>170</v>
      </c>
      <c r="BS177" s="46" t="e">
        <f t="shared" si="133"/>
        <v>#N/A</v>
      </c>
      <c r="BT177" s="46" t="e">
        <f t="shared" ca="1" si="134"/>
        <v>#N/A</v>
      </c>
      <c r="BU177" s="46" t="e">
        <f t="shared" ca="1" si="145"/>
        <v>#N/A</v>
      </c>
      <c r="BV177" s="46" t="e">
        <f t="shared" ca="1" si="146"/>
        <v>#N/A</v>
      </c>
      <c r="BW177" s="46">
        <v>170</v>
      </c>
      <c r="BX177" s="46" t="e">
        <f t="shared" si="135"/>
        <v>#N/A</v>
      </c>
      <c r="BY177" s="46" t="e">
        <f t="shared" ca="1" si="136"/>
        <v>#N/A</v>
      </c>
      <c r="BZ177" s="46" t="e">
        <f t="shared" ca="1" si="147"/>
        <v>#N/A</v>
      </c>
      <c r="CA177" s="46" t="e">
        <f t="shared" ca="1" si="148"/>
        <v>#N/A</v>
      </c>
      <c r="CC177" s="50"/>
      <c r="CD177" s="50"/>
      <c r="CE177" s="50"/>
      <c r="CF177" s="50"/>
      <c r="CG177" s="50"/>
      <c r="CH177" s="50"/>
      <c r="CI177" s="50"/>
      <c r="CJ177" s="50"/>
      <c r="CO177" s="43"/>
      <c r="CP177" s="43"/>
      <c r="CQ177" s="43"/>
    </row>
    <row r="178" spans="1:95" x14ac:dyDescent="0.25">
      <c r="A178" s="43"/>
      <c r="C178" s="42"/>
      <c r="I178" s="42"/>
      <c r="J178" s="42"/>
      <c r="K178" s="42"/>
      <c r="O178" s="43"/>
      <c r="Q178" s="43"/>
      <c r="R178" s="42"/>
      <c r="V178" s="43"/>
      <c r="AC178" s="43"/>
      <c r="AD178" s="43"/>
      <c r="AF178" s="42"/>
      <c r="AG178" s="42"/>
      <c r="AH178" s="42"/>
      <c r="AI178" s="42"/>
      <c r="AJ178" s="42"/>
      <c r="AK178" s="42"/>
      <c r="AL178" s="42"/>
      <c r="AM178" s="42"/>
      <c r="AN178" s="43"/>
      <c r="AO178" s="43"/>
      <c r="AP178" s="43"/>
      <c r="AQ178" s="43"/>
      <c r="AR178" s="43"/>
      <c r="AS178" s="43"/>
      <c r="AT178" s="43"/>
      <c r="AU178" s="43"/>
      <c r="AV178" s="43"/>
      <c r="AW178" s="46"/>
      <c r="AX178" s="46"/>
      <c r="AY178" s="46">
        <v>173</v>
      </c>
      <c r="AZ178" s="46">
        <f t="shared" si="137"/>
        <v>0</v>
      </c>
      <c r="BA178" s="46" t="b">
        <f t="shared" si="138"/>
        <v>0</v>
      </c>
      <c r="BB178" s="46">
        <v>173</v>
      </c>
      <c r="BC178" s="46">
        <v>171</v>
      </c>
      <c r="BD178" s="46" t="e">
        <f t="shared" si="127"/>
        <v>#N/A</v>
      </c>
      <c r="BE178" s="46" t="e">
        <f t="shared" ca="1" si="128"/>
        <v>#N/A</v>
      </c>
      <c r="BF178" s="46" t="e">
        <f t="shared" ca="1" si="139"/>
        <v>#N/A</v>
      </c>
      <c r="BG178" s="46" t="e">
        <f t="shared" ca="1" si="140"/>
        <v>#N/A</v>
      </c>
      <c r="BH178" s="46">
        <v>171</v>
      </c>
      <c r="BI178" s="46" t="e">
        <f t="shared" si="129"/>
        <v>#N/A</v>
      </c>
      <c r="BJ178" s="46" t="e">
        <f t="shared" ca="1" si="130"/>
        <v>#N/A</v>
      </c>
      <c r="BK178" s="46" t="e">
        <f t="shared" ca="1" si="141"/>
        <v>#N/A</v>
      </c>
      <c r="BL178" s="46" t="e">
        <f t="shared" ca="1" si="142"/>
        <v>#N/A</v>
      </c>
      <c r="BM178" s="46">
        <v>171</v>
      </c>
      <c r="BN178" s="46" t="e">
        <f t="shared" si="131"/>
        <v>#N/A</v>
      </c>
      <c r="BO178" s="46" t="e">
        <f t="shared" ca="1" si="132"/>
        <v>#N/A</v>
      </c>
      <c r="BP178" s="46" t="e">
        <f t="shared" ca="1" si="143"/>
        <v>#N/A</v>
      </c>
      <c r="BQ178" s="46" t="e">
        <f t="shared" ca="1" si="144"/>
        <v>#N/A</v>
      </c>
      <c r="BR178" s="46">
        <v>171</v>
      </c>
      <c r="BS178" s="46" t="e">
        <f t="shared" si="133"/>
        <v>#N/A</v>
      </c>
      <c r="BT178" s="46" t="e">
        <f t="shared" ca="1" si="134"/>
        <v>#N/A</v>
      </c>
      <c r="BU178" s="46" t="e">
        <f t="shared" ca="1" si="145"/>
        <v>#N/A</v>
      </c>
      <c r="BV178" s="46" t="e">
        <f t="shared" ca="1" si="146"/>
        <v>#N/A</v>
      </c>
      <c r="BW178" s="46">
        <v>171</v>
      </c>
      <c r="BX178" s="46" t="e">
        <f t="shared" si="135"/>
        <v>#N/A</v>
      </c>
      <c r="BY178" s="46" t="e">
        <f t="shared" ca="1" si="136"/>
        <v>#N/A</v>
      </c>
      <c r="BZ178" s="46" t="e">
        <f t="shared" ca="1" si="147"/>
        <v>#N/A</v>
      </c>
      <c r="CA178" s="46" t="e">
        <f t="shared" ca="1" si="148"/>
        <v>#N/A</v>
      </c>
      <c r="CC178" s="50"/>
      <c r="CD178" s="50"/>
      <c r="CE178" s="50"/>
      <c r="CF178" s="50"/>
      <c r="CG178" s="50"/>
      <c r="CH178" s="50"/>
      <c r="CI178" s="50"/>
      <c r="CJ178" s="50"/>
      <c r="CO178" s="43"/>
      <c r="CP178" s="43"/>
      <c r="CQ178" s="43"/>
    </row>
    <row r="179" spans="1:95" x14ac:dyDescent="0.25">
      <c r="A179" s="43"/>
      <c r="C179" s="42"/>
      <c r="I179" s="42"/>
      <c r="J179" s="42"/>
      <c r="K179" s="42"/>
      <c r="O179" s="43"/>
      <c r="Q179" s="43"/>
      <c r="R179" s="42"/>
      <c r="V179" s="43"/>
      <c r="AC179" s="43"/>
      <c r="AD179" s="43"/>
      <c r="AF179" s="42"/>
      <c r="AG179" s="42"/>
      <c r="AH179" s="42"/>
      <c r="AI179" s="42"/>
      <c r="AJ179" s="42"/>
      <c r="AK179" s="42"/>
      <c r="AL179" s="42"/>
      <c r="AM179" s="42"/>
      <c r="AN179" s="43"/>
      <c r="AO179" s="43"/>
      <c r="AP179" s="43"/>
      <c r="AQ179" s="43"/>
      <c r="AR179" s="43"/>
      <c r="AS179" s="43"/>
      <c r="AT179" s="43"/>
      <c r="AU179" s="43"/>
      <c r="AV179" s="43"/>
      <c r="AW179" s="46"/>
      <c r="AX179" s="46"/>
      <c r="AY179" s="46">
        <v>174</v>
      </c>
      <c r="AZ179" s="46">
        <f t="shared" si="137"/>
        <v>0</v>
      </c>
      <c r="BA179" s="46" t="b">
        <f t="shared" si="138"/>
        <v>0</v>
      </c>
      <c r="BB179" s="46">
        <v>174</v>
      </c>
      <c r="BC179" s="46">
        <v>172</v>
      </c>
      <c r="BD179" s="46" t="e">
        <f t="shared" si="127"/>
        <v>#N/A</v>
      </c>
      <c r="BE179" s="46" t="e">
        <f t="shared" ca="1" si="128"/>
        <v>#N/A</v>
      </c>
      <c r="BF179" s="46" t="e">
        <f t="shared" ca="1" si="139"/>
        <v>#N/A</v>
      </c>
      <c r="BG179" s="46" t="e">
        <f t="shared" ca="1" si="140"/>
        <v>#N/A</v>
      </c>
      <c r="BH179" s="46">
        <v>172</v>
      </c>
      <c r="BI179" s="46" t="e">
        <f t="shared" si="129"/>
        <v>#N/A</v>
      </c>
      <c r="BJ179" s="46" t="e">
        <f t="shared" ca="1" si="130"/>
        <v>#N/A</v>
      </c>
      <c r="BK179" s="46" t="e">
        <f t="shared" ca="1" si="141"/>
        <v>#N/A</v>
      </c>
      <c r="BL179" s="46" t="e">
        <f t="shared" ca="1" si="142"/>
        <v>#N/A</v>
      </c>
      <c r="BM179" s="46">
        <v>172</v>
      </c>
      <c r="BN179" s="46" t="e">
        <f t="shared" si="131"/>
        <v>#N/A</v>
      </c>
      <c r="BO179" s="46" t="e">
        <f t="shared" ca="1" si="132"/>
        <v>#N/A</v>
      </c>
      <c r="BP179" s="46" t="e">
        <f t="shared" ca="1" si="143"/>
        <v>#N/A</v>
      </c>
      <c r="BQ179" s="46" t="e">
        <f t="shared" ca="1" si="144"/>
        <v>#N/A</v>
      </c>
      <c r="BR179" s="46">
        <v>172</v>
      </c>
      <c r="BS179" s="46" t="e">
        <f t="shared" si="133"/>
        <v>#N/A</v>
      </c>
      <c r="BT179" s="46" t="e">
        <f t="shared" ca="1" si="134"/>
        <v>#N/A</v>
      </c>
      <c r="BU179" s="46" t="e">
        <f t="shared" ca="1" si="145"/>
        <v>#N/A</v>
      </c>
      <c r="BV179" s="46" t="e">
        <f t="shared" ca="1" si="146"/>
        <v>#N/A</v>
      </c>
      <c r="BW179" s="46">
        <v>172</v>
      </c>
      <c r="BX179" s="46" t="e">
        <f t="shared" si="135"/>
        <v>#N/A</v>
      </c>
      <c r="BY179" s="46" t="e">
        <f t="shared" ca="1" si="136"/>
        <v>#N/A</v>
      </c>
      <c r="BZ179" s="46" t="e">
        <f t="shared" ca="1" si="147"/>
        <v>#N/A</v>
      </c>
      <c r="CA179" s="46" t="e">
        <f t="shared" ca="1" si="148"/>
        <v>#N/A</v>
      </c>
      <c r="CC179" s="50"/>
      <c r="CD179" s="50"/>
      <c r="CE179" s="50"/>
      <c r="CF179" s="50"/>
      <c r="CG179" s="50"/>
      <c r="CH179" s="50"/>
      <c r="CI179" s="50"/>
      <c r="CJ179" s="50"/>
      <c r="CO179" s="43"/>
      <c r="CP179" s="43"/>
      <c r="CQ179" s="43"/>
    </row>
    <row r="180" spans="1:95" x14ac:dyDescent="0.25">
      <c r="A180" s="43"/>
      <c r="C180" s="42"/>
      <c r="I180" s="42"/>
      <c r="J180" s="42"/>
      <c r="K180" s="42"/>
      <c r="O180" s="43"/>
      <c r="Q180" s="43"/>
      <c r="R180" s="42"/>
      <c r="V180" s="43"/>
      <c r="AC180" s="43"/>
      <c r="AD180" s="43"/>
      <c r="AF180" s="42"/>
      <c r="AG180" s="42"/>
      <c r="AH180" s="42"/>
      <c r="AI180" s="42"/>
      <c r="AJ180" s="42"/>
      <c r="AK180" s="42"/>
      <c r="AL180" s="42"/>
      <c r="AM180" s="42"/>
      <c r="AN180" s="43"/>
      <c r="AO180" s="43"/>
      <c r="AP180" s="43"/>
      <c r="AQ180" s="43"/>
      <c r="AR180" s="43"/>
      <c r="AS180" s="43"/>
      <c r="AT180" s="43"/>
      <c r="AU180" s="43"/>
      <c r="AV180" s="43"/>
      <c r="AW180" s="46"/>
      <c r="AX180" s="46"/>
      <c r="AY180" s="46">
        <v>175</v>
      </c>
      <c r="AZ180" s="46">
        <f t="shared" si="137"/>
        <v>0</v>
      </c>
      <c r="BA180" s="46" t="b">
        <f t="shared" si="138"/>
        <v>0</v>
      </c>
      <c r="BB180" s="46">
        <v>175</v>
      </c>
      <c r="BC180" s="46">
        <v>173</v>
      </c>
      <c r="BD180" s="46" t="e">
        <f t="shared" si="127"/>
        <v>#N/A</v>
      </c>
      <c r="BE180" s="46" t="e">
        <f t="shared" ca="1" si="128"/>
        <v>#N/A</v>
      </c>
      <c r="BF180" s="46" t="e">
        <f t="shared" ca="1" si="139"/>
        <v>#N/A</v>
      </c>
      <c r="BG180" s="46" t="e">
        <f t="shared" ca="1" si="140"/>
        <v>#N/A</v>
      </c>
      <c r="BH180" s="46">
        <v>173</v>
      </c>
      <c r="BI180" s="46" t="e">
        <f t="shared" si="129"/>
        <v>#N/A</v>
      </c>
      <c r="BJ180" s="46" t="e">
        <f t="shared" ca="1" si="130"/>
        <v>#N/A</v>
      </c>
      <c r="BK180" s="46" t="e">
        <f t="shared" ca="1" si="141"/>
        <v>#N/A</v>
      </c>
      <c r="BL180" s="46" t="e">
        <f t="shared" ca="1" si="142"/>
        <v>#N/A</v>
      </c>
      <c r="BM180" s="46">
        <v>173</v>
      </c>
      <c r="BN180" s="46" t="e">
        <f t="shared" si="131"/>
        <v>#N/A</v>
      </c>
      <c r="BO180" s="46" t="e">
        <f t="shared" ca="1" si="132"/>
        <v>#N/A</v>
      </c>
      <c r="BP180" s="46" t="e">
        <f t="shared" ca="1" si="143"/>
        <v>#N/A</v>
      </c>
      <c r="BQ180" s="46" t="e">
        <f t="shared" ca="1" si="144"/>
        <v>#N/A</v>
      </c>
      <c r="BR180" s="46">
        <v>173</v>
      </c>
      <c r="BS180" s="46" t="e">
        <f t="shared" si="133"/>
        <v>#N/A</v>
      </c>
      <c r="BT180" s="46" t="e">
        <f t="shared" ca="1" si="134"/>
        <v>#N/A</v>
      </c>
      <c r="BU180" s="46" t="e">
        <f t="shared" ca="1" si="145"/>
        <v>#N/A</v>
      </c>
      <c r="BV180" s="46" t="e">
        <f t="shared" ca="1" si="146"/>
        <v>#N/A</v>
      </c>
      <c r="BW180" s="46">
        <v>173</v>
      </c>
      <c r="BX180" s="46" t="e">
        <f t="shared" si="135"/>
        <v>#N/A</v>
      </c>
      <c r="BY180" s="46" t="e">
        <f t="shared" ca="1" si="136"/>
        <v>#N/A</v>
      </c>
      <c r="BZ180" s="46" t="e">
        <f t="shared" ca="1" si="147"/>
        <v>#N/A</v>
      </c>
      <c r="CA180" s="46" t="e">
        <f t="shared" ca="1" si="148"/>
        <v>#N/A</v>
      </c>
      <c r="CC180" s="50"/>
      <c r="CD180" s="50"/>
      <c r="CE180" s="50"/>
      <c r="CF180" s="50"/>
      <c r="CG180" s="50"/>
      <c r="CH180" s="50"/>
      <c r="CI180" s="50"/>
      <c r="CJ180" s="50"/>
      <c r="CO180" s="43"/>
      <c r="CP180" s="43"/>
      <c r="CQ180" s="43"/>
    </row>
    <row r="181" spans="1:95" x14ac:dyDescent="0.25">
      <c r="A181" s="43"/>
      <c r="C181" s="42"/>
      <c r="I181" s="42"/>
      <c r="J181" s="42"/>
      <c r="K181" s="42"/>
      <c r="O181" s="43"/>
      <c r="Q181" s="43"/>
      <c r="R181" s="42"/>
      <c r="V181" s="43"/>
      <c r="AC181" s="43"/>
      <c r="AD181" s="43"/>
      <c r="AF181" s="42"/>
      <c r="AG181" s="42"/>
      <c r="AH181" s="42"/>
      <c r="AI181" s="42"/>
      <c r="AJ181" s="42"/>
      <c r="AK181" s="42"/>
      <c r="AL181" s="42"/>
      <c r="AM181" s="42"/>
      <c r="AN181" s="43"/>
      <c r="AO181" s="43"/>
      <c r="AP181" s="43"/>
      <c r="AQ181" s="43"/>
      <c r="AR181" s="43"/>
      <c r="AS181" s="43"/>
      <c r="AT181" s="43"/>
      <c r="AU181" s="43"/>
      <c r="AV181" s="43"/>
      <c r="AW181" s="46"/>
      <c r="AX181" s="46"/>
      <c r="AY181" s="46">
        <v>176</v>
      </c>
      <c r="AZ181" s="46">
        <f t="shared" si="137"/>
        <v>0</v>
      </c>
      <c r="BA181" s="46" t="b">
        <f t="shared" si="138"/>
        <v>0</v>
      </c>
      <c r="BB181" s="46">
        <v>176</v>
      </c>
      <c r="BC181" s="46">
        <v>174</v>
      </c>
      <c r="BD181" s="46" t="e">
        <f t="shared" si="127"/>
        <v>#N/A</v>
      </c>
      <c r="BE181" s="46" t="e">
        <f t="shared" ca="1" si="128"/>
        <v>#N/A</v>
      </c>
      <c r="BF181" s="46" t="e">
        <f t="shared" ca="1" si="139"/>
        <v>#N/A</v>
      </c>
      <c r="BG181" s="46" t="e">
        <f t="shared" ca="1" si="140"/>
        <v>#N/A</v>
      </c>
      <c r="BH181" s="46">
        <v>174</v>
      </c>
      <c r="BI181" s="46" t="e">
        <f t="shared" si="129"/>
        <v>#N/A</v>
      </c>
      <c r="BJ181" s="46" t="e">
        <f t="shared" ca="1" si="130"/>
        <v>#N/A</v>
      </c>
      <c r="BK181" s="46" t="e">
        <f t="shared" ca="1" si="141"/>
        <v>#N/A</v>
      </c>
      <c r="BL181" s="46" t="e">
        <f t="shared" ca="1" si="142"/>
        <v>#N/A</v>
      </c>
      <c r="BM181" s="46">
        <v>174</v>
      </c>
      <c r="BN181" s="46" t="e">
        <f t="shared" si="131"/>
        <v>#N/A</v>
      </c>
      <c r="BO181" s="46" t="e">
        <f t="shared" ca="1" si="132"/>
        <v>#N/A</v>
      </c>
      <c r="BP181" s="46" t="e">
        <f t="shared" ca="1" si="143"/>
        <v>#N/A</v>
      </c>
      <c r="BQ181" s="46" t="e">
        <f t="shared" ca="1" si="144"/>
        <v>#N/A</v>
      </c>
      <c r="BR181" s="46">
        <v>174</v>
      </c>
      <c r="BS181" s="46" t="e">
        <f t="shared" si="133"/>
        <v>#N/A</v>
      </c>
      <c r="BT181" s="46" t="e">
        <f t="shared" ca="1" si="134"/>
        <v>#N/A</v>
      </c>
      <c r="BU181" s="46" t="e">
        <f t="shared" ca="1" si="145"/>
        <v>#N/A</v>
      </c>
      <c r="BV181" s="46" t="e">
        <f t="shared" ca="1" si="146"/>
        <v>#N/A</v>
      </c>
      <c r="BW181" s="46">
        <v>174</v>
      </c>
      <c r="BX181" s="46" t="e">
        <f t="shared" si="135"/>
        <v>#N/A</v>
      </c>
      <c r="BY181" s="46" t="e">
        <f t="shared" ca="1" si="136"/>
        <v>#N/A</v>
      </c>
      <c r="BZ181" s="46" t="e">
        <f t="shared" ca="1" si="147"/>
        <v>#N/A</v>
      </c>
      <c r="CA181" s="46" t="e">
        <f t="shared" ca="1" si="148"/>
        <v>#N/A</v>
      </c>
      <c r="CC181" s="50"/>
      <c r="CD181" s="50"/>
      <c r="CE181" s="50"/>
      <c r="CF181" s="50"/>
      <c r="CG181" s="50"/>
      <c r="CH181" s="50"/>
      <c r="CI181" s="50"/>
      <c r="CJ181" s="50"/>
      <c r="CO181" s="43"/>
      <c r="CP181" s="43"/>
      <c r="CQ181" s="43"/>
    </row>
    <row r="182" spans="1:95" x14ac:dyDescent="0.25">
      <c r="A182" s="43"/>
      <c r="C182" s="42"/>
      <c r="I182" s="42"/>
      <c r="J182" s="42"/>
      <c r="K182" s="42"/>
      <c r="O182" s="43"/>
      <c r="Q182" s="43"/>
      <c r="R182" s="42"/>
      <c r="V182" s="43"/>
      <c r="AC182" s="43"/>
      <c r="AD182" s="43"/>
      <c r="AF182" s="42"/>
      <c r="AG182" s="42"/>
      <c r="AH182" s="42"/>
      <c r="AI182" s="42"/>
      <c r="AJ182" s="42"/>
      <c r="AK182" s="42"/>
      <c r="AL182" s="42"/>
      <c r="AM182" s="42"/>
      <c r="AN182" s="43"/>
      <c r="AO182" s="43"/>
      <c r="AP182" s="43"/>
      <c r="AQ182" s="43"/>
      <c r="AR182" s="43"/>
      <c r="AS182" s="43"/>
      <c r="AT182" s="43"/>
      <c r="AU182" s="43"/>
      <c r="AV182" s="43"/>
      <c r="AW182" s="46"/>
      <c r="AX182" s="46"/>
      <c r="AY182" s="46">
        <v>177</v>
      </c>
      <c r="AZ182" s="46">
        <f t="shared" si="137"/>
        <v>0</v>
      </c>
      <c r="BA182" s="46" t="b">
        <f t="shared" si="138"/>
        <v>0</v>
      </c>
      <c r="BB182" s="46">
        <v>177</v>
      </c>
      <c r="BC182" s="46">
        <v>175</v>
      </c>
      <c r="BD182" s="46" t="e">
        <f t="shared" si="127"/>
        <v>#N/A</v>
      </c>
      <c r="BE182" s="46" t="e">
        <f t="shared" ca="1" si="128"/>
        <v>#N/A</v>
      </c>
      <c r="BF182" s="46" t="e">
        <f t="shared" ca="1" si="139"/>
        <v>#N/A</v>
      </c>
      <c r="BG182" s="46" t="e">
        <f t="shared" ca="1" si="140"/>
        <v>#N/A</v>
      </c>
      <c r="BH182" s="46">
        <v>175</v>
      </c>
      <c r="BI182" s="46" t="e">
        <f t="shared" si="129"/>
        <v>#N/A</v>
      </c>
      <c r="BJ182" s="46" t="e">
        <f t="shared" ca="1" si="130"/>
        <v>#N/A</v>
      </c>
      <c r="BK182" s="46" t="e">
        <f t="shared" ca="1" si="141"/>
        <v>#N/A</v>
      </c>
      <c r="BL182" s="46" t="e">
        <f t="shared" ca="1" si="142"/>
        <v>#N/A</v>
      </c>
      <c r="BM182" s="46">
        <v>175</v>
      </c>
      <c r="BN182" s="46" t="e">
        <f t="shared" si="131"/>
        <v>#N/A</v>
      </c>
      <c r="BO182" s="46" t="e">
        <f t="shared" ca="1" si="132"/>
        <v>#N/A</v>
      </c>
      <c r="BP182" s="46" t="e">
        <f t="shared" ca="1" si="143"/>
        <v>#N/A</v>
      </c>
      <c r="BQ182" s="46" t="e">
        <f t="shared" ca="1" si="144"/>
        <v>#N/A</v>
      </c>
      <c r="BR182" s="46">
        <v>175</v>
      </c>
      <c r="BS182" s="46" t="e">
        <f t="shared" si="133"/>
        <v>#N/A</v>
      </c>
      <c r="BT182" s="46" t="e">
        <f t="shared" ca="1" si="134"/>
        <v>#N/A</v>
      </c>
      <c r="BU182" s="46" t="e">
        <f t="shared" ca="1" si="145"/>
        <v>#N/A</v>
      </c>
      <c r="BV182" s="46" t="e">
        <f t="shared" ca="1" si="146"/>
        <v>#N/A</v>
      </c>
      <c r="BW182" s="46">
        <v>175</v>
      </c>
      <c r="BX182" s="46" t="e">
        <f t="shared" si="135"/>
        <v>#N/A</v>
      </c>
      <c r="BY182" s="46" t="e">
        <f t="shared" ca="1" si="136"/>
        <v>#N/A</v>
      </c>
      <c r="BZ182" s="46" t="e">
        <f t="shared" ca="1" si="147"/>
        <v>#N/A</v>
      </c>
      <c r="CA182" s="46" t="e">
        <f t="shared" ca="1" si="148"/>
        <v>#N/A</v>
      </c>
      <c r="CC182" s="50"/>
      <c r="CD182" s="50"/>
      <c r="CE182" s="50"/>
      <c r="CF182" s="50"/>
      <c r="CG182" s="50"/>
      <c r="CH182" s="50"/>
      <c r="CI182" s="50"/>
      <c r="CJ182" s="50"/>
      <c r="CO182" s="43"/>
      <c r="CP182" s="43"/>
      <c r="CQ182" s="43"/>
    </row>
    <row r="183" spans="1:95" x14ac:dyDescent="0.25">
      <c r="A183" s="43"/>
      <c r="C183" s="42"/>
      <c r="I183" s="42"/>
      <c r="J183" s="42"/>
      <c r="K183" s="42"/>
      <c r="O183" s="43"/>
      <c r="Q183" s="43"/>
      <c r="R183" s="42"/>
      <c r="V183" s="43"/>
      <c r="AC183" s="43"/>
      <c r="AD183" s="43"/>
      <c r="AF183" s="42"/>
      <c r="AG183" s="42"/>
      <c r="AH183" s="42"/>
      <c r="AI183" s="42"/>
      <c r="AJ183" s="42"/>
      <c r="AK183" s="42"/>
      <c r="AL183" s="42"/>
      <c r="AM183" s="42"/>
      <c r="AN183" s="43"/>
      <c r="AO183" s="43"/>
      <c r="AP183" s="43"/>
      <c r="AQ183" s="43"/>
      <c r="AR183" s="43"/>
      <c r="AS183" s="43"/>
      <c r="AT183" s="43"/>
      <c r="AU183" s="43"/>
      <c r="AV183" s="43"/>
      <c r="AW183" s="46"/>
      <c r="AX183" s="46"/>
      <c r="AY183" s="46">
        <v>178</v>
      </c>
      <c r="AZ183" s="46">
        <f t="shared" si="137"/>
        <v>0</v>
      </c>
      <c r="BA183" s="46" t="b">
        <f t="shared" si="138"/>
        <v>0</v>
      </c>
      <c r="BB183" s="46">
        <v>178</v>
      </c>
      <c r="BC183" s="46">
        <v>176</v>
      </c>
      <c r="BD183" s="46" t="e">
        <f t="shared" si="127"/>
        <v>#N/A</v>
      </c>
      <c r="BE183" s="46" t="e">
        <f t="shared" ca="1" si="128"/>
        <v>#N/A</v>
      </c>
      <c r="BF183" s="46" t="e">
        <f t="shared" ca="1" si="139"/>
        <v>#N/A</v>
      </c>
      <c r="BG183" s="46" t="e">
        <f t="shared" ca="1" si="140"/>
        <v>#N/A</v>
      </c>
      <c r="BH183" s="46">
        <v>176</v>
      </c>
      <c r="BI183" s="46" t="e">
        <f t="shared" si="129"/>
        <v>#N/A</v>
      </c>
      <c r="BJ183" s="46" t="e">
        <f t="shared" ca="1" si="130"/>
        <v>#N/A</v>
      </c>
      <c r="BK183" s="46" t="e">
        <f t="shared" ca="1" si="141"/>
        <v>#N/A</v>
      </c>
      <c r="BL183" s="46" t="e">
        <f t="shared" ca="1" si="142"/>
        <v>#N/A</v>
      </c>
      <c r="BM183" s="46">
        <v>176</v>
      </c>
      <c r="BN183" s="46" t="e">
        <f t="shared" si="131"/>
        <v>#N/A</v>
      </c>
      <c r="BO183" s="46" t="e">
        <f t="shared" ca="1" si="132"/>
        <v>#N/A</v>
      </c>
      <c r="BP183" s="46" t="e">
        <f t="shared" ca="1" si="143"/>
        <v>#N/A</v>
      </c>
      <c r="BQ183" s="46" t="e">
        <f t="shared" ca="1" si="144"/>
        <v>#N/A</v>
      </c>
      <c r="BR183" s="46">
        <v>176</v>
      </c>
      <c r="BS183" s="46" t="e">
        <f t="shared" si="133"/>
        <v>#N/A</v>
      </c>
      <c r="BT183" s="46" t="e">
        <f t="shared" ca="1" si="134"/>
        <v>#N/A</v>
      </c>
      <c r="BU183" s="46" t="e">
        <f t="shared" ca="1" si="145"/>
        <v>#N/A</v>
      </c>
      <c r="BV183" s="46" t="e">
        <f t="shared" ca="1" si="146"/>
        <v>#N/A</v>
      </c>
      <c r="BW183" s="46">
        <v>176</v>
      </c>
      <c r="BX183" s="46" t="e">
        <f t="shared" si="135"/>
        <v>#N/A</v>
      </c>
      <c r="BY183" s="46" t="e">
        <f t="shared" ca="1" si="136"/>
        <v>#N/A</v>
      </c>
      <c r="BZ183" s="46" t="e">
        <f t="shared" ca="1" si="147"/>
        <v>#N/A</v>
      </c>
      <c r="CA183" s="46" t="e">
        <f t="shared" ca="1" si="148"/>
        <v>#N/A</v>
      </c>
      <c r="CC183" s="50"/>
      <c r="CD183" s="50"/>
      <c r="CE183" s="50"/>
      <c r="CF183" s="50"/>
      <c r="CG183" s="50"/>
      <c r="CH183" s="50"/>
      <c r="CI183" s="50"/>
      <c r="CJ183" s="50"/>
      <c r="CO183" s="43"/>
      <c r="CP183" s="43"/>
      <c r="CQ183" s="43"/>
    </row>
    <row r="184" spans="1:95" x14ac:dyDescent="0.25">
      <c r="A184" s="43"/>
      <c r="C184" s="42"/>
      <c r="I184" s="42"/>
      <c r="J184" s="42"/>
      <c r="K184" s="42"/>
      <c r="O184" s="43"/>
      <c r="Q184" s="43"/>
      <c r="R184" s="42"/>
      <c r="V184" s="43"/>
      <c r="AC184" s="43"/>
      <c r="AD184" s="43"/>
      <c r="AF184" s="42"/>
      <c r="AG184" s="42"/>
      <c r="AH184" s="42"/>
      <c r="AI184" s="42"/>
      <c r="AJ184" s="42"/>
      <c r="AK184" s="42"/>
      <c r="AL184" s="42"/>
      <c r="AM184" s="42"/>
      <c r="AN184" s="43"/>
      <c r="AO184" s="43"/>
      <c r="AP184" s="43"/>
      <c r="AQ184" s="43"/>
      <c r="AR184" s="43"/>
      <c r="AS184" s="43"/>
      <c r="AT184" s="43"/>
      <c r="AU184" s="43"/>
      <c r="AV184" s="43"/>
      <c r="AW184" s="46"/>
      <c r="AX184" s="46"/>
      <c r="AY184" s="46">
        <v>179</v>
      </c>
      <c r="AZ184" s="46">
        <f t="shared" si="137"/>
        <v>0</v>
      </c>
      <c r="BA184" s="46" t="b">
        <f t="shared" si="138"/>
        <v>0</v>
      </c>
      <c r="BB184" s="46">
        <v>179</v>
      </c>
      <c r="BC184" s="46">
        <v>177</v>
      </c>
      <c r="BD184" s="46" t="e">
        <f t="shared" si="127"/>
        <v>#N/A</v>
      </c>
      <c r="BE184" s="46" t="e">
        <f t="shared" ca="1" si="128"/>
        <v>#N/A</v>
      </c>
      <c r="BF184" s="46" t="e">
        <f t="shared" ca="1" si="139"/>
        <v>#N/A</v>
      </c>
      <c r="BG184" s="46" t="e">
        <f t="shared" ca="1" si="140"/>
        <v>#N/A</v>
      </c>
      <c r="BH184" s="46">
        <v>177</v>
      </c>
      <c r="BI184" s="46" t="e">
        <f t="shared" si="129"/>
        <v>#N/A</v>
      </c>
      <c r="BJ184" s="46" t="e">
        <f t="shared" ca="1" si="130"/>
        <v>#N/A</v>
      </c>
      <c r="BK184" s="46" t="e">
        <f t="shared" ca="1" si="141"/>
        <v>#N/A</v>
      </c>
      <c r="BL184" s="46" t="e">
        <f t="shared" ca="1" si="142"/>
        <v>#N/A</v>
      </c>
      <c r="BM184" s="46">
        <v>177</v>
      </c>
      <c r="BN184" s="46" t="e">
        <f t="shared" si="131"/>
        <v>#N/A</v>
      </c>
      <c r="BO184" s="46" t="e">
        <f t="shared" ca="1" si="132"/>
        <v>#N/A</v>
      </c>
      <c r="BP184" s="46" t="e">
        <f t="shared" ca="1" si="143"/>
        <v>#N/A</v>
      </c>
      <c r="BQ184" s="46" t="e">
        <f t="shared" ca="1" si="144"/>
        <v>#N/A</v>
      </c>
      <c r="BR184" s="46">
        <v>177</v>
      </c>
      <c r="BS184" s="46" t="e">
        <f t="shared" si="133"/>
        <v>#N/A</v>
      </c>
      <c r="BT184" s="46" t="e">
        <f t="shared" ca="1" si="134"/>
        <v>#N/A</v>
      </c>
      <c r="BU184" s="46" t="e">
        <f t="shared" ca="1" si="145"/>
        <v>#N/A</v>
      </c>
      <c r="BV184" s="46" t="e">
        <f t="shared" ca="1" si="146"/>
        <v>#N/A</v>
      </c>
      <c r="BW184" s="46">
        <v>177</v>
      </c>
      <c r="BX184" s="46" t="e">
        <f t="shared" si="135"/>
        <v>#N/A</v>
      </c>
      <c r="BY184" s="46" t="e">
        <f t="shared" ca="1" si="136"/>
        <v>#N/A</v>
      </c>
      <c r="BZ184" s="46" t="e">
        <f t="shared" ca="1" si="147"/>
        <v>#N/A</v>
      </c>
      <c r="CA184" s="46" t="e">
        <f t="shared" ca="1" si="148"/>
        <v>#N/A</v>
      </c>
      <c r="CC184" s="50"/>
      <c r="CD184" s="50"/>
      <c r="CE184" s="50"/>
      <c r="CF184" s="50"/>
      <c r="CG184" s="50"/>
      <c r="CH184" s="50"/>
      <c r="CI184" s="50"/>
      <c r="CJ184" s="50"/>
      <c r="CO184" s="43"/>
      <c r="CP184" s="43"/>
      <c r="CQ184" s="43"/>
    </row>
    <row r="185" spans="1:95" x14ac:dyDescent="0.25">
      <c r="A185" s="43"/>
      <c r="C185" s="42"/>
      <c r="I185" s="42"/>
      <c r="J185" s="42"/>
      <c r="K185" s="42"/>
      <c r="O185" s="43"/>
      <c r="Q185" s="43"/>
      <c r="R185" s="42"/>
      <c r="V185" s="43"/>
      <c r="AC185" s="43"/>
      <c r="AD185" s="43"/>
      <c r="AF185" s="42"/>
      <c r="AG185" s="42"/>
      <c r="AH185" s="42"/>
      <c r="AI185" s="42"/>
      <c r="AJ185" s="42"/>
      <c r="AK185" s="42"/>
      <c r="AL185" s="42"/>
      <c r="AM185" s="42"/>
      <c r="AN185" s="43"/>
      <c r="AO185" s="43"/>
      <c r="AP185" s="43"/>
      <c r="AQ185" s="43"/>
      <c r="AR185" s="43"/>
      <c r="AS185" s="43"/>
      <c r="AT185" s="43"/>
      <c r="AU185" s="43"/>
      <c r="AV185" s="43"/>
      <c r="AW185" s="46"/>
      <c r="AX185" s="46"/>
      <c r="AY185" s="46">
        <v>180</v>
      </c>
      <c r="AZ185" s="46">
        <f t="shared" si="137"/>
        <v>0</v>
      </c>
      <c r="BA185" s="46" t="b">
        <f t="shared" si="138"/>
        <v>0</v>
      </c>
      <c r="BB185" s="46">
        <v>180</v>
      </c>
      <c r="BC185" s="46">
        <v>178</v>
      </c>
      <c r="BD185" s="46" t="e">
        <f t="shared" si="127"/>
        <v>#N/A</v>
      </c>
      <c r="BE185" s="46" t="e">
        <f t="shared" ca="1" si="128"/>
        <v>#N/A</v>
      </c>
      <c r="BF185" s="46" t="e">
        <f t="shared" ca="1" si="139"/>
        <v>#N/A</v>
      </c>
      <c r="BG185" s="46" t="e">
        <f t="shared" ca="1" si="140"/>
        <v>#N/A</v>
      </c>
      <c r="BH185" s="46">
        <v>178</v>
      </c>
      <c r="BI185" s="46" t="e">
        <f t="shared" si="129"/>
        <v>#N/A</v>
      </c>
      <c r="BJ185" s="46" t="e">
        <f t="shared" ca="1" si="130"/>
        <v>#N/A</v>
      </c>
      <c r="BK185" s="46" t="e">
        <f t="shared" ca="1" si="141"/>
        <v>#N/A</v>
      </c>
      <c r="BL185" s="46" t="e">
        <f t="shared" ca="1" si="142"/>
        <v>#N/A</v>
      </c>
      <c r="BM185" s="46">
        <v>178</v>
      </c>
      <c r="BN185" s="46" t="e">
        <f t="shared" si="131"/>
        <v>#N/A</v>
      </c>
      <c r="BO185" s="46" t="e">
        <f t="shared" ca="1" si="132"/>
        <v>#N/A</v>
      </c>
      <c r="BP185" s="46" t="e">
        <f t="shared" ca="1" si="143"/>
        <v>#N/A</v>
      </c>
      <c r="BQ185" s="46" t="e">
        <f t="shared" ca="1" si="144"/>
        <v>#N/A</v>
      </c>
      <c r="BR185" s="46">
        <v>178</v>
      </c>
      <c r="BS185" s="46" t="e">
        <f t="shared" si="133"/>
        <v>#N/A</v>
      </c>
      <c r="BT185" s="46" t="e">
        <f t="shared" ca="1" si="134"/>
        <v>#N/A</v>
      </c>
      <c r="BU185" s="46" t="e">
        <f t="shared" ca="1" si="145"/>
        <v>#N/A</v>
      </c>
      <c r="BV185" s="46" t="e">
        <f t="shared" ca="1" si="146"/>
        <v>#N/A</v>
      </c>
      <c r="BW185" s="46">
        <v>178</v>
      </c>
      <c r="BX185" s="46" t="e">
        <f t="shared" si="135"/>
        <v>#N/A</v>
      </c>
      <c r="BY185" s="46" t="e">
        <f t="shared" ca="1" si="136"/>
        <v>#N/A</v>
      </c>
      <c r="BZ185" s="46" t="e">
        <f t="shared" ca="1" si="147"/>
        <v>#N/A</v>
      </c>
      <c r="CA185" s="46" t="e">
        <f t="shared" ca="1" si="148"/>
        <v>#N/A</v>
      </c>
      <c r="CC185" s="50"/>
      <c r="CD185" s="50"/>
      <c r="CE185" s="50"/>
      <c r="CF185" s="50"/>
      <c r="CG185" s="50"/>
      <c r="CH185" s="50"/>
      <c r="CI185" s="50"/>
      <c r="CJ185" s="50"/>
      <c r="CO185" s="43"/>
      <c r="CP185" s="43"/>
      <c r="CQ185" s="43"/>
    </row>
    <row r="186" spans="1:95" x14ac:dyDescent="0.25">
      <c r="A186" s="43"/>
      <c r="C186" s="42"/>
      <c r="I186" s="42"/>
      <c r="J186" s="42"/>
      <c r="K186" s="42"/>
      <c r="O186" s="43"/>
      <c r="Q186" s="43"/>
      <c r="R186" s="42"/>
      <c r="V186" s="43"/>
      <c r="AC186" s="43"/>
      <c r="AD186" s="43"/>
      <c r="AF186" s="42"/>
      <c r="AG186" s="42"/>
      <c r="AH186" s="42"/>
      <c r="AI186" s="42"/>
      <c r="AJ186" s="42"/>
      <c r="AK186" s="42"/>
      <c r="AL186" s="42"/>
      <c r="AM186" s="42"/>
      <c r="AN186" s="43"/>
      <c r="AO186" s="43"/>
      <c r="AP186" s="43"/>
      <c r="AQ186" s="43"/>
      <c r="AR186" s="43"/>
      <c r="AS186" s="43"/>
      <c r="AT186" s="43"/>
      <c r="AU186" s="43"/>
      <c r="AV186" s="43"/>
      <c r="AW186" s="46"/>
      <c r="AX186" s="46"/>
      <c r="AY186" s="46">
        <v>181</v>
      </c>
      <c r="AZ186" s="46">
        <f t="shared" si="137"/>
        <v>0</v>
      </c>
      <c r="BA186" s="46" t="b">
        <f t="shared" si="138"/>
        <v>0</v>
      </c>
      <c r="BB186" s="46">
        <v>181</v>
      </c>
      <c r="BC186" s="46">
        <v>179</v>
      </c>
      <c r="BD186" s="46" t="e">
        <f t="shared" si="127"/>
        <v>#N/A</v>
      </c>
      <c r="BE186" s="46" t="e">
        <f t="shared" ca="1" si="128"/>
        <v>#N/A</v>
      </c>
      <c r="BF186" s="46" t="e">
        <f t="shared" ca="1" si="139"/>
        <v>#N/A</v>
      </c>
      <c r="BG186" s="46" t="e">
        <f t="shared" ca="1" si="140"/>
        <v>#N/A</v>
      </c>
      <c r="BH186" s="46">
        <v>179</v>
      </c>
      <c r="BI186" s="46" t="e">
        <f t="shared" si="129"/>
        <v>#N/A</v>
      </c>
      <c r="BJ186" s="46" t="e">
        <f t="shared" ca="1" si="130"/>
        <v>#N/A</v>
      </c>
      <c r="BK186" s="46" t="e">
        <f t="shared" ca="1" si="141"/>
        <v>#N/A</v>
      </c>
      <c r="BL186" s="46" t="e">
        <f t="shared" ca="1" si="142"/>
        <v>#N/A</v>
      </c>
      <c r="BM186" s="46">
        <v>179</v>
      </c>
      <c r="BN186" s="46" t="e">
        <f t="shared" si="131"/>
        <v>#N/A</v>
      </c>
      <c r="BO186" s="46" t="e">
        <f t="shared" ca="1" si="132"/>
        <v>#N/A</v>
      </c>
      <c r="BP186" s="46" t="e">
        <f t="shared" ca="1" si="143"/>
        <v>#N/A</v>
      </c>
      <c r="BQ186" s="46" t="e">
        <f t="shared" ca="1" si="144"/>
        <v>#N/A</v>
      </c>
      <c r="BR186" s="46">
        <v>179</v>
      </c>
      <c r="BS186" s="46" t="e">
        <f t="shared" si="133"/>
        <v>#N/A</v>
      </c>
      <c r="BT186" s="46" t="e">
        <f t="shared" ca="1" si="134"/>
        <v>#N/A</v>
      </c>
      <c r="BU186" s="46" t="e">
        <f t="shared" ca="1" si="145"/>
        <v>#N/A</v>
      </c>
      <c r="BV186" s="46" t="e">
        <f t="shared" ca="1" si="146"/>
        <v>#N/A</v>
      </c>
      <c r="BW186" s="46">
        <v>179</v>
      </c>
      <c r="BX186" s="46" t="e">
        <f t="shared" si="135"/>
        <v>#N/A</v>
      </c>
      <c r="BY186" s="46" t="e">
        <f t="shared" ca="1" si="136"/>
        <v>#N/A</v>
      </c>
      <c r="BZ186" s="46" t="e">
        <f t="shared" ca="1" si="147"/>
        <v>#N/A</v>
      </c>
      <c r="CA186" s="46" t="e">
        <f t="shared" ca="1" si="148"/>
        <v>#N/A</v>
      </c>
      <c r="CC186" s="50"/>
      <c r="CD186" s="50"/>
      <c r="CE186" s="50"/>
      <c r="CF186" s="50"/>
      <c r="CG186" s="50"/>
      <c r="CH186" s="50"/>
      <c r="CI186" s="50"/>
      <c r="CJ186" s="50"/>
      <c r="CO186" s="43"/>
      <c r="CP186" s="43"/>
      <c r="CQ186" s="43"/>
    </row>
    <row r="187" spans="1:95" x14ac:dyDescent="0.25">
      <c r="A187" s="43"/>
      <c r="C187" s="42"/>
      <c r="I187" s="42"/>
      <c r="J187" s="42"/>
      <c r="K187" s="42"/>
      <c r="O187" s="43"/>
      <c r="Q187" s="43"/>
      <c r="R187" s="42"/>
      <c r="V187" s="43"/>
      <c r="AC187" s="43"/>
      <c r="AD187" s="43"/>
      <c r="AF187" s="42"/>
      <c r="AG187" s="42"/>
      <c r="AH187" s="42"/>
      <c r="AI187" s="42"/>
      <c r="AJ187" s="42"/>
      <c r="AK187" s="42"/>
      <c r="AL187" s="42"/>
      <c r="AM187" s="42"/>
      <c r="AN187" s="43"/>
      <c r="AO187" s="43"/>
      <c r="AP187" s="43"/>
      <c r="AQ187" s="43"/>
      <c r="AR187" s="43"/>
      <c r="AS187" s="43"/>
      <c r="AT187" s="43"/>
      <c r="AU187" s="43"/>
      <c r="AV187" s="43"/>
      <c r="AW187" s="46"/>
      <c r="AX187" s="46"/>
      <c r="AY187" s="46">
        <v>182</v>
      </c>
      <c r="AZ187" s="46">
        <f t="shared" si="137"/>
        <v>0</v>
      </c>
      <c r="BA187" s="46" t="b">
        <f t="shared" si="138"/>
        <v>0</v>
      </c>
      <c r="BB187" s="46">
        <v>182</v>
      </c>
      <c r="BC187" s="46">
        <v>180</v>
      </c>
      <c r="BD187" s="46" t="e">
        <f t="shared" si="127"/>
        <v>#N/A</v>
      </c>
      <c r="BE187" s="46" t="e">
        <f t="shared" ca="1" si="128"/>
        <v>#N/A</v>
      </c>
      <c r="BF187" s="46" t="e">
        <f t="shared" ca="1" si="139"/>
        <v>#N/A</v>
      </c>
      <c r="BG187" s="46" t="e">
        <f t="shared" ca="1" si="140"/>
        <v>#N/A</v>
      </c>
      <c r="BH187" s="46">
        <v>180</v>
      </c>
      <c r="BI187" s="46" t="e">
        <f t="shared" si="129"/>
        <v>#N/A</v>
      </c>
      <c r="BJ187" s="46" t="e">
        <f t="shared" ca="1" si="130"/>
        <v>#N/A</v>
      </c>
      <c r="BK187" s="46" t="e">
        <f t="shared" ca="1" si="141"/>
        <v>#N/A</v>
      </c>
      <c r="BL187" s="46" t="e">
        <f t="shared" ca="1" si="142"/>
        <v>#N/A</v>
      </c>
      <c r="BM187" s="46">
        <v>180</v>
      </c>
      <c r="BN187" s="46" t="e">
        <f t="shared" si="131"/>
        <v>#N/A</v>
      </c>
      <c r="BO187" s="46" t="e">
        <f t="shared" ca="1" si="132"/>
        <v>#N/A</v>
      </c>
      <c r="BP187" s="46" t="e">
        <f t="shared" ca="1" si="143"/>
        <v>#N/A</v>
      </c>
      <c r="BQ187" s="46" t="e">
        <f t="shared" ca="1" si="144"/>
        <v>#N/A</v>
      </c>
      <c r="BR187" s="46">
        <v>180</v>
      </c>
      <c r="BS187" s="46" t="e">
        <f t="shared" si="133"/>
        <v>#N/A</v>
      </c>
      <c r="BT187" s="46" t="e">
        <f t="shared" ca="1" si="134"/>
        <v>#N/A</v>
      </c>
      <c r="BU187" s="46" t="e">
        <f t="shared" ca="1" si="145"/>
        <v>#N/A</v>
      </c>
      <c r="BV187" s="46" t="e">
        <f t="shared" ca="1" si="146"/>
        <v>#N/A</v>
      </c>
      <c r="BW187" s="46">
        <v>180</v>
      </c>
      <c r="BX187" s="46" t="e">
        <f t="shared" si="135"/>
        <v>#N/A</v>
      </c>
      <c r="BY187" s="46" t="e">
        <f t="shared" ca="1" si="136"/>
        <v>#N/A</v>
      </c>
      <c r="BZ187" s="46" t="e">
        <f t="shared" ca="1" si="147"/>
        <v>#N/A</v>
      </c>
      <c r="CA187" s="46" t="e">
        <f t="shared" ca="1" si="148"/>
        <v>#N/A</v>
      </c>
      <c r="CC187" s="50"/>
      <c r="CD187" s="50"/>
      <c r="CE187" s="50"/>
      <c r="CF187" s="50"/>
      <c r="CG187" s="50"/>
      <c r="CH187" s="50"/>
      <c r="CI187" s="50"/>
      <c r="CJ187" s="50"/>
      <c r="CO187" s="43"/>
      <c r="CP187" s="43"/>
      <c r="CQ187" s="43"/>
    </row>
    <row r="188" spans="1:95" x14ac:dyDescent="0.25">
      <c r="A188" s="43"/>
      <c r="C188" s="42"/>
      <c r="I188" s="42"/>
      <c r="J188" s="42"/>
      <c r="K188" s="42"/>
      <c r="O188" s="43"/>
      <c r="Q188" s="43"/>
      <c r="R188" s="42"/>
      <c r="V188" s="43"/>
      <c r="AC188" s="43"/>
      <c r="AD188" s="43"/>
      <c r="AF188" s="42"/>
      <c r="AG188" s="42"/>
      <c r="AH188" s="42"/>
      <c r="AI188" s="42"/>
      <c r="AJ188" s="42"/>
      <c r="AK188" s="42"/>
      <c r="AL188" s="42"/>
      <c r="AM188" s="42"/>
      <c r="AN188" s="43"/>
      <c r="AO188" s="43"/>
      <c r="AP188" s="43"/>
      <c r="AQ188" s="43"/>
      <c r="AR188" s="43"/>
      <c r="AS188" s="43"/>
      <c r="AT188" s="43"/>
      <c r="AU188" s="43"/>
      <c r="AV188" s="43"/>
      <c r="AW188" s="46"/>
      <c r="AX188" s="46"/>
      <c r="AY188" s="46">
        <v>183</v>
      </c>
      <c r="AZ188" s="46">
        <f t="shared" si="137"/>
        <v>0</v>
      </c>
      <c r="BA188" s="46" t="b">
        <f t="shared" si="138"/>
        <v>0</v>
      </c>
      <c r="BB188" s="46">
        <v>183</v>
      </c>
      <c r="BC188" s="46">
        <v>181</v>
      </c>
      <c r="BD188" s="46" t="e">
        <f t="shared" si="127"/>
        <v>#N/A</v>
      </c>
      <c r="BE188" s="46" t="e">
        <f t="shared" ca="1" si="128"/>
        <v>#N/A</v>
      </c>
      <c r="BF188" s="46" t="e">
        <f t="shared" ca="1" si="139"/>
        <v>#N/A</v>
      </c>
      <c r="BG188" s="46" t="e">
        <f t="shared" ca="1" si="140"/>
        <v>#N/A</v>
      </c>
      <c r="BH188" s="46">
        <v>181</v>
      </c>
      <c r="BI188" s="46" t="e">
        <f t="shared" si="129"/>
        <v>#N/A</v>
      </c>
      <c r="BJ188" s="46" t="e">
        <f t="shared" ca="1" si="130"/>
        <v>#N/A</v>
      </c>
      <c r="BK188" s="46" t="e">
        <f t="shared" ca="1" si="141"/>
        <v>#N/A</v>
      </c>
      <c r="BL188" s="46" t="e">
        <f t="shared" ca="1" si="142"/>
        <v>#N/A</v>
      </c>
      <c r="BM188" s="46">
        <v>181</v>
      </c>
      <c r="BN188" s="46" t="e">
        <f t="shared" si="131"/>
        <v>#N/A</v>
      </c>
      <c r="BO188" s="46" t="e">
        <f t="shared" ca="1" si="132"/>
        <v>#N/A</v>
      </c>
      <c r="BP188" s="46" t="e">
        <f t="shared" ca="1" si="143"/>
        <v>#N/A</v>
      </c>
      <c r="BQ188" s="46" t="e">
        <f t="shared" ca="1" si="144"/>
        <v>#N/A</v>
      </c>
      <c r="BR188" s="46">
        <v>181</v>
      </c>
      <c r="BS188" s="46" t="e">
        <f t="shared" si="133"/>
        <v>#N/A</v>
      </c>
      <c r="BT188" s="46" t="e">
        <f t="shared" ca="1" si="134"/>
        <v>#N/A</v>
      </c>
      <c r="BU188" s="46" t="e">
        <f t="shared" ca="1" si="145"/>
        <v>#N/A</v>
      </c>
      <c r="BV188" s="46" t="e">
        <f t="shared" ca="1" si="146"/>
        <v>#N/A</v>
      </c>
      <c r="BW188" s="46">
        <v>181</v>
      </c>
      <c r="BX188" s="46" t="e">
        <f t="shared" si="135"/>
        <v>#N/A</v>
      </c>
      <c r="BY188" s="46" t="e">
        <f t="shared" ca="1" si="136"/>
        <v>#N/A</v>
      </c>
      <c r="BZ188" s="46" t="e">
        <f t="shared" ca="1" si="147"/>
        <v>#N/A</v>
      </c>
      <c r="CA188" s="46" t="e">
        <f t="shared" ca="1" si="148"/>
        <v>#N/A</v>
      </c>
      <c r="CC188" s="50"/>
      <c r="CD188" s="50"/>
      <c r="CE188" s="50"/>
      <c r="CF188" s="50"/>
      <c r="CG188" s="50"/>
      <c r="CH188" s="50"/>
      <c r="CI188" s="50"/>
      <c r="CJ188" s="50"/>
      <c r="CO188" s="43"/>
      <c r="CP188" s="43"/>
      <c r="CQ188" s="43"/>
    </row>
    <row r="189" spans="1:95" x14ac:dyDescent="0.25">
      <c r="A189" s="43"/>
      <c r="C189" s="42"/>
      <c r="I189" s="42"/>
      <c r="J189" s="42"/>
      <c r="K189" s="42"/>
      <c r="O189" s="43"/>
      <c r="Q189" s="43"/>
      <c r="R189" s="42"/>
      <c r="V189" s="43"/>
      <c r="AC189" s="43"/>
      <c r="AD189" s="43"/>
      <c r="AF189" s="42"/>
      <c r="AG189" s="42"/>
      <c r="AH189" s="42"/>
      <c r="AI189" s="42"/>
      <c r="AJ189" s="42"/>
      <c r="AK189" s="42"/>
      <c r="AL189" s="42"/>
      <c r="AM189" s="42"/>
      <c r="AN189" s="43"/>
      <c r="AO189" s="43"/>
      <c r="AP189" s="43"/>
      <c r="AQ189" s="43"/>
      <c r="AR189" s="43"/>
      <c r="AS189" s="43"/>
      <c r="AT189" s="43"/>
      <c r="AU189" s="43"/>
      <c r="AV189" s="43"/>
      <c r="AW189" s="46"/>
      <c r="AX189" s="46"/>
      <c r="AY189" s="46">
        <v>184</v>
      </c>
      <c r="AZ189" s="46">
        <f t="shared" si="137"/>
        <v>0</v>
      </c>
      <c r="BA189" s="46" t="b">
        <f t="shared" si="138"/>
        <v>0</v>
      </c>
      <c r="BB189" s="46">
        <v>184</v>
      </c>
      <c r="BC189" s="46">
        <v>182</v>
      </c>
      <c r="BD189" s="46" t="e">
        <f t="shared" si="127"/>
        <v>#N/A</v>
      </c>
      <c r="BE189" s="46" t="e">
        <f t="shared" ca="1" si="128"/>
        <v>#N/A</v>
      </c>
      <c r="BF189" s="46" t="e">
        <f t="shared" ca="1" si="139"/>
        <v>#N/A</v>
      </c>
      <c r="BG189" s="46" t="e">
        <f t="shared" ca="1" si="140"/>
        <v>#N/A</v>
      </c>
      <c r="BH189" s="46">
        <v>182</v>
      </c>
      <c r="BI189" s="46" t="e">
        <f t="shared" si="129"/>
        <v>#N/A</v>
      </c>
      <c r="BJ189" s="46" t="e">
        <f t="shared" ca="1" si="130"/>
        <v>#N/A</v>
      </c>
      <c r="BK189" s="46" t="e">
        <f t="shared" ca="1" si="141"/>
        <v>#N/A</v>
      </c>
      <c r="BL189" s="46" t="e">
        <f t="shared" ca="1" si="142"/>
        <v>#N/A</v>
      </c>
      <c r="BM189" s="46">
        <v>182</v>
      </c>
      <c r="BN189" s="46" t="e">
        <f t="shared" si="131"/>
        <v>#N/A</v>
      </c>
      <c r="BO189" s="46" t="e">
        <f t="shared" ca="1" si="132"/>
        <v>#N/A</v>
      </c>
      <c r="BP189" s="46" t="e">
        <f t="shared" ca="1" si="143"/>
        <v>#N/A</v>
      </c>
      <c r="BQ189" s="46" t="e">
        <f t="shared" ca="1" si="144"/>
        <v>#N/A</v>
      </c>
      <c r="BR189" s="46">
        <v>182</v>
      </c>
      <c r="BS189" s="46" t="e">
        <f t="shared" si="133"/>
        <v>#N/A</v>
      </c>
      <c r="BT189" s="46" t="e">
        <f t="shared" ca="1" si="134"/>
        <v>#N/A</v>
      </c>
      <c r="BU189" s="46" t="e">
        <f t="shared" ca="1" si="145"/>
        <v>#N/A</v>
      </c>
      <c r="BV189" s="46" t="e">
        <f t="shared" ca="1" si="146"/>
        <v>#N/A</v>
      </c>
      <c r="BW189" s="46">
        <v>182</v>
      </c>
      <c r="BX189" s="46" t="e">
        <f t="shared" si="135"/>
        <v>#N/A</v>
      </c>
      <c r="BY189" s="46" t="e">
        <f t="shared" ca="1" si="136"/>
        <v>#N/A</v>
      </c>
      <c r="BZ189" s="46" t="e">
        <f t="shared" ca="1" si="147"/>
        <v>#N/A</v>
      </c>
      <c r="CA189" s="46" t="e">
        <f t="shared" ca="1" si="148"/>
        <v>#N/A</v>
      </c>
      <c r="CC189" s="50"/>
      <c r="CD189" s="50"/>
      <c r="CE189" s="50"/>
      <c r="CF189" s="50"/>
      <c r="CG189" s="50"/>
      <c r="CH189" s="50"/>
      <c r="CI189" s="50"/>
      <c r="CJ189" s="50"/>
      <c r="CO189" s="43"/>
      <c r="CP189" s="43"/>
      <c r="CQ189" s="43"/>
    </row>
    <row r="190" spans="1:95" x14ac:dyDescent="0.25">
      <c r="A190" s="43"/>
      <c r="C190" s="42"/>
      <c r="I190" s="42"/>
      <c r="J190" s="42"/>
      <c r="K190" s="42"/>
      <c r="O190" s="43"/>
      <c r="Q190" s="43"/>
      <c r="R190" s="42"/>
      <c r="V190" s="43"/>
      <c r="AC190" s="43"/>
      <c r="AD190" s="43"/>
      <c r="AF190" s="42"/>
      <c r="AG190" s="42"/>
      <c r="AH190" s="42"/>
      <c r="AI190" s="42"/>
      <c r="AJ190" s="42"/>
      <c r="AK190" s="42"/>
      <c r="AL190" s="42"/>
      <c r="AM190" s="42"/>
      <c r="AN190" s="43"/>
      <c r="AO190" s="43"/>
      <c r="AP190" s="43"/>
      <c r="AQ190" s="43"/>
      <c r="AR190" s="43"/>
      <c r="AS190" s="43"/>
      <c r="AT190" s="43"/>
      <c r="AU190" s="43"/>
      <c r="AV190" s="43"/>
      <c r="AW190" s="46"/>
      <c r="AX190" s="46"/>
      <c r="AY190" s="46">
        <v>185</v>
      </c>
      <c r="AZ190" s="46">
        <f t="shared" si="137"/>
        <v>0</v>
      </c>
      <c r="BA190" s="46" t="b">
        <f t="shared" si="138"/>
        <v>0</v>
      </c>
      <c r="BB190" s="46">
        <v>185</v>
      </c>
      <c r="BC190" s="46">
        <v>183</v>
      </c>
      <c r="BD190" s="46" t="e">
        <f t="shared" si="127"/>
        <v>#N/A</v>
      </c>
      <c r="BE190" s="46" t="e">
        <f t="shared" ca="1" si="128"/>
        <v>#N/A</v>
      </c>
      <c r="BF190" s="46" t="e">
        <f t="shared" ca="1" si="139"/>
        <v>#N/A</v>
      </c>
      <c r="BG190" s="46" t="e">
        <f t="shared" ca="1" si="140"/>
        <v>#N/A</v>
      </c>
      <c r="BH190" s="46">
        <v>183</v>
      </c>
      <c r="BI190" s="46" t="e">
        <f t="shared" si="129"/>
        <v>#N/A</v>
      </c>
      <c r="BJ190" s="46" t="e">
        <f t="shared" ca="1" si="130"/>
        <v>#N/A</v>
      </c>
      <c r="BK190" s="46" t="e">
        <f t="shared" ca="1" si="141"/>
        <v>#N/A</v>
      </c>
      <c r="BL190" s="46" t="e">
        <f t="shared" ca="1" si="142"/>
        <v>#N/A</v>
      </c>
      <c r="BM190" s="46">
        <v>183</v>
      </c>
      <c r="BN190" s="46" t="e">
        <f t="shared" si="131"/>
        <v>#N/A</v>
      </c>
      <c r="BO190" s="46" t="e">
        <f t="shared" ca="1" si="132"/>
        <v>#N/A</v>
      </c>
      <c r="BP190" s="46" t="e">
        <f t="shared" ca="1" si="143"/>
        <v>#N/A</v>
      </c>
      <c r="BQ190" s="46" t="e">
        <f t="shared" ca="1" si="144"/>
        <v>#N/A</v>
      </c>
      <c r="BR190" s="46">
        <v>183</v>
      </c>
      <c r="BS190" s="46" t="e">
        <f t="shared" si="133"/>
        <v>#N/A</v>
      </c>
      <c r="BT190" s="46" t="e">
        <f t="shared" ca="1" si="134"/>
        <v>#N/A</v>
      </c>
      <c r="BU190" s="46" t="e">
        <f t="shared" ca="1" si="145"/>
        <v>#N/A</v>
      </c>
      <c r="BV190" s="46" t="e">
        <f t="shared" ca="1" si="146"/>
        <v>#N/A</v>
      </c>
      <c r="BW190" s="46">
        <v>183</v>
      </c>
      <c r="BX190" s="46" t="e">
        <f t="shared" si="135"/>
        <v>#N/A</v>
      </c>
      <c r="BY190" s="46" t="e">
        <f t="shared" ca="1" si="136"/>
        <v>#N/A</v>
      </c>
      <c r="BZ190" s="46" t="e">
        <f t="shared" ca="1" si="147"/>
        <v>#N/A</v>
      </c>
      <c r="CA190" s="46" t="e">
        <f t="shared" ca="1" si="148"/>
        <v>#N/A</v>
      </c>
      <c r="CC190" s="50"/>
      <c r="CD190" s="50"/>
      <c r="CE190" s="50"/>
      <c r="CF190" s="50"/>
      <c r="CG190" s="50"/>
      <c r="CH190" s="50"/>
      <c r="CI190" s="50"/>
      <c r="CJ190" s="50"/>
      <c r="CO190" s="43"/>
      <c r="CP190" s="43"/>
      <c r="CQ190" s="43"/>
    </row>
    <row r="191" spans="1:95" x14ac:dyDescent="0.25">
      <c r="A191" s="43"/>
      <c r="C191" s="42"/>
      <c r="I191" s="42"/>
      <c r="J191" s="42"/>
      <c r="K191" s="42"/>
      <c r="O191" s="43"/>
      <c r="Q191" s="43"/>
      <c r="R191" s="42"/>
      <c r="V191" s="43"/>
      <c r="AC191" s="43"/>
      <c r="AD191" s="43"/>
      <c r="AF191" s="42"/>
      <c r="AG191" s="42"/>
      <c r="AH191" s="42"/>
      <c r="AI191" s="42"/>
      <c r="AJ191" s="42"/>
      <c r="AK191" s="42"/>
      <c r="AL191" s="42"/>
      <c r="AM191" s="42"/>
      <c r="AN191" s="43"/>
      <c r="AO191" s="43"/>
      <c r="AP191" s="43"/>
      <c r="AQ191" s="43"/>
      <c r="AR191" s="43"/>
      <c r="AS191" s="43"/>
      <c r="AT191" s="43"/>
      <c r="AU191" s="43"/>
      <c r="AV191" s="43"/>
      <c r="AW191" s="46"/>
      <c r="AX191" s="46"/>
      <c r="AY191" s="46">
        <v>186</v>
      </c>
      <c r="AZ191" s="46">
        <f t="shared" si="137"/>
        <v>0</v>
      </c>
      <c r="BA191" s="46" t="b">
        <f t="shared" si="138"/>
        <v>0</v>
      </c>
      <c r="BB191" s="46">
        <v>186</v>
      </c>
      <c r="BC191" s="46">
        <v>184</v>
      </c>
      <c r="BD191" s="46" t="e">
        <f t="shared" si="127"/>
        <v>#N/A</v>
      </c>
      <c r="BE191" s="46" t="e">
        <f t="shared" ca="1" si="128"/>
        <v>#N/A</v>
      </c>
      <c r="BF191" s="46" t="e">
        <f t="shared" ca="1" si="139"/>
        <v>#N/A</v>
      </c>
      <c r="BG191" s="46" t="e">
        <f t="shared" ca="1" si="140"/>
        <v>#N/A</v>
      </c>
      <c r="BH191" s="46">
        <v>184</v>
      </c>
      <c r="BI191" s="46" t="e">
        <f t="shared" si="129"/>
        <v>#N/A</v>
      </c>
      <c r="BJ191" s="46" t="e">
        <f t="shared" ca="1" si="130"/>
        <v>#N/A</v>
      </c>
      <c r="BK191" s="46" t="e">
        <f t="shared" ca="1" si="141"/>
        <v>#N/A</v>
      </c>
      <c r="BL191" s="46" t="e">
        <f t="shared" ca="1" si="142"/>
        <v>#N/A</v>
      </c>
      <c r="BM191" s="46">
        <v>184</v>
      </c>
      <c r="BN191" s="46" t="e">
        <f t="shared" si="131"/>
        <v>#N/A</v>
      </c>
      <c r="BO191" s="46" t="e">
        <f t="shared" ca="1" si="132"/>
        <v>#N/A</v>
      </c>
      <c r="BP191" s="46" t="e">
        <f t="shared" ca="1" si="143"/>
        <v>#N/A</v>
      </c>
      <c r="BQ191" s="46" t="e">
        <f t="shared" ca="1" si="144"/>
        <v>#N/A</v>
      </c>
      <c r="BR191" s="46">
        <v>184</v>
      </c>
      <c r="BS191" s="46" t="e">
        <f t="shared" si="133"/>
        <v>#N/A</v>
      </c>
      <c r="BT191" s="46" t="e">
        <f t="shared" ca="1" si="134"/>
        <v>#N/A</v>
      </c>
      <c r="BU191" s="46" t="e">
        <f t="shared" ca="1" si="145"/>
        <v>#N/A</v>
      </c>
      <c r="BV191" s="46" t="e">
        <f t="shared" ca="1" si="146"/>
        <v>#N/A</v>
      </c>
      <c r="BW191" s="46">
        <v>184</v>
      </c>
      <c r="BX191" s="46" t="e">
        <f t="shared" si="135"/>
        <v>#N/A</v>
      </c>
      <c r="BY191" s="46" t="e">
        <f t="shared" ca="1" si="136"/>
        <v>#N/A</v>
      </c>
      <c r="BZ191" s="46" t="e">
        <f t="shared" ca="1" si="147"/>
        <v>#N/A</v>
      </c>
      <c r="CA191" s="46" t="e">
        <f t="shared" ca="1" si="148"/>
        <v>#N/A</v>
      </c>
      <c r="CC191" s="50"/>
      <c r="CD191" s="50"/>
      <c r="CE191" s="50"/>
      <c r="CF191" s="50"/>
      <c r="CG191" s="50"/>
      <c r="CH191" s="50"/>
      <c r="CI191" s="50"/>
      <c r="CJ191" s="50"/>
      <c r="CO191" s="43"/>
      <c r="CP191" s="43"/>
      <c r="CQ191" s="43"/>
    </row>
    <row r="192" spans="1:95" x14ac:dyDescent="0.25">
      <c r="A192" s="43"/>
      <c r="C192" s="42"/>
      <c r="I192" s="42"/>
      <c r="J192" s="42"/>
      <c r="K192" s="42"/>
      <c r="O192" s="43"/>
      <c r="Q192" s="43"/>
      <c r="R192" s="42"/>
      <c r="V192" s="43"/>
      <c r="AC192" s="43"/>
      <c r="AD192" s="43"/>
      <c r="AF192" s="42"/>
      <c r="AG192" s="42"/>
      <c r="AH192" s="42"/>
      <c r="AI192" s="42"/>
      <c r="AJ192" s="42"/>
      <c r="AK192" s="42"/>
      <c r="AL192" s="42"/>
      <c r="AM192" s="42"/>
      <c r="AN192" s="43"/>
      <c r="AO192" s="43"/>
      <c r="AP192" s="43"/>
      <c r="AQ192" s="43"/>
      <c r="AR192" s="43"/>
      <c r="AS192" s="43"/>
      <c r="AT192" s="43"/>
      <c r="AU192" s="43"/>
      <c r="AV192" s="43"/>
      <c r="AW192" s="46"/>
      <c r="AX192" s="46"/>
      <c r="AY192" s="46">
        <v>187</v>
      </c>
      <c r="AZ192" s="46">
        <f t="shared" si="137"/>
        <v>0</v>
      </c>
      <c r="BA192" s="46" t="b">
        <f t="shared" si="138"/>
        <v>0</v>
      </c>
      <c r="BB192" s="46">
        <v>187</v>
      </c>
      <c r="BC192" s="46">
        <v>185</v>
      </c>
      <c r="BD192" s="46" t="e">
        <f t="shared" si="127"/>
        <v>#N/A</v>
      </c>
      <c r="BE192" s="46" t="e">
        <f t="shared" ca="1" si="128"/>
        <v>#N/A</v>
      </c>
      <c r="BF192" s="46" t="e">
        <f t="shared" ca="1" si="139"/>
        <v>#N/A</v>
      </c>
      <c r="BG192" s="46" t="e">
        <f t="shared" ca="1" si="140"/>
        <v>#N/A</v>
      </c>
      <c r="BH192" s="46">
        <v>185</v>
      </c>
      <c r="BI192" s="46" t="e">
        <f t="shared" si="129"/>
        <v>#N/A</v>
      </c>
      <c r="BJ192" s="46" t="e">
        <f t="shared" ca="1" si="130"/>
        <v>#N/A</v>
      </c>
      <c r="BK192" s="46" t="e">
        <f t="shared" ca="1" si="141"/>
        <v>#N/A</v>
      </c>
      <c r="BL192" s="46" t="e">
        <f t="shared" ca="1" si="142"/>
        <v>#N/A</v>
      </c>
      <c r="BM192" s="46">
        <v>185</v>
      </c>
      <c r="BN192" s="46" t="e">
        <f t="shared" si="131"/>
        <v>#N/A</v>
      </c>
      <c r="BO192" s="46" t="e">
        <f t="shared" ca="1" si="132"/>
        <v>#N/A</v>
      </c>
      <c r="BP192" s="46" t="e">
        <f t="shared" ca="1" si="143"/>
        <v>#N/A</v>
      </c>
      <c r="BQ192" s="46" t="e">
        <f t="shared" ca="1" si="144"/>
        <v>#N/A</v>
      </c>
      <c r="BR192" s="46">
        <v>185</v>
      </c>
      <c r="BS192" s="46" t="e">
        <f t="shared" si="133"/>
        <v>#N/A</v>
      </c>
      <c r="BT192" s="46" t="e">
        <f t="shared" ca="1" si="134"/>
        <v>#N/A</v>
      </c>
      <c r="BU192" s="46" t="e">
        <f t="shared" ca="1" si="145"/>
        <v>#N/A</v>
      </c>
      <c r="BV192" s="46" t="e">
        <f t="shared" ca="1" si="146"/>
        <v>#N/A</v>
      </c>
      <c r="BW192" s="46">
        <v>185</v>
      </c>
      <c r="BX192" s="46" t="e">
        <f t="shared" si="135"/>
        <v>#N/A</v>
      </c>
      <c r="BY192" s="46" t="e">
        <f t="shared" ca="1" si="136"/>
        <v>#N/A</v>
      </c>
      <c r="BZ192" s="46" t="e">
        <f t="shared" ca="1" si="147"/>
        <v>#N/A</v>
      </c>
      <c r="CA192" s="46" t="e">
        <f t="shared" ca="1" si="148"/>
        <v>#N/A</v>
      </c>
      <c r="CC192" s="50"/>
      <c r="CD192" s="50"/>
      <c r="CE192" s="50"/>
      <c r="CF192" s="50"/>
      <c r="CG192" s="50"/>
      <c r="CH192" s="50"/>
      <c r="CI192" s="50"/>
      <c r="CJ192" s="50"/>
      <c r="CO192" s="43"/>
      <c r="CP192" s="43"/>
      <c r="CQ192" s="43"/>
    </row>
    <row r="193" spans="1:95" x14ac:dyDescent="0.25">
      <c r="A193" s="43"/>
      <c r="C193" s="42"/>
      <c r="I193" s="42"/>
      <c r="J193" s="42"/>
      <c r="K193" s="42"/>
      <c r="O193" s="43"/>
      <c r="Q193" s="43"/>
      <c r="R193" s="42"/>
      <c r="V193" s="43"/>
      <c r="AC193" s="43"/>
      <c r="AD193" s="43"/>
      <c r="AF193" s="42"/>
      <c r="AG193" s="42"/>
      <c r="AH193" s="42"/>
      <c r="AI193" s="42"/>
      <c r="AJ193" s="42"/>
      <c r="AK193" s="42"/>
      <c r="AL193" s="42"/>
      <c r="AM193" s="42"/>
      <c r="AN193" s="43"/>
      <c r="AO193" s="43"/>
      <c r="AP193" s="43"/>
      <c r="AQ193" s="43"/>
      <c r="AR193" s="43"/>
      <c r="AS193" s="43"/>
      <c r="AT193" s="43"/>
      <c r="AU193" s="43"/>
      <c r="AV193" s="43"/>
      <c r="AW193" s="46"/>
      <c r="AX193" s="46"/>
      <c r="AY193" s="46">
        <v>188</v>
      </c>
      <c r="AZ193" s="46">
        <f t="shared" si="137"/>
        <v>0</v>
      </c>
      <c r="BA193" s="46" t="b">
        <f t="shared" si="138"/>
        <v>0</v>
      </c>
      <c r="BB193" s="46">
        <v>188</v>
      </c>
      <c r="BC193" s="46">
        <v>186</v>
      </c>
      <c r="BD193" s="46" t="e">
        <f t="shared" si="127"/>
        <v>#N/A</v>
      </c>
      <c r="BE193" s="46" t="e">
        <f t="shared" ca="1" si="128"/>
        <v>#N/A</v>
      </c>
      <c r="BF193" s="46" t="e">
        <f t="shared" ca="1" si="139"/>
        <v>#N/A</v>
      </c>
      <c r="BG193" s="46" t="e">
        <f t="shared" ca="1" si="140"/>
        <v>#N/A</v>
      </c>
      <c r="BH193" s="46">
        <v>186</v>
      </c>
      <c r="BI193" s="46" t="e">
        <f t="shared" si="129"/>
        <v>#N/A</v>
      </c>
      <c r="BJ193" s="46" t="e">
        <f t="shared" ca="1" si="130"/>
        <v>#N/A</v>
      </c>
      <c r="BK193" s="46" t="e">
        <f t="shared" ca="1" si="141"/>
        <v>#N/A</v>
      </c>
      <c r="BL193" s="46" t="e">
        <f t="shared" ca="1" si="142"/>
        <v>#N/A</v>
      </c>
      <c r="BM193" s="46">
        <v>186</v>
      </c>
      <c r="BN193" s="46" t="e">
        <f t="shared" si="131"/>
        <v>#N/A</v>
      </c>
      <c r="BO193" s="46" t="e">
        <f t="shared" ca="1" si="132"/>
        <v>#N/A</v>
      </c>
      <c r="BP193" s="46" t="e">
        <f t="shared" ca="1" si="143"/>
        <v>#N/A</v>
      </c>
      <c r="BQ193" s="46" t="e">
        <f t="shared" ca="1" si="144"/>
        <v>#N/A</v>
      </c>
      <c r="BR193" s="46">
        <v>186</v>
      </c>
      <c r="BS193" s="46" t="e">
        <f t="shared" si="133"/>
        <v>#N/A</v>
      </c>
      <c r="BT193" s="46" t="e">
        <f t="shared" ca="1" si="134"/>
        <v>#N/A</v>
      </c>
      <c r="BU193" s="46" t="e">
        <f t="shared" ca="1" si="145"/>
        <v>#N/A</v>
      </c>
      <c r="BV193" s="46" t="e">
        <f t="shared" ca="1" si="146"/>
        <v>#N/A</v>
      </c>
      <c r="BW193" s="46">
        <v>186</v>
      </c>
      <c r="BX193" s="46" t="e">
        <f t="shared" si="135"/>
        <v>#N/A</v>
      </c>
      <c r="BY193" s="46" t="e">
        <f t="shared" ca="1" si="136"/>
        <v>#N/A</v>
      </c>
      <c r="BZ193" s="46" t="e">
        <f t="shared" ca="1" si="147"/>
        <v>#N/A</v>
      </c>
      <c r="CA193" s="46" t="e">
        <f t="shared" ca="1" si="148"/>
        <v>#N/A</v>
      </c>
      <c r="CC193" s="50"/>
      <c r="CD193" s="50"/>
      <c r="CE193" s="50"/>
      <c r="CF193" s="50"/>
      <c r="CG193" s="50"/>
      <c r="CH193" s="50"/>
      <c r="CI193" s="50"/>
      <c r="CJ193" s="50"/>
      <c r="CO193" s="43"/>
      <c r="CP193" s="43"/>
      <c r="CQ193" s="43"/>
    </row>
    <row r="194" spans="1:95" x14ac:dyDescent="0.25">
      <c r="A194" s="43"/>
      <c r="C194" s="42"/>
      <c r="I194" s="42"/>
      <c r="J194" s="42"/>
      <c r="K194" s="42"/>
      <c r="O194" s="43"/>
      <c r="Q194" s="43"/>
      <c r="R194" s="42"/>
      <c r="V194" s="43"/>
      <c r="AC194" s="43"/>
      <c r="AD194" s="43"/>
      <c r="AF194" s="42"/>
      <c r="AG194" s="42"/>
      <c r="AH194" s="42"/>
      <c r="AI194" s="42"/>
      <c r="AJ194" s="42"/>
      <c r="AK194" s="42"/>
      <c r="AL194" s="42"/>
      <c r="AM194" s="42"/>
      <c r="AN194" s="43"/>
      <c r="AO194" s="43"/>
      <c r="AP194" s="43"/>
      <c r="AQ194" s="43"/>
      <c r="AR194" s="43"/>
      <c r="AS194" s="43"/>
      <c r="AT194" s="43"/>
      <c r="AU194" s="43"/>
      <c r="AV194" s="43"/>
      <c r="AW194" s="46"/>
      <c r="AX194" s="46"/>
      <c r="AY194" s="46">
        <v>189</v>
      </c>
      <c r="AZ194" s="46">
        <f t="shared" si="137"/>
        <v>0</v>
      </c>
      <c r="BA194" s="46" t="b">
        <f t="shared" si="138"/>
        <v>0</v>
      </c>
      <c r="BB194" s="46">
        <v>189</v>
      </c>
      <c r="BC194" s="46">
        <v>187</v>
      </c>
      <c r="BD194" s="46" t="e">
        <f t="shared" si="127"/>
        <v>#N/A</v>
      </c>
      <c r="BE194" s="46" t="e">
        <f t="shared" ca="1" si="128"/>
        <v>#N/A</v>
      </c>
      <c r="BF194" s="46" t="e">
        <f t="shared" ca="1" si="139"/>
        <v>#N/A</v>
      </c>
      <c r="BG194" s="46" t="e">
        <f t="shared" ca="1" si="140"/>
        <v>#N/A</v>
      </c>
      <c r="BH194" s="46">
        <v>187</v>
      </c>
      <c r="BI194" s="46" t="e">
        <f t="shared" si="129"/>
        <v>#N/A</v>
      </c>
      <c r="BJ194" s="46" t="e">
        <f t="shared" ca="1" si="130"/>
        <v>#N/A</v>
      </c>
      <c r="BK194" s="46" t="e">
        <f t="shared" ca="1" si="141"/>
        <v>#N/A</v>
      </c>
      <c r="BL194" s="46" t="e">
        <f t="shared" ca="1" si="142"/>
        <v>#N/A</v>
      </c>
      <c r="BM194" s="46">
        <v>187</v>
      </c>
      <c r="BN194" s="46" t="e">
        <f t="shared" si="131"/>
        <v>#N/A</v>
      </c>
      <c r="BO194" s="46" t="e">
        <f t="shared" ca="1" si="132"/>
        <v>#N/A</v>
      </c>
      <c r="BP194" s="46" t="e">
        <f t="shared" ca="1" si="143"/>
        <v>#N/A</v>
      </c>
      <c r="BQ194" s="46" t="e">
        <f t="shared" ca="1" si="144"/>
        <v>#N/A</v>
      </c>
      <c r="BR194" s="46">
        <v>187</v>
      </c>
      <c r="BS194" s="46" t="e">
        <f t="shared" si="133"/>
        <v>#N/A</v>
      </c>
      <c r="BT194" s="46" t="e">
        <f t="shared" ca="1" si="134"/>
        <v>#N/A</v>
      </c>
      <c r="BU194" s="46" t="e">
        <f t="shared" ca="1" si="145"/>
        <v>#N/A</v>
      </c>
      <c r="BV194" s="46" t="e">
        <f t="shared" ca="1" si="146"/>
        <v>#N/A</v>
      </c>
      <c r="BW194" s="46">
        <v>187</v>
      </c>
      <c r="BX194" s="46" t="e">
        <f t="shared" si="135"/>
        <v>#N/A</v>
      </c>
      <c r="BY194" s="46" t="e">
        <f t="shared" ca="1" si="136"/>
        <v>#N/A</v>
      </c>
      <c r="BZ194" s="46" t="e">
        <f t="shared" ca="1" si="147"/>
        <v>#N/A</v>
      </c>
      <c r="CA194" s="46" t="e">
        <f t="shared" ca="1" si="148"/>
        <v>#N/A</v>
      </c>
      <c r="CC194" s="50"/>
      <c r="CD194" s="50"/>
      <c r="CE194" s="50"/>
      <c r="CF194" s="50"/>
      <c r="CG194" s="50"/>
      <c r="CH194" s="50"/>
      <c r="CI194" s="50"/>
      <c r="CJ194" s="50"/>
      <c r="CO194" s="43"/>
      <c r="CP194" s="43"/>
      <c r="CQ194" s="43"/>
    </row>
    <row r="195" spans="1:95" x14ac:dyDescent="0.25">
      <c r="A195" s="43"/>
      <c r="C195" s="42"/>
      <c r="I195" s="42"/>
      <c r="J195" s="42"/>
      <c r="K195" s="42"/>
      <c r="O195" s="43"/>
      <c r="Q195" s="43"/>
      <c r="R195" s="42"/>
      <c r="V195" s="43"/>
      <c r="AC195" s="43"/>
      <c r="AD195" s="43"/>
      <c r="AF195" s="42"/>
      <c r="AG195" s="42"/>
      <c r="AH195" s="42"/>
      <c r="AI195" s="42"/>
      <c r="AJ195" s="42"/>
      <c r="AK195" s="42"/>
      <c r="AL195" s="42"/>
      <c r="AM195" s="42"/>
      <c r="AN195" s="43"/>
      <c r="AO195" s="43"/>
      <c r="AP195" s="43"/>
      <c r="AQ195" s="43"/>
      <c r="AR195" s="43"/>
      <c r="AS195" s="43"/>
      <c r="AT195" s="43"/>
      <c r="AU195" s="43"/>
      <c r="AV195" s="43"/>
      <c r="AW195" s="46"/>
      <c r="AX195" s="46"/>
      <c r="AY195" s="46">
        <v>190</v>
      </c>
      <c r="AZ195" s="46">
        <f t="shared" si="137"/>
        <v>0</v>
      </c>
      <c r="BA195" s="46" t="b">
        <f t="shared" si="138"/>
        <v>0</v>
      </c>
      <c r="BB195" s="46">
        <v>190</v>
      </c>
      <c r="BC195" s="46">
        <v>188</v>
      </c>
      <c r="BD195" s="46" t="e">
        <f t="shared" si="127"/>
        <v>#N/A</v>
      </c>
      <c r="BE195" s="46" t="e">
        <f t="shared" ca="1" si="128"/>
        <v>#N/A</v>
      </c>
      <c r="BF195" s="46" t="e">
        <f t="shared" ca="1" si="139"/>
        <v>#N/A</v>
      </c>
      <c r="BG195" s="46" t="e">
        <f t="shared" ca="1" si="140"/>
        <v>#N/A</v>
      </c>
      <c r="BH195" s="46">
        <v>188</v>
      </c>
      <c r="BI195" s="46" t="e">
        <f t="shared" si="129"/>
        <v>#N/A</v>
      </c>
      <c r="BJ195" s="46" t="e">
        <f t="shared" ca="1" si="130"/>
        <v>#N/A</v>
      </c>
      <c r="BK195" s="46" t="e">
        <f t="shared" ca="1" si="141"/>
        <v>#N/A</v>
      </c>
      <c r="BL195" s="46" t="e">
        <f t="shared" ca="1" si="142"/>
        <v>#N/A</v>
      </c>
      <c r="BM195" s="46">
        <v>188</v>
      </c>
      <c r="BN195" s="46" t="e">
        <f t="shared" si="131"/>
        <v>#N/A</v>
      </c>
      <c r="BO195" s="46" t="e">
        <f t="shared" ca="1" si="132"/>
        <v>#N/A</v>
      </c>
      <c r="BP195" s="46" t="e">
        <f t="shared" ca="1" si="143"/>
        <v>#N/A</v>
      </c>
      <c r="BQ195" s="46" t="e">
        <f t="shared" ca="1" si="144"/>
        <v>#N/A</v>
      </c>
      <c r="BR195" s="46">
        <v>188</v>
      </c>
      <c r="BS195" s="46" t="e">
        <f t="shared" si="133"/>
        <v>#N/A</v>
      </c>
      <c r="BT195" s="46" t="e">
        <f t="shared" ca="1" si="134"/>
        <v>#N/A</v>
      </c>
      <c r="BU195" s="46" t="e">
        <f t="shared" ca="1" si="145"/>
        <v>#N/A</v>
      </c>
      <c r="BV195" s="46" t="e">
        <f t="shared" ca="1" si="146"/>
        <v>#N/A</v>
      </c>
      <c r="BW195" s="46">
        <v>188</v>
      </c>
      <c r="BX195" s="46" t="e">
        <f t="shared" si="135"/>
        <v>#N/A</v>
      </c>
      <c r="BY195" s="46" t="e">
        <f t="shared" ca="1" si="136"/>
        <v>#N/A</v>
      </c>
      <c r="BZ195" s="46" t="e">
        <f t="shared" ca="1" si="147"/>
        <v>#N/A</v>
      </c>
      <c r="CA195" s="46" t="e">
        <f t="shared" ca="1" si="148"/>
        <v>#N/A</v>
      </c>
      <c r="CC195" s="50"/>
      <c r="CD195" s="50"/>
      <c r="CE195" s="50"/>
      <c r="CF195" s="50"/>
      <c r="CG195" s="50"/>
      <c r="CH195" s="50"/>
      <c r="CI195" s="50"/>
      <c r="CJ195" s="50"/>
      <c r="CO195" s="43"/>
      <c r="CP195" s="43"/>
      <c r="CQ195" s="43"/>
    </row>
    <row r="196" spans="1:95" x14ac:dyDescent="0.25">
      <c r="A196" s="43"/>
      <c r="C196" s="42"/>
      <c r="I196" s="42"/>
      <c r="J196" s="42"/>
      <c r="K196" s="42"/>
      <c r="O196" s="43"/>
      <c r="Q196" s="43"/>
      <c r="R196" s="42"/>
      <c r="V196" s="43"/>
      <c r="AC196" s="43"/>
      <c r="AD196" s="43"/>
      <c r="AF196" s="42"/>
      <c r="AG196" s="42"/>
      <c r="AH196" s="42"/>
      <c r="AI196" s="42"/>
      <c r="AJ196" s="42"/>
      <c r="AK196" s="42"/>
      <c r="AL196" s="42"/>
      <c r="AM196" s="42"/>
      <c r="AN196" s="43"/>
      <c r="AO196" s="43"/>
      <c r="AP196" s="43"/>
      <c r="AQ196" s="43"/>
      <c r="AR196" s="43"/>
      <c r="AS196" s="43"/>
      <c r="AT196" s="43"/>
      <c r="AU196" s="43"/>
      <c r="AV196" s="43"/>
      <c r="AW196" s="46"/>
      <c r="AX196" s="46"/>
      <c r="AY196" s="46">
        <v>191</v>
      </c>
      <c r="AZ196" s="46">
        <f t="shared" si="137"/>
        <v>0</v>
      </c>
      <c r="BA196" s="46" t="b">
        <f t="shared" si="138"/>
        <v>0</v>
      </c>
      <c r="BB196" s="46">
        <v>191</v>
      </c>
      <c r="BC196" s="46">
        <v>189</v>
      </c>
      <c r="BD196" s="46" t="e">
        <f t="shared" si="127"/>
        <v>#N/A</v>
      </c>
      <c r="BE196" s="46" t="e">
        <f t="shared" ca="1" si="128"/>
        <v>#N/A</v>
      </c>
      <c r="BF196" s="46" t="e">
        <f t="shared" ca="1" si="139"/>
        <v>#N/A</v>
      </c>
      <c r="BG196" s="46" t="e">
        <f t="shared" ca="1" si="140"/>
        <v>#N/A</v>
      </c>
      <c r="BH196" s="46">
        <v>189</v>
      </c>
      <c r="BI196" s="46" t="e">
        <f t="shared" si="129"/>
        <v>#N/A</v>
      </c>
      <c r="BJ196" s="46" t="e">
        <f t="shared" ca="1" si="130"/>
        <v>#N/A</v>
      </c>
      <c r="BK196" s="46" t="e">
        <f t="shared" ca="1" si="141"/>
        <v>#N/A</v>
      </c>
      <c r="BL196" s="46" t="e">
        <f t="shared" ca="1" si="142"/>
        <v>#N/A</v>
      </c>
      <c r="BM196" s="46">
        <v>189</v>
      </c>
      <c r="BN196" s="46" t="e">
        <f t="shared" si="131"/>
        <v>#N/A</v>
      </c>
      <c r="BO196" s="46" t="e">
        <f t="shared" ca="1" si="132"/>
        <v>#N/A</v>
      </c>
      <c r="BP196" s="46" t="e">
        <f t="shared" ca="1" si="143"/>
        <v>#N/A</v>
      </c>
      <c r="BQ196" s="46" t="e">
        <f t="shared" ca="1" si="144"/>
        <v>#N/A</v>
      </c>
      <c r="BR196" s="46">
        <v>189</v>
      </c>
      <c r="BS196" s="46" t="e">
        <f t="shared" si="133"/>
        <v>#N/A</v>
      </c>
      <c r="BT196" s="46" t="e">
        <f t="shared" ca="1" si="134"/>
        <v>#N/A</v>
      </c>
      <c r="BU196" s="46" t="e">
        <f t="shared" ca="1" si="145"/>
        <v>#N/A</v>
      </c>
      <c r="BV196" s="46" t="e">
        <f t="shared" ca="1" si="146"/>
        <v>#N/A</v>
      </c>
      <c r="BW196" s="46">
        <v>189</v>
      </c>
      <c r="BX196" s="46" t="e">
        <f t="shared" si="135"/>
        <v>#N/A</v>
      </c>
      <c r="BY196" s="46" t="e">
        <f t="shared" ca="1" si="136"/>
        <v>#N/A</v>
      </c>
      <c r="BZ196" s="46" t="e">
        <f t="shared" ca="1" si="147"/>
        <v>#N/A</v>
      </c>
      <c r="CA196" s="46" t="e">
        <f t="shared" ca="1" si="148"/>
        <v>#N/A</v>
      </c>
      <c r="CC196" s="50"/>
      <c r="CD196" s="50"/>
      <c r="CE196" s="50"/>
      <c r="CF196" s="50"/>
      <c r="CG196" s="50"/>
      <c r="CH196" s="50"/>
      <c r="CI196" s="50"/>
      <c r="CJ196" s="50"/>
      <c r="CO196" s="43"/>
      <c r="CP196" s="43"/>
      <c r="CQ196" s="43"/>
    </row>
    <row r="197" spans="1:95" x14ac:dyDescent="0.25">
      <c r="A197" s="43"/>
      <c r="C197" s="42"/>
      <c r="I197" s="42"/>
      <c r="J197" s="42"/>
      <c r="K197" s="42"/>
      <c r="O197" s="43"/>
      <c r="Q197" s="43"/>
      <c r="R197" s="42"/>
      <c r="V197" s="43"/>
      <c r="AC197" s="43"/>
      <c r="AD197" s="43"/>
      <c r="AF197" s="42"/>
      <c r="AG197" s="42"/>
      <c r="AH197" s="42"/>
      <c r="AI197" s="42"/>
      <c r="AJ197" s="42"/>
      <c r="AK197" s="42"/>
      <c r="AL197" s="42"/>
      <c r="AM197" s="42"/>
      <c r="AN197" s="43"/>
      <c r="AO197" s="43"/>
      <c r="AP197" s="43"/>
      <c r="AQ197" s="43"/>
      <c r="AR197" s="43"/>
      <c r="AS197" s="43"/>
      <c r="AT197" s="43"/>
      <c r="AU197" s="43"/>
      <c r="AV197" s="43"/>
      <c r="AW197" s="46"/>
      <c r="AX197" s="46"/>
      <c r="AY197" s="46">
        <v>192</v>
      </c>
      <c r="AZ197" s="46">
        <f t="shared" si="137"/>
        <v>0</v>
      </c>
      <c r="BA197" s="46" t="b">
        <f t="shared" si="138"/>
        <v>0</v>
      </c>
      <c r="BB197" s="46">
        <v>192</v>
      </c>
      <c r="BC197" s="46">
        <v>190</v>
      </c>
      <c r="BD197" s="46" t="e">
        <f t="shared" si="127"/>
        <v>#N/A</v>
      </c>
      <c r="BE197" s="46" t="e">
        <f t="shared" ca="1" si="128"/>
        <v>#N/A</v>
      </c>
      <c r="BF197" s="46" t="e">
        <f t="shared" ca="1" si="139"/>
        <v>#N/A</v>
      </c>
      <c r="BG197" s="46" t="e">
        <f t="shared" ca="1" si="140"/>
        <v>#N/A</v>
      </c>
      <c r="BH197" s="46">
        <v>190</v>
      </c>
      <c r="BI197" s="46" t="e">
        <f t="shared" si="129"/>
        <v>#N/A</v>
      </c>
      <c r="BJ197" s="46" t="e">
        <f t="shared" ca="1" si="130"/>
        <v>#N/A</v>
      </c>
      <c r="BK197" s="46" t="e">
        <f t="shared" ca="1" si="141"/>
        <v>#N/A</v>
      </c>
      <c r="BL197" s="46" t="e">
        <f t="shared" ca="1" si="142"/>
        <v>#N/A</v>
      </c>
      <c r="BM197" s="46">
        <v>190</v>
      </c>
      <c r="BN197" s="46" t="e">
        <f t="shared" si="131"/>
        <v>#N/A</v>
      </c>
      <c r="BO197" s="46" t="e">
        <f t="shared" ca="1" si="132"/>
        <v>#N/A</v>
      </c>
      <c r="BP197" s="46" t="e">
        <f t="shared" ca="1" si="143"/>
        <v>#N/A</v>
      </c>
      <c r="BQ197" s="46" t="e">
        <f t="shared" ca="1" si="144"/>
        <v>#N/A</v>
      </c>
      <c r="BR197" s="46">
        <v>190</v>
      </c>
      <c r="BS197" s="46" t="e">
        <f t="shared" si="133"/>
        <v>#N/A</v>
      </c>
      <c r="BT197" s="46" t="e">
        <f t="shared" ca="1" si="134"/>
        <v>#N/A</v>
      </c>
      <c r="BU197" s="46" t="e">
        <f t="shared" ca="1" si="145"/>
        <v>#N/A</v>
      </c>
      <c r="BV197" s="46" t="e">
        <f t="shared" ca="1" si="146"/>
        <v>#N/A</v>
      </c>
      <c r="BW197" s="46">
        <v>190</v>
      </c>
      <c r="BX197" s="46" t="e">
        <f t="shared" si="135"/>
        <v>#N/A</v>
      </c>
      <c r="BY197" s="46" t="e">
        <f t="shared" ca="1" si="136"/>
        <v>#N/A</v>
      </c>
      <c r="BZ197" s="46" t="e">
        <f t="shared" ca="1" si="147"/>
        <v>#N/A</v>
      </c>
      <c r="CA197" s="46" t="e">
        <f t="shared" ca="1" si="148"/>
        <v>#N/A</v>
      </c>
      <c r="CC197" s="50"/>
      <c r="CD197" s="50"/>
      <c r="CE197" s="50"/>
      <c r="CF197" s="50"/>
      <c r="CG197" s="50"/>
      <c r="CH197" s="50"/>
      <c r="CI197" s="50"/>
      <c r="CJ197" s="50"/>
      <c r="CO197" s="43"/>
      <c r="CP197" s="43"/>
      <c r="CQ197" s="43"/>
    </row>
    <row r="198" spans="1:95" x14ac:dyDescent="0.25">
      <c r="A198" s="43"/>
      <c r="C198" s="42"/>
      <c r="I198" s="42"/>
      <c r="J198" s="42"/>
      <c r="K198" s="42"/>
      <c r="O198" s="43"/>
      <c r="Q198" s="43"/>
      <c r="R198" s="42"/>
      <c r="V198" s="43"/>
      <c r="AC198" s="43"/>
      <c r="AD198" s="43"/>
      <c r="AF198" s="42"/>
      <c r="AG198" s="42"/>
      <c r="AH198" s="42"/>
      <c r="AI198" s="42"/>
      <c r="AJ198" s="42"/>
      <c r="AK198" s="42"/>
      <c r="AL198" s="42"/>
      <c r="AM198" s="42"/>
      <c r="AN198" s="43"/>
      <c r="AO198" s="43"/>
      <c r="AP198" s="43"/>
      <c r="AQ198" s="43"/>
      <c r="AR198" s="43"/>
      <c r="AS198" s="43"/>
      <c r="AT198" s="43"/>
      <c r="AU198" s="43"/>
      <c r="AV198" s="43"/>
      <c r="AW198" s="46"/>
      <c r="AX198" s="46"/>
      <c r="AY198" s="46">
        <v>193</v>
      </c>
      <c r="AZ198" s="46">
        <f t="shared" si="137"/>
        <v>0</v>
      </c>
      <c r="BA198" s="46" t="b">
        <f t="shared" si="138"/>
        <v>0</v>
      </c>
      <c r="BB198" s="46">
        <v>193</v>
      </c>
      <c r="BC198" s="46">
        <v>191</v>
      </c>
      <c r="BD198" s="46" t="e">
        <f t="shared" si="127"/>
        <v>#N/A</v>
      </c>
      <c r="BE198" s="46" t="e">
        <f t="shared" ca="1" si="128"/>
        <v>#N/A</v>
      </c>
      <c r="BF198" s="46" t="e">
        <f t="shared" ca="1" si="139"/>
        <v>#N/A</v>
      </c>
      <c r="BG198" s="46" t="e">
        <f t="shared" ca="1" si="140"/>
        <v>#N/A</v>
      </c>
      <c r="BH198" s="46">
        <v>191</v>
      </c>
      <c r="BI198" s="46" t="e">
        <f t="shared" si="129"/>
        <v>#N/A</v>
      </c>
      <c r="BJ198" s="46" t="e">
        <f t="shared" ca="1" si="130"/>
        <v>#N/A</v>
      </c>
      <c r="BK198" s="46" t="e">
        <f t="shared" ca="1" si="141"/>
        <v>#N/A</v>
      </c>
      <c r="BL198" s="46" t="e">
        <f t="shared" ca="1" si="142"/>
        <v>#N/A</v>
      </c>
      <c r="BM198" s="46">
        <v>191</v>
      </c>
      <c r="BN198" s="46" t="e">
        <f t="shared" si="131"/>
        <v>#N/A</v>
      </c>
      <c r="BO198" s="46" t="e">
        <f t="shared" ca="1" si="132"/>
        <v>#N/A</v>
      </c>
      <c r="BP198" s="46" t="e">
        <f t="shared" ca="1" si="143"/>
        <v>#N/A</v>
      </c>
      <c r="BQ198" s="46" t="e">
        <f t="shared" ca="1" si="144"/>
        <v>#N/A</v>
      </c>
      <c r="BR198" s="46">
        <v>191</v>
      </c>
      <c r="BS198" s="46" t="e">
        <f t="shared" si="133"/>
        <v>#N/A</v>
      </c>
      <c r="BT198" s="46" t="e">
        <f t="shared" ca="1" si="134"/>
        <v>#N/A</v>
      </c>
      <c r="BU198" s="46" t="e">
        <f t="shared" ca="1" si="145"/>
        <v>#N/A</v>
      </c>
      <c r="BV198" s="46" t="e">
        <f t="shared" ca="1" si="146"/>
        <v>#N/A</v>
      </c>
      <c r="BW198" s="46">
        <v>191</v>
      </c>
      <c r="BX198" s="46" t="e">
        <f t="shared" si="135"/>
        <v>#N/A</v>
      </c>
      <c r="BY198" s="46" t="e">
        <f t="shared" ca="1" si="136"/>
        <v>#N/A</v>
      </c>
      <c r="BZ198" s="46" t="e">
        <f t="shared" ca="1" si="147"/>
        <v>#N/A</v>
      </c>
      <c r="CA198" s="46" t="e">
        <f t="shared" ca="1" si="148"/>
        <v>#N/A</v>
      </c>
      <c r="CC198" s="50"/>
      <c r="CD198" s="50"/>
      <c r="CE198" s="50"/>
      <c r="CF198" s="50"/>
      <c r="CG198" s="50"/>
      <c r="CH198" s="50"/>
      <c r="CI198" s="50"/>
      <c r="CJ198" s="50"/>
      <c r="CO198" s="43"/>
      <c r="CP198" s="43"/>
      <c r="CQ198" s="43"/>
    </row>
    <row r="199" spans="1:95" x14ac:dyDescent="0.25">
      <c r="A199" s="43"/>
      <c r="C199" s="42"/>
      <c r="I199" s="42"/>
      <c r="J199" s="42"/>
      <c r="K199" s="42"/>
      <c r="O199" s="43"/>
      <c r="Q199" s="43"/>
      <c r="R199" s="42"/>
      <c r="V199" s="43"/>
      <c r="AC199" s="43"/>
      <c r="AD199" s="43"/>
      <c r="AF199" s="42"/>
      <c r="AG199" s="42"/>
      <c r="AH199" s="42"/>
      <c r="AI199" s="42"/>
      <c r="AJ199" s="42"/>
      <c r="AK199" s="42"/>
      <c r="AL199" s="42"/>
      <c r="AM199" s="42"/>
      <c r="AN199" s="43"/>
      <c r="AO199" s="43"/>
      <c r="AP199" s="43"/>
      <c r="AQ199" s="43"/>
      <c r="AR199" s="43"/>
      <c r="AS199" s="43"/>
      <c r="AT199" s="43"/>
      <c r="AU199" s="43"/>
      <c r="AV199" s="43"/>
      <c r="AW199" s="46"/>
      <c r="AX199" s="46"/>
      <c r="AY199" s="46">
        <v>194</v>
      </c>
      <c r="AZ199" s="46">
        <f t="shared" ref="AZ199:AZ205" si="149" xml:space="preserve"> IFERROR(MATCH(AY199, $AW$7:$AW$10, 0), 0)</f>
        <v>0</v>
      </c>
      <c r="BA199" s="46" t="b">
        <f t="shared" ref="BA199:BA205" si="150">IF(AY199 &lt;= $AX$11, IF(AZ199 = 0, BA198 + $AI$6 + $AI$11, BA198 + ($AI$13 - $AI$11)))</f>
        <v>0</v>
      </c>
      <c r="BB199" s="46">
        <v>194</v>
      </c>
      <c r="BC199" s="46">
        <v>192</v>
      </c>
      <c r="BD199" s="46" t="e">
        <f t="shared" si="127"/>
        <v>#N/A</v>
      </c>
      <c r="BE199" s="46" t="e">
        <f t="shared" ca="1" si="128"/>
        <v>#N/A</v>
      </c>
      <c r="BF199" s="46" t="e">
        <f t="shared" ref="BF199:BF205" ca="1" si="151" xml:space="preserve"> IF(BE199, IF(MOD(BC199, 3) = 0, BE199 - $AI$11 / 2 - $AI$6, IF(MOD(BC199, 3) = 1, BE199 - $AI$11 / 2, BE199)))</f>
        <v>#N/A</v>
      </c>
      <c r="BG199" s="46" t="e">
        <f t="shared" ref="BG199:BG205" ca="1" si="152" xml:space="preserve"> IF(BE199, IF(MOD(BC199, 3) = 2, $AI$22, $AI$22 + 60 + 50 + 35))</f>
        <v>#N/A</v>
      </c>
      <c r="BH199" s="46">
        <v>192</v>
      </c>
      <c r="BI199" s="46" t="e">
        <f t="shared" si="129"/>
        <v>#N/A</v>
      </c>
      <c r="BJ199" s="46" t="e">
        <f t="shared" ca="1" si="130"/>
        <v>#N/A</v>
      </c>
      <c r="BK199" s="46" t="e">
        <f t="shared" ref="BK199:BK205" ca="1" si="153" xml:space="preserve"> IF(BJ199, IF(MOD(BH199, 3) = 0, BJ199 - $AI$11 / 2 - $AI$6, IF(MOD(BH199, 3) = 1, BJ199 - $AI$11 / 2, BJ199)))</f>
        <v>#N/A</v>
      </c>
      <c r="BL199" s="46" t="e">
        <f t="shared" ref="BL199:BL205" ca="1" si="154" xml:space="preserve"> IF(BJ199, IF(MOD(BH199, 3) = 2, $AI$22, $AI$22 + 60 + 50 + 35))</f>
        <v>#N/A</v>
      </c>
      <c r="BM199" s="46">
        <v>192</v>
      </c>
      <c r="BN199" s="46" t="e">
        <f t="shared" si="131"/>
        <v>#N/A</v>
      </c>
      <c r="BO199" s="46" t="e">
        <f t="shared" ca="1" si="132"/>
        <v>#N/A</v>
      </c>
      <c r="BP199" s="46" t="e">
        <f t="shared" ref="BP199:BP205" ca="1" si="155" xml:space="preserve"> IF(BO199, IF(MOD(BM199, 3) = 0, BO199 - $AI$11 / 2 - $AI$6, IF(MOD(BM199, 3) = 1, BO199 - $AI$11 / 2, BO199)))</f>
        <v>#N/A</v>
      </c>
      <c r="BQ199" s="46" t="e">
        <f t="shared" ref="BQ199:BQ205" ca="1" si="156" xml:space="preserve"> IF(BO199, IF(MOD(BM199, 3) = 2, $AI$22, $AI$22 + 60 + 50 + 35))</f>
        <v>#N/A</v>
      </c>
      <c r="BR199" s="46">
        <v>192</v>
      </c>
      <c r="BS199" s="46" t="e">
        <f t="shared" si="133"/>
        <v>#N/A</v>
      </c>
      <c r="BT199" s="46" t="e">
        <f t="shared" ca="1" si="134"/>
        <v>#N/A</v>
      </c>
      <c r="BU199" s="46" t="e">
        <f t="shared" ref="BU199:BU205" ca="1" si="157" xml:space="preserve"> IF(BT199, IF(MOD(BR199, 3) = 0, BT199 - $AI$11 / 2 - $AI$6, IF(MOD(BR199, 3) = 1, BT199 - $AI$11 / 2, BT199)))</f>
        <v>#N/A</v>
      </c>
      <c r="BV199" s="46" t="e">
        <f t="shared" ref="BV199:BV205" ca="1" si="158" xml:space="preserve"> IF(BT199, IF(MOD(BR199, 3) = 2, $AI$22, $AI$22 + 60 + 50 + 35))</f>
        <v>#N/A</v>
      </c>
      <c r="BW199" s="46">
        <v>192</v>
      </c>
      <c r="BX199" s="46" t="e">
        <f t="shared" si="135"/>
        <v>#N/A</v>
      </c>
      <c r="BY199" s="46" t="e">
        <f t="shared" ca="1" si="136"/>
        <v>#N/A</v>
      </c>
      <c r="BZ199" s="46" t="e">
        <f t="shared" ref="BZ199:BZ205" ca="1" si="159" xml:space="preserve"> IF(BY199, IF(MOD(BW199, 3) = 0, BY199 - $AI$11 / 2 - $AI$6, IF(MOD(BW199, 3) = 1, BY199 - $AI$11 / 2, BY199)))</f>
        <v>#N/A</v>
      </c>
      <c r="CA199" s="46" t="e">
        <f t="shared" ref="CA199:CA205" ca="1" si="160" xml:space="preserve"> IF(BY199, IF(MOD(BW199, 3) = 2, $AI$22, $AI$22 + 60 + 50 + 35))</f>
        <v>#N/A</v>
      </c>
      <c r="CC199" s="50"/>
      <c r="CD199" s="50"/>
      <c r="CE199" s="50"/>
      <c r="CF199" s="50"/>
      <c r="CG199" s="50"/>
      <c r="CH199" s="50"/>
      <c r="CI199" s="50"/>
      <c r="CJ199" s="50"/>
      <c r="CO199" s="43"/>
      <c r="CP199" s="43"/>
      <c r="CQ199" s="43"/>
    </row>
    <row r="200" spans="1:95" x14ac:dyDescent="0.25">
      <c r="A200" s="43"/>
      <c r="C200" s="42"/>
      <c r="I200" s="42"/>
      <c r="J200" s="42"/>
      <c r="K200" s="42"/>
      <c r="O200" s="43"/>
      <c r="Q200" s="43"/>
      <c r="R200" s="42"/>
      <c r="V200" s="43"/>
      <c r="AC200" s="43"/>
      <c r="AD200" s="43"/>
      <c r="AF200" s="42"/>
      <c r="AG200" s="42"/>
      <c r="AH200" s="42"/>
      <c r="AI200" s="42"/>
      <c r="AJ200" s="42"/>
      <c r="AK200" s="42"/>
      <c r="AL200" s="42"/>
      <c r="AM200" s="42"/>
      <c r="AN200" s="43"/>
      <c r="AO200" s="43"/>
      <c r="AP200" s="43"/>
      <c r="AQ200" s="43"/>
      <c r="AR200" s="43"/>
      <c r="AS200" s="43"/>
      <c r="AT200" s="43"/>
      <c r="AU200" s="43"/>
      <c r="AV200" s="43"/>
      <c r="AW200" s="46"/>
      <c r="AX200" s="46"/>
      <c r="AY200" s="46">
        <v>195</v>
      </c>
      <c r="AZ200" s="46">
        <f t="shared" si="149"/>
        <v>0</v>
      </c>
      <c r="BA200" s="46" t="b">
        <f t="shared" si="150"/>
        <v>0</v>
      </c>
      <c r="BB200" s="46">
        <v>195</v>
      </c>
      <c r="BC200" s="46">
        <v>193</v>
      </c>
      <c r="BD200" s="46" t="e">
        <f t="shared" ref="BD200:BD205" si="161" xml:space="preserve"> IF($AW$6 + ROUNDDOWN(BC200 / 3, 0) &lt; $AX$6, $AW$6 + ROUNDDOWN(BC200 / 3, 0), NA())</f>
        <v>#N/A</v>
      </c>
      <c r="BE200" s="46" t="e">
        <f t="shared" ref="BE200:BE205" ca="1" si="162" xml:space="preserve"> OFFSET($BA$6, BD200, , ,)</f>
        <v>#N/A</v>
      </c>
      <c r="BF200" s="46" t="e">
        <f t="shared" ca="1" si="151"/>
        <v>#N/A</v>
      </c>
      <c r="BG200" s="46" t="e">
        <f t="shared" ca="1" si="152"/>
        <v>#N/A</v>
      </c>
      <c r="BH200" s="46">
        <v>193</v>
      </c>
      <c r="BI200" s="46" t="e">
        <f t="shared" ref="BI200:BI205" si="163" xml:space="preserve"> IF($AW$7 + ROUNDDOWN(BH200 / 3, 0) &lt; $AX$7, $AW$7 + ROUNDDOWN(BH200 / 3, 0), NA())</f>
        <v>#N/A</v>
      </c>
      <c r="BJ200" s="46" t="e">
        <f t="shared" ref="BJ200:BJ205" ca="1" si="164" xml:space="preserve"> OFFSET($BA$6, BI200, , ,)</f>
        <v>#N/A</v>
      </c>
      <c r="BK200" s="46" t="e">
        <f t="shared" ca="1" si="153"/>
        <v>#N/A</v>
      </c>
      <c r="BL200" s="46" t="e">
        <f t="shared" ca="1" si="154"/>
        <v>#N/A</v>
      </c>
      <c r="BM200" s="46">
        <v>193</v>
      </c>
      <c r="BN200" s="46" t="e">
        <f t="shared" ref="BN200:BN205" si="165" xml:space="preserve"> IF($AW$8 + ROUNDDOWN(BM200 / 3, 0) &lt; $AX$8, $AW$8 + ROUNDDOWN(BM200 / 3, 0), NA())</f>
        <v>#N/A</v>
      </c>
      <c r="BO200" s="46" t="e">
        <f t="shared" ref="BO200:BO205" ca="1" si="166" xml:space="preserve"> OFFSET($BA$6, BN200, , ,)</f>
        <v>#N/A</v>
      </c>
      <c r="BP200" s="46" t="e">
        <f t="shared" ca="1" si="155"/>
        <v>#N/A</v>
      </c>
      <c r="BQ200" s="46" t="e">
        <f t="shared" ca="1" si="156"/>
        <v>#N/A</v>
      </c>
      <c r="BR200" s="46">
        <v>193</v>
      </c>
      <c r="BS200" s="46" t="e">
        <f t="shared" ref="BS200:BS205" si="167" xml:space="preserve"> IF($AW$9 + ROUNDDOWN(BR200 / 3, 0) &lt; $AX$9, $AW$9 + ROUNDDOWN(BR200 / 3, 0), NA())</f>
        <v>#N/A</v>
      </c>
      <c r="BT200" s="46" t="e">
        <f t="shared" ref="BT200:BT205" ca="1" si="168" xml:space="preserve"> OFFSET($BA$6, BS200, , ,)</f>
        <v>#N/A</v>
      </c>
      <c r="BU200" s="46" t="e">
        <f t="shared" ca="1" si="157"/>
        <v>#N/A</v>
      </c>
      <c r="BV200" s="46" t="e">
        <f t="shared" ca="1" si="158"/>
        <v>#N/A</v>
      </c>
      <c r="BW200" s="46">
        <v>193</v>
      </c>
      <c r="BX200" s="46" t="e">
        <f t="shared" ref="BX200:BX205" si="169" xml:space="preserve"> IF($AW$10 + ROUNDDOWN(BW200 / 3, 0) &lt; $AX$10, $AW$10 + ROUNDDOWN(BW200 / 3, 0), NA())</f>
        <v>#N/A</v>
      </c>
      <c r="BY200" s="46" t="e">
        <f t="shared" ref="BY200:BY205" ca="1" si="170" xml:space="preserve"> OFFSET($BA$6, BX200, , ,)</f>
        <v>#N/A</v>
      </c>
      <c r="BZ200" s="46" t="e">
        <f t="shared" ca="1" si="159"/>
        <v>#N/A</v>
      </c>
      <c r="CA200" s="46" t="e">
        <f t="shared" ca="1" si="160"/>
        <v>#N/A</v>
      </c>
      <c r="CC200" s="50"/>
      <c r="CD200" s="50"/>
      <c r="CE200" s="50"/>
      <c r="CF200" s="50"/>
      <c r="CG200" s="50"/>
      <c r="CH200" s="50"/>
      <c r="CI200" s="50"/>
      <c r="CJ200" s="50"/>
      <c r="CO200" s="43"/>
      <c r="CP200" s="43"/>
      <c r="CQ200" s="43"/>
    </row>
    <row r="201" spans="1:95" x14ac:dyDescent="0.25">
      <c r="A201" s="43"/>
      <c r="C201" s="42"/>
      <c r="I201" s="42"/>
      <c r="J201" s="42"/>
      <c r="K201" s="42"/>
      <c r="O201" s="43"/>
      <c r="Q201" s="43"/>
      <c r="R201" s="42"/>
      <c r="V201" s="43"/>
      <c r="AC201" s="43"/>
      <c r="AD201" s="43"/>
      <c r="AF201" s="42"/>
      <c r="AG201" s="42"/>
      <c r="AH201" s="42"/>
      <c r="AI201" s="42"/>
      <c r="AJ201" s="42"/>
      <c r="AK201" s="42"/>
      <c r="AL201" s="42"/>
      <c r="AM201" s="42"/>
      <c r="AN201" s="43"/>
      <c r="AO201" s="43"/>
      <c r="AP201" s="43"/>
      <c r="AQ201" s="43"/>
      <c r="AR201" s="43"/>
      <c r="AS201" s="43"/>
      <c r="AT201" s="43"/>
      <c r="AU201" s="43"/>
      <c r="AV201" s="43"/>
      <c r="AW201" s="46"/>
      <c r="AX201" s="46"/>
      <c r="AY201" s="46">
        <v>196</v>
      </c>
      <c r="AZ201" s="46">
        <f t="shared" si="149"/>
        <v>0</v>
      </c>
      <c r="BA201" s="46" t="b">
        <f t="shared" si="150"/>
        <v>0</v>
      </c>
      <c r="BB201" s="46">
        <v>196</v>
      </c>
      <c r="BC201" s="46">
        <v>194</v>
      </c>
      <c r="BD201" s="46" t="e">
        <f t="shared" si="161"/>
        <v>#N/A</v>
      </c>
      <c r="BE201" s="46" t="e">
        <f t="shared" ca="1" si="162"/>
        <v>#N/A</v>
      </c>
      <c r="BF201" s="46" t="e">
        <f t="shared" ca="1" si="151"/>
        <v>#N/A</v>
      </c>
      <c r="BG201" s="46" t="e">
        <f t="shared" ca="1" si="152"/>
        <v>#N/A</v>
      </c>
      <c r="BH201" s="46">
        <v>194</v>
      </c>
      <c r="BI201" s="46" t="e">
        <f t="shared" si="163"/>
        <v>#N/A</v>
      </c>
      <c r="BJ201" s="46" t="e">
        <f t="shared" ca="1" si="164"/>
        <v>#N/A</v>
      </c>
      <c r="BK201" s="46" t="e">
        <f t="shared" ca="1" si="153"/>
        <v>#N/A</v>
      </c>
      <c r="BL201" s="46" t="e">
        <f t="shared" ca="1" si="154"/>
        <v>#N/A</v>
      </c>
      <c r="BM201" s="46">
        <v>194</v>
      </c>
      <c r="BN201" s="46" t="e">
        <f t="shared" si="165"/>
        <v>#N/A</v>
      </c>
      <c r="BO201" s="46" t="e">
        <f t="shared" ca="1" si="166"/>
        <v>#N/A</v>
      </c>
      <c r="BP201" s="46" t="e">
        <f t="shared" ca="1" si="155"/>
        <v>#N/A</v>
      </c>
      <c r="BQ201" s="46" t="e">
        <f t="shared" ca="1" si="156"/>
        <v>#N/A</v>
      </c>
      <c r="BR201" s="46">
        <v>194</v>
      </c>
      <c r="BS201" s="46" t="e">
        <f t="shared" si="167"/>
        <v>#N/A</v>
      </c>
      <c r="BT201" s="46" t="e">
        <f t="shared" ca="1" si="168"/>
        <v>#N/A</v>
      </c>
      <c r="BU201" s="46" t="e">
        <f t="shared" ca="1" si="157"/>
        <v>#N/A</v>
      </c>
      <c r="BV201" s="46" t="e">
        <f t="shared" ca="1" si="158"/>
        <v>#N/A</v>
      </c>
      <c r="BW201" s="46">
        <v>194</v>
      </c>
      <c r="BX201" s="46" t="e">
        <f t="shared" si="169"/>
        <v>#N/A</v>
      </c>
      <c r="BY201" s="46" t="e">
        <f t="shared" ca="1" si="170"/>
        <v>#N/A</v>
      </c>
      <c r="BZ201" s="46" t="e">
        <f t="shared" ca="1" si="159"/>
        <v>#N/A</v>
      </c>
      <c r="CA201" s="46" t="e">
        <f t="shared" ca="1" si="160"/>
        <v>#N/A</v>
      </c>
      <c r="CC201" s="50"/>
      <c r="CD201" s="50"/>
      <c r="CE201" s="50"/>
      <c r="CF201" s="50"/>
      <c r="CG201" s="50"/>
      <c r="CH201" s="50"/>
      <c r="CI201" s="50"/>
      <c r="CJ201" s="50"/>
      <c r="CO201" s="43"/>
      <c r="CP201" s="43"/>
      <c r="CQ201" s="43"/>
    </row>
    <row r="202" spans="1:95" x14ac:dyDescent="0.25">
      <c r="A202" s="43"/>
      <c r="C202" s="42"/>
      <c r="I202" s="42"/>
      <c r="J202" s="42"/>
      <c r="K202" s="42"/>
      <c r="O202" s="43"/>
      <c r="Q202" s="43"/>
      <c r="R202" s="42"/>
      <c r="V202" s="43"/>
      <c r="AC202" s="43"/>
      <c r="AD202" s="43"/>
      <c r="AF202" s="42"/>
      <c r="AG202" s="42"/>
      <c r="AH202" s="42"/>
      <c r="AI202" s="42"/>
      <c r="AJ202" s="42"/>
      <c r="AK202" s="42"/>
      <c r="AL202" s="42"/>
      <c r="AM202" s="42"/>
      <c r="AN202" s="43"/>
      <c r="AO202" s="43"/>
      <c r="AP202" s="43"/>
      <c r="AQ202" s="43"/>
      <c r="AR202" s="43"/>
      <c r="AS202" s="43"/>
      <c r="AT202" s="43"/>
      <c r="AU202" s="43"/>
      <c r="AV202" s="43"/>
      <c r="AW202" s="46"/>
      <c r="AX202" s="46"/>
      <c r="AY202" s="46">
        <v>197</v>
      </c>
      <c r="AZ202" s="46">
        <f t="shared" si="149"/>
        <v>0</v>
      </c>
      <c r="BA202" s="46" t="b">
        <f t="shared" si="150"/>
        <v>0</v>
      </c>
      <c r="BB202" s="46">
        <v>197</v>
      </c>
      <c r="BC202" s="46">
        <v>195</v>
      </c>
      <c r="BD202" s="46" t="e">
        <f t="shared" si="161"/>
        <v>#N/A</v>
      </c>
      <c r="BE202" s="46" t="e">
        <f t="shared" ca="1" si="162"/>
        <v>#N/A</v>
      </c>
      <c r="BF202" s="46" t="e">
        <f t="shared" ca="1" si="151"/>
        <v>#N/A</v>
      </c>
      <c r="BG202" s="46" t="e">
        <f t="shared" ca="1" si="152"/>
        <v>#N/A</v>
      </c>
      <c r="BH202" s="46">
        <v>195</v>
      </c>
      <c r="BI202" s="46" t="e">
        <f t="shared" si="163"/>
        <v>#N/A</v>
      </c>
      <c r="BJ202" s="46" t="e">
        <f t="shared" ca="1" si="164"/>
        <v>#N/A</v>
      </c>
      <c r="BK202" s="46" t="e">
        <f t="shared" ca="1" si="153"/>
        <v>#N/A</v>
      </c>
      <c r="BL202" s="46" t="e">
        <f t="shared" ca="1" si="154"/>
        <v>#N/A</v>
      </c>
      <c r="BM202" s="46">
        <v>195</v>
      </c>
      <c r="BN202" s="46" t="e">
        <f t="shared" si="165"/>
        <v>#N/A</v>
      </c>
      <c r="BO202" s="46" t="e">
        <f t="shared" ca="1" si="166"/>
        <v>#N/A</v>
      </c>
      <c r="BP202" s="46" t="e">
        <f t="shared" ca="1" si="155"/>
        <v>#N/A</v>
      </c>
      <c r="BQ202" s="46" t="e">
        <f t="shared" ca="1" si="156"/>
        <v>#N/A</v>
      </c>
      <c r="BR202" s="46">
        <v>195</v>
      </c>
      <c r="BS202" s="46" t="e">
        <f t="shared" si="167"/>
        <v>#N/A</v>
      </c>
      <c r="BT202" s="46" t="e">
        <f t="shared" ca="1" si="168"/>
        <v>#N/A</v>
      </c>
      <c r="BU202" s="46" t="e">
        <f t="shared" ca="1" si="157"/>
        <v>#N/A</v>
      </c>
      <c r="BV202" s="46" t="e">
        <f t="shared" ca="1" si="158"/>
        <v>#N/A</v>
      </c>
      <c r="BW202" s="46">
        <v>195</v>
      </c>
      <c r="BX202" s="46" t="e">
        <f t="shared" si="169"/>
        <v>#N/A</v>
      </c>
      <c r="BY202" s="46" t="e">
        <f t="shared" ca="1" si="170"/>
        <v>#N/A</v>
      </c>
      <c r="BZ202" s="46" t="e">
        <f t="shared" ca="1" si="159"/>
        <v>#N/A</v>
      </c>
      <c r="CA202" s="46" t="e">
        <f t="shared" ca="1" si="160"/>
        <v>#N/A</v>
      </c>
      <c r="CC202" s="50"/>
      <c r="CD202" s="50"/>
      <c r="CE202" s="50"/>
      <c r="CF202" s="50"/>
      <c r="CG202" s="50"/>
      <c r="CH202" s="50"/>
      <c r="CI202" s="50"/>
      <c r="CJ202" s="50"/>
      <c r="CO202" s="43"/>
      <c r="CP202" s="43"/>
      <c r="CQ202" s="43"/>
    </row>
    <row r="203" spans="1:95" x14ac:dyDescent="0.25">
      <c r="A203" s="43"/>
      <c r="C203" s="42"/>
      <c r="I203" s="42"/>
      <c r="J203" s="42"/>
      <c r="K203" s="42"/>
      <c r="O203" s="43"/>
      <c r="Q203" s="43"/>
      <c r="R203" s="42"/>
      <c r="V203" s="43"/>
      <c r="AC203" s="43"/>
      <c r="AD203" s="43"/>
      <c r="AF203" s="42"/>
      <c r="AG203" s="42"/>
      <c r="AH203" s="42"/>
      <c r="AI203" s="42"/>
      <c r="AJ203" s="42"/>
      <c r="AK203" s="42"/>
      <c r="AL203" s="42"/>
      <c r="AM203" s="42"/>
      <c r="AN203" s="43"/>
      <c r="AO203" s="43"/>
      <c r="AP203" s="43"/>
      <c r="AQ203" s="43"/>
      <c r="AR203" s="43"/>
      <c r="AS203" s="43"/>
      <c r="AT203" s="43"/>
      <c r="AU203" s="43"/>
      <c r="AV203" s="43"/>
      <c r="AW203" s="46"/>
      <c r="AX203" s="46"/>
      <c r="AY203" s="46">
        <v>198</v>
      </c>
      <c r="AZ203" s="46">
        <f t="shared" si="149"/>
        <v>0</v>
      </c>
      <c r="BA203" s="46" t="b">
        <f t="shared" si="150"/>
        <v>0</v>
      </c>
      <c r="BB203" s="46">
        <v>198</v>
      </c>
      <c r="BC203" s="46">
        <v>196</v>
      </c>
      <c r="BD203" s="46" t="e">
        <f t="shared" si="161"/>
        <v>#N/A</v>
      </c>
      <c r="BE203" s="46" t="e">
        <f t="shared" ca="1" si="162"/>
        <v>#N/A</v>
      </c>
      <c r="BF203" s="46" t="e">
        <f t="shared" ca="1" si="151"/>
        <v>#N/A</v>
      </c>
      <c r="BG203" s="46" t="e">
        <f t="shared" ca="1" si="152"/>
        <v>#N/A</v>
      </c>
      <c r="BH203" s="46">
        <v>196</v>
      </c>
      <c r="BI203" s="46" t="e">
        <f t="shared" si="163"/>
        <v>#N/A</v>
      </c>
      <c r="BJ203" s="46" t="e">
        <f t="shared" ca="1" si="164"/>
        <v>#N/A</v>
      </c>
      <c r="BK203" s="46" t="e">
        <f t="shared" ca="1" si="153"/>
        <v>#N/A</v>
      </c>
      <c r="BL203" s="46" t="e">
        <f t="shared" ca="1" si="154"/>
        <v>#N/A</v>
      </c>
      <c r="BM203" s="46">
        <v>196</v>
      </c>
      <c r="BN203" s="46" t="e">
        <f t="shared" si="165"/>
        <v>#N/A</v>
      </c>
      <c r="BO203" s="46" t="e">
        <f t="shared" ca="1" si="166"/>
        <v>#N/A</v>
      </c>
      <c r="BP203" s="46" t="e">
        <f t="shared" ca="1" si="155"/>
        <v>#N/A</v>
      </c>
      <c r="BQ203" s="46" t="e">
        <f t="shared" ca="1" si="156"/>
        <v>#N/A</v>
      </c>
      <c r="BR203" s="46">
        <v>196</v>
      </c>
      <c r="BS203" s="46" t="e">
        <f t="shared" si="167"/>
        <v>#N/A</v>
      </c>
      <c r="BT203" s="46" t="e">
        <f t="shared" ca="1" si="168"/>
        <v>#N/A</v>
      </c>
      <c r="BU203" s="46" t="e">
        <f t="shared" ca="1" si="157"/>
        <v>#N/A</v>
      </c>
      <c r="BV203" s="46" t="e">
        <f t="shared" ca="1" si="158"/>
        <v>#N/A</v>
      </c>
      <c r="BW203" s="46">
        <v>196</v>
      </c>
      <c r="BX203" s="46" t="e">
        <f t="shared" si="169"/>
        <v>#N/A</v>
      </c>
      <c r="BY203" s="46" t="e">
        <f t="shared" ca="1" si="170"/>
        <v>#N/A</v>
      </c>
      <c r="BZ203" s="46" t="e">
        <f t="shared" ca="1" si="159"/>
        <v>#N/A</v>
      </c>
      <c r="CA203" s="46" t="e">
        <f t="shared" ca="1" si="160"/>
        <v>#N/A</v>
      </c>
      <c r="CC203" s="50"/>
      <c r="CD203" s="50"/>
      <c r="CE203" s="50"/>
      <c r="CF203" s="50"/>
      <c r="CG203" s="50"/>
      <c r="CH203" s="50"/>
      <c r="CI203" s="50"/>
      <c r="CJ203" s="50"/>
      <c r="CO203" s="43"/>
      <c r="CP203" s="43"/>
      <c r="CQ203" s="43"/>
    </row>
    <row r="204" spans="1:95" x14ac:dyDescent="0.25">
      <c r="A204" s="43"/>
      <c r="C204" s="42"/>
      <c r="I204" s="42"/>
      <c r="J204" s="42"/>
      <c r="K204" s="42"/>
      <c r="O204" s="43"/>
      <c r="Q204" s="43"/>
      <c r="R204" s="42"/>
      <c r="V204" s="43"/>
      <c r="AC204" s="43"/>
      <c r="AD204" s="43"/>
      <c r="AF204" s="42"/>
      <c r="AG204" s="42"/>
      <c r="AH204" s="42"/>
      <c r="AI204" s="42"/>
      <c r="AJ204" s="42"/>
      <c r="AK204" s="42"/>
      <c r="AL204" s="42"/>
      <c r="AM204" s="42"/>
      <c r="AN204" s="43"/>
      <c r="AO204" s="43"/>
      <c r="AP204" s="43"/>
      <c r="AQ204" s="43"/>
      <c r="AR204" s="43"/>
      <c r="AS204" s="43"/>
      <c r="AT204" s="43"/>
      <c r="AU204" s="43"/>
      <c r="AV204" s="43"/>
      <c r="AW204" s="46"/>
      <c r="AX204" s="46"/>
      <c r="AY204" s="46">
        <v>199</v>
      </c>
      <c r="AZ204" s="46">
        <f t="shared" si="149"/>
        <v>0</v>
      </c>
      <c r="BA204" s="46" t="b">
        <f t="shared" si="150"/>
        <v>0</v>
      </c>
      <c r="BB204" s="46">
        <v>199</v>
      </c>
      <c r="BC204" s="46">
        <v>197</v>
      </c>
      <c r="BD204" s="46" t="e">
        <f t="shared" si="161"/>
        <v>#N/A</v>
      </c>
      <c r="BE204" s="46" t="e">
        <f t="shared" ca="1" si="162"/>
        <v>#N/A</v>
      </c>
      <c r="BF204" s="46" t="e">
        <f t="shared" ca="1" si="151"/>
        <v>#N/A</v>
      </c>
      <c r="BG204" s="46" t="e">
        <f t="shared" ca="1" si="152"/>
        <v>#N/A</v>
      </c>
      <c r="BH204" s="46">
        <v>197</v>
      </c>
      <c r="BI204" s="46" t="e">
        <f t="shared" si="163"/>
        <v>#N/A</v>
      </c>
      <c r="BJ204" s="46" t="e">
        <f t="shared" ca="1" si="164"/>
        <v>#N/A</v>
      </c>
      <c r="BK204" s="46" t="e">
        <f t="shared" ca="1" si="153"/>
        <v>#N/A</v>
      </c>
      <c r="BL204" s="46" t="e">
        <f t="shared" ca="1" si="154"/>
        <v>#N/A</v>
      </c>
      <c r="BM204" s="46">
        <v>197</v>
      </c>
      <c r="BN204" s="46" t="e">
        <f t="shared" si="165"/>
        <v>#N/A</v>
      </c>
      <c r="BO204" s="46" t="e">
        <f t="shared" ca="1" si="166"/>
        <v>#N/A</v>
      </c>
      <c r="BP204" s="46" t="e">
        <f t="shared" ca="1" si="155"/>
        <v>#N/A</v>
      </c>
      <c r="BQ204" s="46" t="e">
        <f t="shared" ca="1" si="156"/>
        <v>#N/A</v>
      </c>
      <c r="BR204" s="46">
        <v>197</v>
      </c>
      <c r="BS204" s="46" t="e">
        <f t="shared" si="167"/>
        <v>#N/A</v>
      </c>
      <c r="BT204" s="46" t="e">
        <f t="shared" ca="1" si="168"/>
        <v>#N/A</v>
      </c>
      <c r="BU204" s="46" t="e">
        <f t="shared" ca="1" si="157"/>
        <v>#N/A</v>
      </c>
      <c r="BV204" s="46" t="e">
        <f t="shared" ca="1" si="158"/>
        <v>#N/A</v>
      </c>
      <c r="BW204" s="46">
        <v>197</v>
      </c>
      <c r="BX204" s="46" t="e">
        <f t="shared" si="169"/>
        <v>#N/A</v>
      </c>
      <c r="BY204" s="46" t="e">
        <f t="shared" ca="1" si="170"/>
        <v>#N/A</v>
      </c>
      <c r="BZ204" s="46" t="e">
        <f t="shared" ca="1" si="159"/>
        <v>#N/A</v>
      </c>
      <c r="CA204" s="46" t="e">
        <f t="shared" ca="1" si="160"/>
        <v>#N/A</v>
      </c>
      <c r="CC204" s="50"/>
      <c r="CD204" s="50"/>
      <c r="CE204" s="50"/>
      <c r="CF204" s="50"/>
      <c r="CG204" s="50"/>
      <c r="CH204" s="50"/>
      <c r="CI204" s="50"/>
      <c r="CJ204" s="50"/>
      <c r="CO204" s="43"/>
      <c r="CP204" s="43"/>
      <c r="CQ204" s="43"/>
    </row>
    <row r="205" spans="1:95" x14ac:dyDescent="0.25">
      <c r="A205" s="43"/>
      <c r="C205" s="42"/>
      <c r="I205" s="42"/>
      <c r="J205" s="42"/>
      <c r="K205" s="42"/>
      <c r="O205" s="43"/>
      <c r="Q205" s="43"/>
      <c r="R205" s="42"/>
      <c r="V205" s="43"/>
      <c r="AC205" s="43"/>
      <c r="AD205" s="43"/>
      <c r="AF205" s="42"/>
      <c r="AG205" s="42"/>
      <c r="AH205" s="42"/>
      <c r="AI205" s="42"/>
      <c r="AJ205" s="42"/>
      <c r="AK205" s="42"/>
      <c r="AL205" s="42"/>
      <c r="AM205" s="42"/>
      <c r="AN205" s="43"/>
      <c r="AO205" s="43"/>
      <c r="AP205" s="43"/>
      <c r="AQ205" s="43"/>
      <c r="AR205" s="43"/>
      <c r="AS205" s="43"/>
      <c r="AT205" s="43"/>
      <c r="AU205" s="43"/>
      <c r="AV205" s="43"/>
      <c r="AW205" s="46"/>
      <c r="AX205" s="46"/>
      <c r="AY205" s="46">
        <v>200</v>
      </c>
      <c r="AZ205" s="46">
        <f t="shared" si="149"/>
        <v>0</v>
      </c>
      <c r="BA205" s="46" t="b">
        <f t="shared" si="150"/>
        <v>0</v>
      </c>
      <c r="BB205" s="46">
        <v>200</v>
      </c>
      <c r="BC205" s="46">
        <v>198</v>
      </c>
      <c r="BD205" s="46" t="e">
        <f t="shared" si="161"/>
        <v>#N/A</v>
      </c>
      <c r="BE205" s="46" t="e">
        <f t="shared" ca="1" si="162"/>
        <v>#N/A</v>
      </c>
      <c r="BF205" s="46" t="e">
        <f t="shared" ca="1" si="151"/>
        <v>#N/A</v>
      </c>
      <c r="BG205" s="46" t="e">
        <f t="shared" ca="1" si="152"/>
        <v>#N/A</v>
      </c>
      <c r="BH205" s="46">
        <v>198</v>
      </c>
      <c r="BI205" s="46" t="e">
        <f t="shared" si="163"/>
        <v>#N/A</v>
      </c>
      <c r="BJ205" s="46" t="e">
        <f t="shared" ca="1" si="164"/>
        <v>#N/A</v>
      </c>
      <c r="BK205" s="46" t="e">
        <f t="shared" ca="1" si="153"/>
        <v>#N/A</v>
      </c>
      <c r="BL205" s="46" t="e">
        <f t="shared" ca="1" si="154"/>
        <v>#N/A</v>
      </c>
      <c r="BM205" s="46">
        <v>198</v>
      </c>
      <c r="BN205" s="46" t="e">
        <f t="shared" si="165"/>
        <v>#N/A</v>
      </c>
      <c r="BO205" s="46" t="e">
        <f t="shared" ca="1" si="166"/>
        <v>#N/A</v>
      </c>
      <c r="BP205" s="46" t="e">
        <f t="shared" ca="1" si="155"/>
        <v>#N/A</v>
      </c>
      <c r="BQ205" s="46" t="e">
        <f t="shared" ca="1" si="156"/>
        <v>#N/A</v>
      </c>
      <c r="BR205" s="46">
        <v>198</v>
      </c>
      <c r="BS205" s="46" t="e">
        <f t="shared" si="167"/>
        <v>#N/A</v>
      </c>
      <c r="BT205" s="46" t="e">
        <f t="shared" ca="1" si="168"/>
        <v>#N/A</v>
      </c>
      <c r="BU205" s="46" t="e">
        <f t="shared" ca="1" si="157"/>
        <v>#N/A</v>
      </c>
      <c r="BV205" s="46" t="e">
        <f t="shared" ca="1" si="158"/>
        <v>#N/A</v>
      </c>
      <c r="BW205" s="46">
        <v>198</v>
      </c>
      <c r="BX205" s="46" t="e">
        <f t="shared" si="169"/>
        <v>#N/A</v>
      </c>
      <c r="BY205" s="46" t="e">
        <f t="shared" ca="1" si="170"/>
        <v>#N/A</v>
      </c>
      <c r="BZ205" s="46" t="e">
        <f t="shared" ca="1" si="159"/>
        <v>#N/A</v>
      </c>
      <c r="CA205" s="46" t="e">
        <f t="shared" ca="1" si="160"/>
        <v>#N/A</v>
      </c>
      <c r="CC205" s="50"/>
      <c r="CD205" s="50"/>
      <c r="CE205" s="50"/>
      <c r="CF205" s="50"/>
      <c r="CG205" s="50"/>
      <c r="CH205" s="50"/>
      <c r="CI205" s="50"/>
      <c r="CJ205" s="50"/>
      <c r="CO205" s="43"/>
      <c r="CP205" s="43"/>
      <c r="CQ205" s="43"/>
    </row>
    <row r="206" spans="1:95" x14ac:dyDescent="0.25">
      <c r="A206" s="43"/>
      <c r="C206" s="42"/>
      <c r="I206" s="42"/>
      <c r="J206" s="42"/>
      <c r="K206" s="42"/>
      <c r="O206" s="43"/>
      <c r="Q206" s="43"/>
      <c r="R206" s="42"/>
      <c r="V206" s="43"/>
      <c r="AC206" s="43"/>
      <c r="AD206" s="43"/>
      <c r="AF206" s="42"/>
      <c r="AG206" s="42"/>
      <c r="AH206" s="42"/>
      <c r="AI206" s="42"/>
      <c r="AJ206" s="42"/>
      <c r="AK206" s="42"/>
      <c r="AL206" s="42"/>
      <c r="AM206" s="42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BC206" s="50"/>
      <c r="BD206" s="50"/>
      <c r="BE206" s="50"/>
      <c r="BF206" s="50"/>
      <c r="BG206" s="50"/>
      <c r="BH206" s="43"/>
      <c r="BI206" s="43"/>
      <c r="BJ206" s="43"/>
      <c r="BK206" s="43"/>
      <c r="BL206" s="43"/>
      <c r="CC206" s="50"/>
      <c r="CD206" s="50"/>
      <c r="CE206" s="50"/>
      <c r="CF206" s="50"/>
      <c r="CG206" s="50"/>
      <c r="CH206" s="50"/>
      <c r="CI206" s="50"/>
      <c r="CJ206" s="50"/>
      <c r="CO206" s="43"/>
      <c r="CP206" s="43"/>
      <c r="CQ206" s="43"/>
    </row>
    <row r="207" spans="1:95" x14ac:dyDescent="0.25">
      <c r="A207" s="43"/>
      <c r="C207" s="42"/>
      <c r="I207" s="42"/>
      <c r="J207" s="42"/>
      <c r="K207" s="42"/>
      <c r="O207" s="43"/>
      <c r="Q207" s="43"/>
      <c r="R207" s="42"/>
      <c r="V207" s="43"/>
      <c r="AC207" s="43"/>
      <c r="AD207" s="43"/>
      <c r="AF207" s="42"/>
      <c r="AG207" s="42"/>
      <c r="AH207" s="42"/>
      <c r="AI207" s="42"/>
      <c r="AJ207" s="42"/>
      <c r="AK207" s="42"/>
      <c r="AL207" s="42"/>
      <c r="AM207" s="42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BC207" s="50"/>
      <c r="BD207" s="50"/>
      <c r="BE207" s="50"/>
      <c r="BF207" s="50"/>
      <c r="BG207" s="50"/>
      <c r="BH207" s="43"/>
      <c r="BI207" s="43"/>
      <c r="BJ207" s="43"/>
      <c r="BK207" s="43"/>
      <c r="BL207" s="43"/>
      <c r="CC207" s="50"/>
      <c r="CD207" s="50"/>
      <c r="CE207" s="50"/>
      <c r="CF207" s="50"/>
      <c r="CG207" s="50"/>
      <c r="CH207" s="50"/>
      <c r="CI207" s="50"/>
      <c r="CJ207" s="50"/>
      <c r="CO207" s="43"/>
      <c r="CP207" s="43"/>
      <c r="CQ207" s="43"/>
    </row>
    <row r="208" spans="1:95" x14ac:dyDescent="0.25">
      <c r="A208" s="43"/>
      <c r="C208" s="42"/>
      <c r="I208" s="42"/>
      <c r="J208" s="42"/>
      <c r="K208" s="42"/>
      <c r="O208" s="43"/>
      <c r="Q208" s="43"/>
      <c r="R208" s="42"/>
      <c r="V208" s="43"/>
      <c r="AC208" s="43"/>
      <c r="AD208" s="43"/>
      <c r="AF208" s="42"/>
      <c r="AG208" s="42"/>
      <c r="AH208" s="42"/>
      <c r="AI208" s="42"/>
      <c r="AJ208" s="42"/>
      <c r="AK208" s="42"/>
      <c r="AL208" s="42"/>
      <c r="AM208" s="42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BC208" s="50"/>
      <c r="BD208" s="50"/>
      <c r="BE208" s="50"/>
      <c r="BF208" s="50"/>
      <c r="BG208" s="50"/>
      <c r="BH208" s="43"/>
      <c r="BI208" s="43"/>
      <c r="BJ208" s="43"/>
      <c r="BK208" s="43"/>
      <c r="BL208" s="43"/>
      <c r="CC208" s="50"/>
      <c r="CD208" s="50"/>
      <c r="CE208" s="50"/>
      <c r="CF208" s="50"/>
      <c r="CG208" s="50"/>
      <c r="CH208" s="50"/>
      <c r="CI208" s="50"/>
      <c r="CJ208" s="50"/>
      <c r="CO208" s="43"/>
      <c r="CP208" s="43"/>
      <c r="CQ208" s="43"/>
    </row>
    <row r="209" spans="1:95" x14ac:dyDescent="0.25">
      <c r="A209" s="43"/>
      <c r="C209" s="42"/>
      <c r="I209" s="42"/>
      <c r="J209" s="42"/>
      <c r="K209" s="42"/>
      <c r="O209" s="43"/>
      <c r="Q209" s="43"/>
      <c r="R209" s="42"/>
      <c r="V209" s="43"/>
      <c r="AC209" s="43"/>
      <c r="AD209" s="43"/>
      <c r="AF209" s="42"/>
      <c r="AG209" s="42"/>
      <c r="AH209" s="42"/>
      <c r="AI209" s="42"/>
      <c r="AJ209" s="42"/>
      <c r="AK209" s="42"/>
      <c r="AL209" s="42"/>
      <c r="AM209" s="42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BC209" s="50"/>
      <c r="BD209" s="50"/>
      <c r="BE209" s="50"/>
      <c r="BF209" s="50"/>
      <c r="BG209" s="50"/>
      <c r="BH209" s="43"/>
      <c r="BI209" s="43"/>
      <c r="BJ209" s="43"/>
      <c r="BK209" s="43"/>
      <c r="BL209" s="43"/>
      <c r="CC209" s="50"/>
      <c r="CD209" s="50"/>
      <c r="CE209" s="50"/>
      <c r="CF209" s="50"/>
      <c r="CG209" s="50"/>
      <c r="CH209" s="50"/>
      <c r="CI209" s="50"/>
      <c r="CJ209" s="50"/>
      <c r="CO209" s="43"/>
      <c r="CP209" s="43"/>
      <c r="CQ209" s="43"/>
    </row>
    <row r="210" spans="1:95" x14ac:dyDescent="0.25">
      <c r="A210" s="43"/>
      <c r="C210" s="42"/>
      <c r="I210" s="42"/>
      <c r="J210" s="42"/>
      <c r="K210" s="42"/>
      <c r="O210" s="43"/>
      <c r="Q210" s="43"/>
      <c r="R210" s="42"/>
      <c r="V210" s="43"/>
      <c r="AC210" s="43"/>
      <c r="AD210" s="43"/>
      <c r="AF210" s="42"/>
      <c r="AG210" s="42"/>
      <c r="AH210" s="42"/>
      <c r="AI210" s="42"/>
      <c r="AJ210" s="42"/>
      <c r="AK210" s="42"/>
      <c r="AL210" s="42"/>
      <c r="AM210" s="42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BC210" s="50"/>
      <c r="BD210" s="50"/>
      <c r="BE210" s="50"/>
      <c r="BF210" s="50"/>
      <c r="BG210" s="50"/>
      <c r="BH210" s="43"/>
      <c r="BI210" s="43"/>
      <c r="BJ210" s="43"/>
      <c r="BK210" s="43"/>
      <c r="BL210" s="43"/>
      <c r="CC210" s="50"/>
      <c r="CD210" s="50"/>
      <c r="CE210" s="50"/>
      <c r="CF210" s="50"/>
      <c r="CG210" s="50"/>
      <c r="CH210" s="50"/>
      <c r="CI210" s="50"/>
      <c r="CJ210" s="50"/>
      <c r="CO210" s="43"/>
      <c r="CP210" s="43"/>
      <c r="CQ210" s="43"/>
    </row>
    <row r="211" spans="1:95" x14ac:dyDescent="0.25">
      <c r="A211" s="43"/>
      <c r="C211" s="42"/>
      <c r="I211" s="42"/>
      <c r="J211" s="42"/>
      <c r="K211" s="42"/>
      <c r="O211" s="43"/>
      <c r="Q211" s="43"/>
      <c r="R211" s="42"/>
      <c r="V211" s="43"/>
      <c r="AC211" s="43"/>
      <c r="AD211" s="43"/>
      <c r="AF211" s="42"/>
      <c r="AG211" s="42"/>
      <c r="AH211" s="42"/>
      <c r="AI211" s="42"/>
      <c r="AJ211" s="42"/>
      <c r="AK211" s="42"/>
      <c r="AL211" s="42"/>
      <c r="AM211" s="42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BC211" s="50"/>
      <c r="BD211" s="50"/>
      <c r="BE211" s="50"/>
      <c r="BF211" s="50"/>
      <c r="BG211" s="50"/>
      <c r="BH211" s="43"/>
      <c r="BI211" s="43"/>
      <c r="BJ211" s="43"/>
      <c r="BK211" s="43"/>
      <c r="BL211" s="43"/>
      <c r="CC211" s="50"/>
      <c r="CD211" s="50"/>
      <c r="CE211" s="50"/>
      <c r="CF211" s="50"/>
      <c r="CG211" s="50"/>
      <c r="CH211" s="50"/>
      <c r="CI211" s="50"/>
      <c r="CJ211" s="50"/>
      <c r="CO211" s="43"/>
      <c r="CP211" s="43"/>
      <c r="CQ211" s="43"/>
    </row>
    <row r="212" spans="1:95" x14ac:dyDescent="0.25">
      <c r="A212" s="43"/>
      <c r="C212" s="42"/>
      <c r="I212" s="42"/>
      <c r="J212" s="42"/>
      <c r="K212" s="42"/>
      <c r="O212" s="43"/>
      <c r="Q212" s="43"/>
      <c r="R212" s="42"/>
      <c r="V212" s="43"/>
      <c r="AC212" s="43"/>
      <c r="AD212" s="43"/>
      <c r="AF212" s="42"/>
      <c r="AG212" s="42"/>
      <c r="AH212" s="42"/>
      <c r="AI212" s="42"/>
      <c r="AJ212" s="42"/>
      <c r="AK212" s="42"/>
      <c r="AL212" s="42"/>
      <c r="AM212" s="42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BC212" s="50"/>
      <c r="BD212" s="50"/>
      <c r="BE212" s="50"/>
      <c r="BF212" s="50"/>
      <c r="BG212" s="50"/>
      <c r="BH212" s="43"/>
      <c r="BI212" s="43"/>
      <c r="BJ212" s="43"/>
      <c r="BK212" s="43"/>
      <c r="BL212" s="43"/>
      <c r="CC212" s="50"/>
      <c r="CD212" s="50"/>
      <c r="CE212" s="50"/>
      <c r="CF212" s="50"/>
      <c r="CG212" s="50"/>
      <c r="CH212" s="50"/>
      <c r="CI212" s="50"/>
      <c r="CJ212" s="50"/>
      <c r="CO212" s="43"/>
      <c r="CP212" s="43"/>
      <c r="CQ212" s="43"/>
    </row>
    <row r="213" spans="1:95" x14ac:dyDescent="0.25">
      <c r="A213" s="43"/>
      <c r="C213" s="42"/>
      <c r="I213" s="42"/>
      <c r="J213" s="42"/>
      <c r="K213" s="42"/>
      <c r="O213" s="43"/>
      <c r="Q213" s="43"/>
      <c r="R213" s="42"/>
      <c r="V213" s="43"/>
      <c r="AC213" s="43"/>
      <c r="AD213" s="43"/>
      <c r="AF213" s="42"/>
      <c r="AG213" s="42"/>
      <c r="AH213" s="42"/>
      <c r="AI213" s="42"/>
      <c r="AJ213" s="42"/>
      <c r="AK213" s="42"/>
      <c r="AL213" s="42"/>
      <c r="AM213" s="42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BC213" s="50"/>
      <c r="BD213" s="50"/>
      <c r="BE213" s="50"/>
      <c r="BF213" s="50"/>
      <c r="BG213" s="50"/>
      <c r="BH213" s="43"/>
      <c r="BI213" s="43"/>
      <c r="BJ213" s="43"/>
      <c r="BK213" s="43"/>
      <c r="BL213" s="43"/>
      <c r="CC213" s="50"/>
      <c r="CD213" s="50"/>
      <c r="CE213" s="50"/>
      <c r="CF213" s="50"/>
      <c r="CG213" s="50"/>
      <c r="CH213" s="50"/>
      <c r="CI213" s="50"/>
      <c r="CJ213" s="50"/>
      <c r="CO213" s="43"/>
      <c r="CP213" s="43"/>
      <c r="CQ213" s="43"/>
    </row>
    <row r="214" spans="1:95" x14ac:dyDescent="0.25">
      <c r="A214" s="43"/>
      <c r="C214" s="42"/>
      <c r="I214" s="42"/>
      <c r="J214" s="42"/>
      <c r="K214" s="42"/>
      <c r="O214" s="43"/>
      <c r="Q214" s="43"/>
      <c r="R214" s="42"/>
      <c r="V214" s="43"/>
      <c r="AC214" s="43"/>
      <c r="AD214" s="43"/>
      <c r="AF214" s="42"/>
      <c r="AG214" s="42"/>
      <c r="AH214" s="42"/>
      <c r="AI214" s="42"/>
      <c r="AJ214" s="42"/>
      <c r="AK214" s="42"/>
      <c r="AL214" s="42"/>
      <c r="AM214" s="42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BC214" s="50"/>
      <c r="BD214" s="50"/>
      <c r="BE214" s="50"/>
      <c r="BF214" s="50"/>
      <c r="BG214" s="50"/>
      <c r="BH214" s="43"/>
      <c r="BI214" s="43"/>
      <c r="BJ214" s="43"/>
      <c r="BK214" s="43"/>
      <c r="BL214" s="43"/>
      <c r="CC214" s="50"/>
      <c r="CD214" s="50"/>
      <c r="CE214" s="50"/>
      <c r="CF214" s="50"/>
      <c r="CG214" s="50"/>
      <c r="CH214" s="50"/>
      <c r="CI214" s="50"/>
      <c r="CJ214" s="50"/>
      <c r="CO214" s="43"/>
      <c r="CP214" s="43"/>
      <c r="CQ214" s="43"/>
    </row>
    <row r="215" spans="1:95" x14ac:dyDescent="0.25">
      <c r="A215" s="43"/>
      <c r="C215" s="42"/>
      <c r="I215" s="42"/>
      <c r="J215" s="42"/>
      <c r="K215" s="42"/>
      <c r="O215" s="43"/>
      <c r="Q215" s="43"/>
      <c r="R215" s="42"/>
      <c r="V215" s="43"/>
      <c r="AC215" s="43"/>
      <c r="AD215" s="43"/>
      <c r="AF215" s="42"/>
      <c r="AG215" s="42"/>
      <c r="AH215" s="42"/>
      <c r="AI215" s="42"/>
      <c r="AJ215" s="42"/>
      <c r="AK215" s="42"/>
      <c r="AL215" s="42"/>
      <c r="AM215" s="42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BC215" s="50"/>
      <c r="BD215" s="50"/>
      <c r="BE215" s="50"/>
      <c r="BF215" s="50"/>
      <c r="BG215" s="50"/>
      <c r="BH215" s="43"/>
      <c r="BI215" s="43"/>
      <c r="BJ215" s="43"/>
      <c r="BK215" s="43"/>
      <c r="BL215" s="43"/>
      <c r="CC215" s="50"/>
      <c r="CD215" s="50"/>
      <c r="CE215" s="50"/>
      <c r="CF215" s="50"/>
      <c r="CG215" s="50"/>
      <c r="CH215" s="50"/>
      <c r="CI215" s="50"/>
      <c r="CJ215" s="50"/>
      <c r="CO215" s="43"/>
      <c r="CP215" s="43"/>
      <c r="CQ215" s="43"/>
    </row>
    <row r="216" spans="1:95" x14ac:dyDescent="0.25">
      <c r="A216" s="43"/>
      <c r="C216" s="42"/>
      <c r="I216" s="42"/>
      <c r="J216" s="42"/>
      <c r="K216" s="42"/>
      <c r="O216" s="43"/>
      <c r="Q216" s="43"/>
      <c r="R216" s="42"/>
      <c r="V216" s="43"/>
      <c r="AC216" s="43"/>
      <c r="AD216" s="43"/>
      <c r="AF216" s="42"/>
      <c r="AG216" s="42"/>
      <c r="AH216" s="42"/>
      <c r="AI216" s="42"/>
      <c r="AJ216" s="42"/>
      <c r="AK216" s="42"/>
      <c r="AL216" s="42"/>
      <c r="AM216" s="42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BC216" s="50"/>
      <c r="BD216" s="50"/>
      <c r="BE216" s="50"/>
      <c r="BF216" s="50"/>
      <c r="BG216" s="50"/>
      <c r="BH216" s="43"/>
      <c r="BI216" s="43"/>
      <c r="BJ216" s="43"/>
      <c r="BK216" s="43"/>
      <c r="BL216" s="43"/>
      <c r="CC216" s="50"/>
      <c r="CD216" s="50"/>
      <c r="CE216" s="50"/>
      <c r="CF216" s="50"/>
      <c r="CG216" s="50"/>
      <c r="CH216" s="50"/>
      <c r="CI216" s="50"/>
      <c r="CJ216" s="50"/>
      <c r="CO216" s="43"/>
      <c r="CP216" s="43"/>
      <c r="CQ216" s="43"/>
    </row>
    <row r="217" spans="1:95" x14ac:dyDescent="0.25">
      <c r="A217" s="43"/>
      <c r="C217" s="42"/>
      <c r="I217" s="42"/>
      <c r="J217" s="42"/>
      <c r="K217" s="42"/>
      <c r="O217" s="43"/>
      <c r="Q217" s="43"/>
      <c r="R217" s="42"/>
      <c r="V217" s="43"/>
      <c r="AC217" s="43"/>
      <c r="AD217" s="43"/>
      <c r="AF217" s="42"/>
      <c r="AG217" s="42"/>
      <c r="AH217" s="42"/>
      <c r="AI217" s="42"/>
      <c r="AJ217" s="42"/>
      <c r="AK217" s="42"/>
      <c r="AL217" s="42"/>
      <c r="AM217" s="42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BC217" s="50"/>
      <c r="BD217" s="50"/>
      <c r="BE217" s="50"/>
      <c r="BF217" s="50"/>
      <c r="BG217" s="50"/>
      <c r="BH217" s="43"/>
      <c r="BI217" s="43"/>
      <c r="BJ217" s="43"/>
      <c r="BK217" s="43"/>
      <c r="BL217" s="43"/>
      <c r="CC217" s="50"/>
      <c r="CD217" s="50"/>
      <c r="CE217" s="50"/>
      <c r="CF217" s="50"/>
      <c r="CG217" s="50"/>
      <c r="CH217" s="50"/>
      <c r="CI217" s="50"/>
      <c r="CJ217" s="50"/>
      <c r="CO217" s="43"/>
      <c r="CP217" s="43"/>
      <c r="CQ217" s="43"/>
    </row>
    <row r="218" spans="1:95" x14ac:dyDescent="0.25">
      <c r="A218" s="43"/>
      <c r="C218" s="42"/>
      <c r="I218" s="42"/>
      <c r="J218" s="42"/>
      <c r="K218" s="42"/>
      <c r="O218" s="43"/>
      <c r="Q218" s="43"/>
      <c r="R218" s="42"/>
      <c r="V218" s="43"/>
      <c r="AC218" s="43"/>
      <c r="AD218" s="43"/>
      <c r="AF218" s="42"/>
      <c r="AG218" s="42"/>
      <c r="AH218" s="42"/>
      <c r="AI218" s="42"/>
      <c r="AJ218" s="42"/>
      <c r="AK218" s="42"/>
      <c r="AL218" s="42"/>
      <c r="AM218" s="42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BC218" s="50"/>
      <c r="BD218" s="50"/>
      <c r="BE218" s="50"/>
      <c r="BF218" s="50"/>
      <c r="BG218" s="50"/>
      <c r="BH218" s="43"/>
      <c r="BI218" s="43"/>
      <c r="BJ218" s="43"/>
      <c r="BK218" s="43"/>
      <c r="BL218" s="43"/>
      <c r="CC218" s="50"/>
      <c r="CD218" s="50"/>
      <c r="CE218" s="50"/>
      <c r="CF218" s="50"/>
      <c r="CG218" s="50"/>
      <c r="CH218" s="50"/>
      <c r="CI218" s="50"/>
      <c r="CJ218" s="50"/>
      <c r="CO218" s="43"/>
      <c r="CP218" s="43"/>
      <c r="CQ218" s="43"/>
    </row>
    <row r="219" spans="1:95" x14ac:dyDescent="0.25">
      <c r="A219" s="43"/>
      <c r="C219" s="42"/>
      <c r="I219" s="42"/>
      <c r="J219" s="42"/>
      <c r="K219" s="42"/>
      <c r="O219" s="43"/>
      <c r="Q219" s="43"/>
      <c r="R219" s="42"/>
      <c r="V219" s="43"/>
      <c r="AC219" s="43"/>
      <c r="AD219" s="43"/>
      <c r="AF219" s="42"/>
      <c r="AG219" s="42"/>
      <c r="AH219" s="42"/>
      <c r="AI219" s="42"/>
      <c r="AJ219" s="42"/>
      <c r="AK219" s="42"/>
      <c r="AL219" s="42"/>
      <c r="AM219" s="42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BC219" s="50"/>
      <c r="BD219" s="50"/>
      <c r="BE219" s="50"/>
      <c r="BF219" s="50"/>
      <c r="BG219" s="50"/>
      <c r="BH219" s="43"/>
      <c r="BI219" s="43"/>
      <c r="BJ219" s="43"/>
      <c r="BK219" s="43"/>
      <c r="BL219" s="43"/>
      <c r="CC219" s="50"/>
      <c r="CD219" s="50"/>
      <c r="CE219" s="50"/>
      <c r="CF219" s="50"/>
      <c r="CG219" s="50"/>
      <c r="CH219" s="50"/>
      <c r="CI219" s="50"/>
      <c r="CJ219" s="50"/>
      <c r="CO219" s="43"/>
      <c r="CP219" s="43"/>
      <c r="CQ219" s="43"/>
    </row>
    <row r="220" spans="1:95" x14ac:dyDescent="0.25">
      <c r="A220" s="43"/>
      <c r="C220" s="42"/>
      <c r="I220" s="42"/>
      <c r="J220" s="42"/>
      <c r="K220" s="42"/>
      <c r="O220" s="43"/>
      <c r="Q220" s="43"/>
      <c r="R220" s="42"/>
      <c r="V220" s="43"/>
      <c r="AC220" s="43"/>
      <c r="AD220" s="43"/>
      <c r="AF220" s="42"/>
      <c r="AG220" s="42"/>
      <c r="AH220" s="42"/>
      <c r="AI220" s="42"/>
      <c r="AJ220" s="42"/>
      <c r="AK220" s="42"/>
      <c r="AL220" s="42"/>
      <c r="AM220" s="42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BC220" s="50"/>
      <c r="BD220" s="50"/>
      <c r="BE220" s="50"/>
      <c r="BF220" s="50"/>
      <c r="BG220" s="50"/>
      <c r="BH220" s="43"/>
      <c r="BI220" s="43"/>
      <c r="BJ220" s="43"/>
      <c r="BK220" s="43"/>
      <c r="BL220" s="43"/>
      <c r="CC220" s="50"/>
      <c r="CD220" s="50"/>
      <c r="CE220" s="50"/>
      <c r="CF220" s="50"/>
      <c r="CG220" s="50"/>
      <c r="CH220" s="50"/>
      <c r="CI220" s="50"/>
      <c r="CJ220" s="50"/>
      <c r="CO220" s="43"/>
      <c r="CP220" s="43"/>
      <c r="CQ220" s="43"/>
    </row>
    <row r="221" spans="1:95" x14ac:dyDescent="0.25">
      <c r="A221" s="43"/>
      <c r="C221" s="42"/>
      <c r="I221" s="42"/>
      <c r="J221" s="42"/>
      <c r="K221" s="42"/>
      <c r="O221" s="43"/>
      <c r="Q221" s="43"/>
      <c r="R221" s="42"/>
      <c r="V221" s="43"/>
      <c r="AC221" s="43"/>
      <c r="AD221" s="43"/>
      <c r="AF221" s="42"/>
      <c r="AG221" s="42"/>
      <c r="AH221" s="42"/>
      <c r="AI221" s="42"/>
      <c r="AJ221" s="42"/>
      <c r="AK221" s="42"/>
      <c r="AL221" s="42"/>
      <c r="AM221" s="42"/>
      <c r="AN221" s="43"/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BC221" s="50"/>
      <c r="BD221" s="50"/>
      <c r="BE221" s="50"/>
      <c r="BF221" s="50"/>
      <c r="BG221" s="50"/>
      <c r="BH221" s="43"/>
      <c r="BI221" s="43"/>
      <c r="BJ221" s="43"/>
      <c r="BK221" s="43"/>
      <c r="BL221" s="43"/>
      <c r="CC221" s="50"/>
      <c r="CD221" s="50"/>
      <c r="CE221" s="50"/>
      <c r="CF221" s="50"/>
      <c r="CG221" s="50"/>
      <c r="CH221" s="50"/>
      <c r="CI221" s="50"/>
      <c r="CJ221" s="50"/>
      <c r="CO221" s="43"/>
      <c r="CP221" s="43"/>
      <c r="CQ221" s="43"/>
    </row>
    <row r="222" spans="1:95" x14ac:dyDescent="0.25">
      <c r="A222" s="43"/>
      <c r="C222" s="42"/>
      <c r="I222" s="42"/>
      <c r="J222" s="42"/>
      <c r="K222" s="42"/>
      <c r="O222" s="43"/>
      <c r="Q222" s="43"/>
      <c r="R222" s="42"/>
      <c r="V222" s="43"/>
      <c r="AC222" s="43"/>
      <c r="AD222" s="43"/>
      <c r="AF222" s="42"/>
      <c r="AG222" s="42"/>
      <c r="AH222" s="42"/>
      <c r="AI222" s="42"/>
      <c r="AJ222" s="42"/>
      <c r="AK222" s="42"/>
      <c r="AL222" s="42"/>
      <c r="AM222" s="42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BC222" s="50"/>
      <c r="BD222" s="50"/>
      <c r="BE222" s="50"/>
      <c r="BF222" s="50"/>
      <c r="BG222" s="50"/>
      <c r="BH222" s="43"/>
      <c r="BI222" s="43"/>
      <c r="BJ222" s="43"/>
      <c r="BK222" s="43"/>
      <c r="BL222" s="43"/>
      <c r="CC222" s="50"/>
      <c r="CD222" s="50"/>
      <c r="CE222" s="50"/>
      <c r="CF222" s="50"/>
      <c r="CG222" s="50"/>
      <c r="CH222" s="50"/>
      <c r="CI222" s="50"/>
      <c r="CJ222" s="50"/>
      <c r="CO222" s="43"/>
      <c r="CP222" s="43"/>
      <c r="CQ222" s="43"/>
    </row>
    <row r="223" spans="1:95" x14ac:dyDescent="0.25">
      <c r="A223" s="43"/>
      <c r="C223" s="42"/>
      <c r="I223" s="42"/>
      <c r="J223" s="42"/>
      <c r="K223" s="42"/>
      <c r="O223" s="43"/>
      <c r="Q223" s="43"/>
      <c r="R223" s="42"/>
      <c r="V223" s="43"/>
      <c r="AC223" s="43"/>
      <c r="AD223" s="43"/>
      <c r="AF223" s="42"/>
      <c r="AG223" s="42"/>
      <c r="AH223" s="42"/>
      <c r="AI223" s="42"/>
      <c r="AJ223" s="42"/>
      <c r="AK223" s="42"/>
      <c r="AL223" s="42"/>
      <c r="AM223" s="42"/>
      <c r="AN223" s="43"/>
      <c r="AO223" s="43"/>
      <c r="AP223" s="43"/>
      <c r="AQ223" s="43"/>
      <c r="AR223" s="43"/>
      <c r="AS223" s="43"/>
      <c r="AT223" s="43"/>
      <c r="AU223" s="43"/>
      <c r="AV223" s="43"/>
      <c r="AW223" s="43"/>
      <c r="AX223" s="43"/>
      <c r="BC223" s="50"/>
      <c r="BD223" s="50"/>
      <c r="BE223" s="50"/>
      <c r="BF223" s="50"/>
      <c r="BG223" s="50"/>
      <c r="BH223" s="43"/>
      <c r="BI223" s="43"/>
      <c r="BJ223" s="43"/>
      <c r="BK223" s="43"/>
      <c r="BL223" s="43"/>
      <c r="CC223" s="50"/>
      <c r="CD223" s="50"/>
      <c r="CE223" s="50"/>
      <c r="CF223" s="50"/>
      <c r="CG223" s="50"/>
      <c r="CH223" s="50"/>
      <c r="CI223" s="50"/>
      <c r="CJ223" s="50"/>
      <c r="CO223" s="43"/>
      <c r="CP223" s="43"/>
      <c r="CQ223" s="43"/>
    </row>
    <row r="224" spans="1:95" x14ac:dyDescent="0.25">
      <c r="A224" s="43"/>
      <c r="C224" s="42"/>
      <c r="I224" s="42"/>
      <c r="J224" s="42"/>
      <c r="K224" s="42"/>
      <c r="O224" s="43"/>
      <c r="Q224" s="43"/>
      <c r="R224" s="42"/>
      <c r="V224" s="43"/>
      <c r="AC224" s="43"/>
      <c r="AD224" s="43"/>
      <c r="AF224" s="42"/>
      <c r="AG224" s="42"/>
      <c r="AH224" s="42"/>
      <c r="AI224" s="42"/>
      <c r="AJ224" s="42"/>
      <c r="AK224" s="42"/>
      <c r="AL224" s="42"/>
      <c r="AM224" s="42"/>
      <c r="AN224" s="43"/>
      <c r="AO224" s="43"/>
      <c r="AP224" s="43"/>
      <c r="AQ224" s="43"/>
      <c r="AR224" s="43"/>
      <c r="AS224" s="43"/>
      <c r="AT224" s="43"/>
      <c r="AU224" s="43"/>
      <c r="AV224" s="43"/>
      <c r="AW224" s="43"/>
      <c r="AX224" s="43"/>
      <c r="BC224" s="50"/>
      <c r="BD224" s="50"/>
      <c r="BE224" s="50"/>
      <c r="BF224" s="50"/>
      <c r="BG224" s="50"/>
      <c r="BH224" s="43"/>
      <c r="BI224" s="43"/>
      <c r="BJ224" s="43"/>
      <c r="BK224" s="43"/>
      <c r="BL224" s="43"/>
      <c r="CC224" s="50"/>
      <c r="CD224" s="50"/>
      <c r="CE224" s="50"/>
      <c r="CF224" s="50"/>
      <c r="CG224" s="50"/>
      <c r="CH224" s="50"/>
      <c r="CI224" s="50"/>
      <c r="CJ224" s="50"/>
      <c r="CO224" s="43"/>
      <c r="CP224" s="43"/>
      <c r="CQ224" s="43"/>
    </row>
    <row r="225" spans="1:95" x14ac:dyDescent="0.25">
      <c r="A225" s="43"/>
      <c r="C225" s="42"/>
      <c r="I225" s="42"/>
      <c r="J225" s="42"/>
      <c r="K225" s="42"/>
      <c r="O225" s="43"/>
      <c r="Q225" s="43"/>
      <c r="R225" s="42"/>
      <c r="V225" s="43"/>
      <c r="AC225" s="43"/>
      <c r="AD225" s="43"/>
      <c r="AF225" s="42"/>
      <c r="AG225" s="42"/>
      <c r="AH225" s="42"/>
      <c r="AI225" s="42"/>
      <c r="AJ225" s="42"/>
      <c r="AK225" s="42"/>
      <c r="AL225" s="42"/>
      <c r="AM225" s="42"/>
      <c r="AN225" s="43"/>
      <c r="AO225" s="43"/>
      <c r="AP225" s="43"/>
      <c r="AQ225" s="43"/>
      <c r="AR225" s="43"/>
      <c r="AS225" s="43"/>
      <c r="AT225" s="43"/>
      <c r="AU225" s="43"/>
      <c r="AV225" s="43"/>
      <c r="AW225" s="43"/>
      <c r="AX225" s="43"/>
      <c r="BC225" s="50"/>
      <c r="BD225" s="50"/>
      <c r="BE225" s="50"/>
      <c r="BF225" s="50"/>
      <c r="BG225" s="50"/>
      <c r="BH225" s="43"/>
      <c r="BI225" s="43"/>
      <c r="BJ225" s="43"/>
      <c r="BK225" s="43"/>
      <c r="BL225" s="43"/>
      <c r="CC225" s="50"/>
      <c r="CD225" s="50"/>
      <c r="CE225" s="50"/>
      <c r="CF225" s="50"/>
      <c r="CG225" s="50"/>
      <c r="CH225" s="50"/>
      <c r="CI225" s="50"/>
      <c r="CJ225" s="50"/>
      <c r="CO225" s="43"/>
      <c r="CP225" s="43"/>
      <c r="CQ225" s="43"/>
    </row>
    <row r="226" spans="1:95" x14ac:dyDescent="0.25">
      <c r="A226" s="43"/>
      <c r="C226" s="42"/>
      <c r="I226" s="42"/>
      <c r="J226" s="42"/>
      <c r="K226" s="42"/>
      <c r="O226" s="43"/>
      <c r="Q226" s="43"/>
      <c r="R226" s="42"/>
      <c r="V226" s="43"/>
      <c r="AC226" s="43"/>
      <c r="AD226" s="43"/>
      <c r="AF226" s="42"/>
      <c r="AG226" s="42"/>
      <c r="AH226" s="42"/>
      <c r="AI226" s="42"/>
      <c r="AJ226" s="42"/>
      <c r="AK226" s="42"/>
      <c r="AL226" s="42"/>
      <c r="AM226" s="42"/>
      <c r="AN226" s="43"/>
      <c r="AO226" s="43"/>
      <c r="AP226" s="43"/>
      <c r="AQ226" s="43"/>
      <c r="AR226" s="43"/>
      <c r="AS226" s="43"/>
      <c r="AT226" s="43"/>
      <c r="AU226" s="43"/>
      <c r="AV226" s="43"/>
      <c r="AW226" s="43"/>
      <c r="AX226" s="43"/>
      <c r="BC226" s="50"/>
      <c r="BD226" s="50"/>
      <c r="BE226" s="50"/>
      <c r="BF226" s="50"/>
      <c r="BG226" s="50"/>
      <c r="BH226" s="43"/>
      <c r="BI226" s="43"/>
      <c r="BJ226" s="43"/>
      <c r="BK226" s="43"/>
      <c r="BL226" s="43"/>
      <c r="CC226" s="50"/>
      <c r="CD226" s="50"/>
      <c r="CE226" s="50"/>
      <c r="CF226" s="50"/>
      <c r="CG226" s="50"/>
      <c r="CH226" s="50"/>
      <c r="CI226" s="50"/>
      <c r="CJ226" s="50"/>
      <c r="CO226" s="43"/>
      <c r="CP226" s="43"/>
      <c r="CQ226" s="43"/>
    </row>
    <row r="227" spans="1:95" x14ac:dyDescent="0.25">
      <c r="A227" s="43"/>
      <c r="C227" s="42"/>
      <c r="I227" s="42"/>
      <c r="J227" s="42"/>
      <c r="K227" s="42"/>
      <c r="O227" s="43"/>
      <c r="Q227" s="43"/>
      <c r="R227" s="42"/>
      <c r="V227" s="43"/>
      <c r="AC227" s="43"/>
      <c r="AD227" s="43"/>
      <c r="AF227" s="42"/>
      <c r="AG227" s="42"/>
      <c r="AH227" s="42"/>
      <c r="AI227" s="42"/>
      <c r="AJ227" s="42"/>
      <c r="AK227" s="42"/>
      <c r="AL227" s="42"/>
      <c r="AM227" s="42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  <c r="AX227" s="43"/>
      <c r="BC227" s="50"/>
      <c r="BD227" s="50"/>
      <c r="BE227" s="50"/>
      <c r="BF227" s="50"/>
      <c r="BG227" s="50"/>
      <c r="BH227" s="43"/>
      <c r="BI227" s="43"/>
      <c r="BJ227" s="43"/>
      <c r="BK227" s="43"/>
      <c r="BL227" s="43"/>
      <c r="CC227" s="50"/>
      <c r="CD227" s="50"/>
      <c r="CE227" s="50"/>
      <c r="CF227" s="50"/>
      <c r="CG227" s="50"/>
      <c r="CH227" s="50"/>
      <c r="CI227" s="50"/>
      <c r="CJ227" s="50"/>
      <c r="CO227" s="43"/>
      <c r="CP227" s="43"/>
      <c r="CQ227" s="43"/>
    </row>
    <row r="228" spans="1:95" x14ac:dyDescent="0.25">
      <c r="A228" s="43"/>
      <c r="C228" s="42"/>
      <c r="I228" s="42"/>
      <c r="J228" s="42"/>
      <c r="K228" s="42"/>
      <c r="O228" s="43"/>
      <c r="Q228" s="43"/>
      <c r="R228" s="42"/>
      <c r="V228" s="43"/>
      <c r="AC228" s="43"/>
      <c r="AD228" s="43"/>
      <c r="AF228" s="42"/>
      <c r="AG228" s="42"/>
      <c r="AH228" s="42"/>
      <c r="AI228" s="42"/>
      <c r="AJ228" s="42"/>
      <c r="AK228" s="42"/>
      <c r="AL228" s="42"/>
      <c r="AM228" s="42"/>
      <c r="AN228" s="43"/>
      <c r="AO228" s="43"/>
      <c r="AP228" s="43"/>
      <c r="AQ228" s="43"/>
      <c r="AR228" s="43"/>
      <c r="AS228" s="43"/>
      <c r="AT228" s="43"/>
      <c r="AU228" s="43"/>
      <c r="AV228" s="43"/>
      <c r="AW228" s="43"/>
      <c r="AX228" s="43"/>
      <c r="BC228" s="50"/>
      <c r="BD228" s="50"/>
      <c r="BE228" s="50"/>
      <c r="BF228" s="50"/>
      <c r="BG228" s="50"/>
      <c r="BH228" s="43"/>
      <c r="BI228" s="43"/>
      <c r="BJ228" s="43"/>
      <c r="BK228" s="43"/>
      <c r="BL228" s="43"/>
      <c r="CC228" s="50"/>
      <c r="CD228" s="50"/>
      <c r="CE228" s="50"/>
      <c r="CF228" s="50"/>
      <c r="CG228" s="50"/>
      <c r="CH228" s="50"/>
      <c r="CI228" s="50"/>
      <c r="CJ228" s="50"/>
      <c r="CO228" s="43"/>
      <c r="CP228" s="43"/>
      <c r="CQ228" s="43"/>
    </row>
    <row r="229" spans="1:95" x14ac:dyDescent="0.25">
      <c r="A229" s="43"/>
      <c r="C229" s="42"/>
      <c r="I229" s="42"/>
      <c r="J229" s="42"/>
      <c r="K229" s="42"/>
      <c r="O229" s="43"/>
      <c r="Q229" s="43"/>
      <c r="R229" s="42"/>
      <c r="V229" s="43"/>
      <c r="AC229" s="43"/>
      <c r="AD229" s="43"/>
      <c r="AF229" s="42"/>
      <c r="AG229" s="42"/>
      <c r="AH229" s="42"/>
      <c r="AI229" s="42"/>
      <c r="AJ229" s="42"/>
      <c r="AK229" s="42"/>
      <c r="AL229" s="42"/>
      <c r="AM229" s="42"/>
      <c r="AN229" s="43"/>
      <c r="AO229" s="43"/>
      <c r="AP229" s="43"/>
      <c r="AQ229" s="43"/>
      <c r="AR229" s="43"/>
      <c r="AS229" s="43"/>
      <c r="AT229" s="43"/>
      <c r="AU229" s="43"/>
      <c r="AV229" s="43"/>
      <c r="AW229" s="43"/>
      <c r="AX229" s="43"/>
      <c r="BC229" s="50"/>
      <c r="BD229" s="50"/>
      <c r="BE229" s="50"/>
      <c r="BF229" s="50"/>
      <c r="BG229" s="50"/>
      <c r="BH229" s="43"/>
      <c r="BI229" s="43"/>
      <c r="BJ229" s="43"/>
      <c r="BK229" s="43"/>
      <c r="BL229" s="43"/>
      <c r="CC229" s="50"/>
      <c r="CD229" s="50"/>
      <c r="CE229" s="50"/>
      <c r="CF229" s="50"/>
      <c r="CG229" s="50"/>
      <c r="CH229" s="50"/>
      <c r="CI229" s="50"/>
      <c r="CJ229" s="50"/>
      <c r="CO229" s="43"/>
      <c r="CP229" s="43"/>
      <c r="CQ229" s="43"/>
    </row>
    <row r="230" spans="1:95" x14ac:dyDescent="0.25">
      <c r="A230" s="43"/>
      <c r="C230" s="42"/>
      <c r="I230" s="42"/>
      <c r="J230" s="42"/>
      <c r="K230" s="42"/>
      <c r="O230" s="43"/>
      <c r="Q230" s="43"/>
      <c r="R230" s="42"/>
      <c r="V230" s="43"/>
      <c r="AC230" s="43"/>
      <c r="AD230" s="43"/>
      <c r="AF230" s="42"/>
      <c r="AG230" s="42"/>
      <c r="AH230" s="42"/>
      <c r="AI230" s="42"/>
      <c r="AJ230" s="42"/>
      <c r="AK230" s="42"/>
      <c r="AL230" s="42"/>
      <c r="AM230" s="42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BC230" s="50"/>
      <c r="BD230" s="50"/>
      <c r="BE230" s="50"/>
      <c r="BF230" s="50"/>
      <c r="BG230" s="50"/>
      <c r="BH230" s="43"/>
      <c r="BI230" s="43"/>
      <c r="BJ230" s="43"/>
      <c r="BK230" s="43"/>
      <c r="BL230" s="43"/>
      <c r="CC230" s="50"/>
      <c r="CD230" s="50"/>
      <c r="CE230" s="50"/>
      <c r="CF230" s="50"/>
      <c r="CG230" s="50"/>
      <c r="CH230" s="50"/>
      <c r="CI230" s="50"/>
      <c r="CJ230" s="50"/>
      <c r="CO230" s="43"/>
      <c r="CP230" s="43"/>
      <c r="CQ230" s="43"/>
    </row>
    <row r="231" spans="1:95" x14ac:dyDescent="0.25">
      <c r="A231" s="43"/>
      <c r="C231" s="42"/>
      <c r="I231" s="42"/>
      <c r="J231" s="42"/>
      <c r="K231" s="42"/>
      <c r="O231" s="43"/>
      <c r="Q231" s="43"/>
      <c r="R231" s="42"/>
      <c r="V231" s="43"/>
      <c r="AC231" s="43"/>
      <c r="AD231" s="43"/>
      <c r="AF231" s="42"/>
      <c r="AG231" s="42"/>
      <c r="AH231" s="42"/>
      <c r="AI231" s="42"/>
      <c r="AJ231" s="42"/>
      <c r="AK231" s="42"/>
      <c r="AL231" s="42"/>
      <c r="AM231" s="42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BC231" s="50"/>
      <c r="BD231" s="50"/>
      <c r="BE231" s="50"/>
      <c r="BF231" s="50"/>
      <c r="BG231" s="50"/>
      <c r="BH231" s="43"/>
      <c r="BI231" s="43"/>
      <c r="BJ231" s="43"/>
      <c r="BK231" s="43"/>
      <c r="BL231" s="43"/>
      <c r="CC231" s="50"/>
      <c r="CD231" s="50"/>
      <c r="CE231" s="50"/>
      <c r="CF231" s="50"/>
      <c r="CG231" s="50"/>
      <c r="CH231" s="50"/>
      <c r="CI231" s="50"/>
      <c r="CJ231" s="50"/>
      <c r="CO231" s="43"/>
      <c r="CP231" s="43"/>
      <c r="CQ231" s="43"/>
    </row>
    <row r="232" spans="1:95" x14ac:dyDescent="0.25">
      <c r="A232" s="43"/>
      <c r="C232" s="42"/>
      <c r="I232" s="42"/>
      <c r="J232" s="42"/>
      <c r="K232" s="42"/>
      <c r="O232" s="43"/>
      <c r="Q232" s="43"/>
      <c r="R232" s="42"/>
      <c r="V232" s="43"/>
      <c r="AC232" s="43"/>
      <c r="AD232" s="43"/>
      <c r="AF232" s="42"/>
      <c r="AG232" s="42"/>
      <c r="AH232" s="42"/>
      <c r="AI232" s="42"/>
      <c r="AJ232" s="42"/>
      <c r="AK232" s="42"/>
      <c r="AL232" s="42"/>
      <c r="AM232" s="42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BC232" s="50"/>
      <c r="BD232" s="50"/>
      <c r="BE232" s="50"/>
      <c r="BF232" s="50"/>
      <c r="BG232" s="50"/>
      <c r="BH232" s="43"/>
      <c r="BI232" s="43"/>
      <c r="BJ232" s="43"/>
      <c r="BK232" s="43"/>
      <c r="BL232" s="43"/>
      <c r="CC232" s="50"/>
      <c r="CD232" s="50"/>
      <c r="CE232" s="50"/>
      <c r="CF232" s="50"/>
      <c r="CG232" s="50"/>
      <c r="CH232" s="50"/>
      <c r="CI232" s="50"/>
      <c r="CJ232" s="50"/>
      <c r="CO232" s="43"/>
      <c r="CP232" s="43"/>
      <c r="CQ232" s="43"/>
    </row>
    <row r="233" spans="1:95" x14ac:dyDescent="0.25">
      <c r="A233" s="43"/>
      <c r="C233" s="42"/>
      <c r="I233" s="42"/>
      <c r="J233" s="42"/>
      <c r="K233" s="42"/>
      <c r="O233" s="43"/>
      <c r="Q233" s="43"/>
      <c r="R233" s="42"/>
      <c r="V233" s="43"/>
      <c r="AC233" s="43"/>
      <c r="AD233" s="43"/>
      <c r="AF233" s="42"/>
      <c r="AG233" s="42"/>
      <c r="AH233" s="42"/>
      <c r="AI233" s="42"/>
      <c r="AJ233" s="42"/>
      <c r="AK233" s="42"/>
      <c r="AL233" s="42"/>
      <c r="AM233" s="42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BC233" s="50"/>
      <c r="BD233" s="50"/>
      <c r="BE233" s="50"/>
      <c r="BF233" s="50"/>
      <c r="BG233" s="50"/>
      <c r="BH233" s="43"/>
      <c r="BI233" s="43"/>
      <c r="BJ233" s="43"/>
      <c r="BK233" s="43"/>
      <c r="BL233" s="43"/>
      <c r="CC233" s="50"/>
      <c r="CD233" s="50"/>
      <c r="CE233" s="50"/>
      <c r="CF233" s="50"/>
      <c r="CG233" s="50"/>
      <c r="CH233" s="50"/>
      <c r="CI233" s="50"/>
      <c r="CJ233" s="50"/>
      <c r="CO233" s="43"/>
      <c r="CP233" s="43"/>
      <c r="CQ233" s="43"/>
    </row>
    <row r="234" spans="1:95" x14ac:dyDescent="0.25">
      <c r="A234" s="43"/>
      <c r="C234" s="42"/>
      <c r="I234" s="42"/>
      <c r="J234" s="42"/>
      <c r="K234" s="42"/>
      <c r="O234" s="43"/>
      <c r="Q234" s="43"/>
      <c r="R234" s="42"/>
      <c r="V234" s="43"/>
      <c r="AC234" s="43"/>
      <c r="AD234" s="43"/>
      <c r="AF234" s="42"/>
      <c r="AG234" s="42"/>
      <c r="AH234" s="42"/>
      <c r="AI234" s="42"/>
      <c r="AJ234" s="42"/>
      <c r="AK234" s="42"/>
      <c r="AL234" s="42"/>
      <c r="AM234" s="42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BC234" s="50"/>
      <c r="BD234" s="50"/>
      <c r="BE234" s="50"/>
      <c r="BF234" s="50"/>
      <c r="BG234" s="50"/>
      <c r="BH234" s="43"/>
      <c r="BI234" s="43"/>
      <c r="BJ234" s="43"/>
      <c r="BK234" s="43"/>
      <c r="BL234" s="43"/>
      <c r="CC234" s="50"/>
      <c r="CD234" s="50"/>
      <c r="CE234" s="50"/>
      <c r="CF234" s="50"/>
      <c r="CG234" s="50"/>
      <c r="CH234" s="50"/>
      <c r="CI234" s="50"/>
      <c r="CJ234" s="50"/>
      <c r="CO234" s="43"/>
      <c r="CP234" s="43"/>
      <c r="CQ234" s="43"/>
    </row>
    <row r="235" spans="1:95" x14ac:dyDescent="0.25">
      <c r="A235" s="43"/>
      <c r="C235" s="42"/>
      <c r="I235" s="42"/>
      <c r="J235" s="42"/>
      <c r="K235" s="42"/>
      <c r="O235" s="43"/>
      <c r="Q235" s="43"/>
      <c r="R235" s="42"/>
      <c r="V235" s="43"/>
      <c r="AC235" s="43"/>
      <c r="AD235" s="43"/>
      <c r="AF235" s="42"/>
      <c r="AG235" s="42"/>
      <c r="AH235" s="42"/>
      <c r="AI235" s="42"/>
      <c r="AJ235" s="42"/>
      <c r="AK235" s="42"/>
      <c r="AL235" s="42"/>
      <c r="AM235" s="42"/>
      <c r="AN235" s="43"/>
      <c r="AO235" s="43"/>
      <c r="AP235" s="43"/>
      <c r="AQ235" s="43"/>
      <c r="AR235" s="43"/>
      <c r="AS235" s="43"/>
      <c r="AT235" s="43"/>
      <c r="AU235" s="43"/>
      <c r="AV235" s="43"/>
      <c r="AW235" s="43"/>
      <c r="AX235" s="43"/>
      <c r="BC235" s="50"/>
      <c r="BD235" s="50"/>
      <c r="BE235" s="50"/>
      <c r="BF235" s="50"/>
      <c r="BG235" s="50"/>
      <c r="BH235" s="43"/>
      <c r="BI235" s="43"/>
      <c r="BJ235" s="43"/>
      <c r="BK235" s="43"/>
      <c r="BL235" s="43"/>
      <c r="CC235" s="50"/>
      <c r="CD235" s="50"/>
      <c r="CE235" s="50"/>
      <c r="CF235" s="50"/>
      <c r="CG235" s="50"/>
      <c r="CH235" s="50"/>
      <c r="CI235" s="50"/>
      <c r="CJ235" s="50"/>
      <c r="CO235" s="43"/>
      <c r="CP235" s="43"/>
      <c r="CQ235" s="43"/>
    </row>
    <row r="236" spans="1:95" x14ac:dyDescent="0.25">
      <c r="A236" s="43"/>
      <c r="C236" s="42"/>
      <c r="I236" s="42"/>
      <c r="J236" s="42"/>
      <c r="K236" s="42"/>
      <c r="O236" s="43"/>
      <c r="Q236" s="43"/>
      <c r="R236" s="42"/>
      <c r="V236" s="43"/>
      <c r="AC236" s="43"/>
      <c r="AD236" s="43"/>
      <c r="AF236" s="42"/>
      <c r="AG236" s="42"/>
      <c r="AH236" s="42"/>
      <c r="AI236" s="42"/>
      <c r="AJ236" s="42"/>
      <c r="AK236" s="42"/>
      <c r="AL236" s="42"/>
      <c r="AM236" s="42"/>
      <c r="AN236" s="43"/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BC236" s="50"/>
      <c r="BD236" s="50"/>
      <c r="BE236" s="50"/>
      <c r="BF236" s="50"/>
      <c r="BG236" s="50"/>
      <c r="BH236" s="43"/>
      <c r="BI236" s="43"/>
      <c r="BJ236" s="43"/>
      <c r="BK236" s="43"/>
      <c r="BL236" s="43"/>
      <c r="CC236" s="50"/>
      <c r="CD236" s="50"/>
      <c r="CE236" s="50"/>
      <c r="CF236" s="50"/>
      <c r="CG236" s="50"/>
      <c r="CH236" s="50"/>
      <c r="CI236" s="50"/>
      <c r="CJ236" s="50"/>
      <c r="CO236" s="43"/>
      <c r="CP236" s="43"/>
      <c r="CQ236" s="43"/>
    </row>
    <row r="237" spans="1:95" x14ac:dyDescent="0.25">
      <c r="A237" s="43"/>
      <c r="C237" s="42"/>
      <c r="I237" s="42"/>
      <c r="J237" s="42"/>
      <c r="K237" s="42"/>
      <c r="O237" s="43"/>
      <c r="Q237" s="43"/>
      <c r="R237" s="42"/>
      <c r="V237" s="43"/>
      <c r="AC237" s="43"/>
      <c r="AD237" s="43"/>
      <c r="AF237" s="42"/>
      <c r="AG237" s="42"/>
      <c r="AH237" s="42"/>
      <c r="AI237" s="42"/>
      <c r="AJ237" s="42"/>
      <c r="AK237" s="42"/>
      <c r="AL237" s="42"/>
      <c r="AM237" s="42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BC237" s="50"/>
      <c r="BD237" s="50"/>
      <c r="BE237" s="50"/>
      <c r="BF237" s="50"/>
      <c r="BG237" s="50"/>
      <c r="BH237" s="43"/>
      <c r="BI237" s="43"/>
      <c r="BJ237" s="43"/>
      <c r="BK237" s="43"/>
      <c r="BL237" s="43"/>
      <c r="CC237" s="50"/>
      <c r="CD237" s="50"/>
      <c r="CE237" s="50"/>
      <c r="CF237" s="50"/>
      <c r="CG237" s="50"/>
      <c r="CH237" s="50"/>
      <c r="CI237" s="50"/>
      <c r="CJ237" s="50"/>
      <c r="CO237" s="43"/>
      <c r="CP237" s="43"/>
      <c r="CQ237" s="43"/>
    </row>
    <row r="238" spans="1:95" x14ac:dyDescent="0.25">
      <c r="A238" s="43"/>
      <c r="C238" s="42"/>
      <c r="I238" s="42"/>
      <c r="J238" s="42"/>
      <c r="K238" s="42"/>
      <c r="O238" s="43"/>
      <c r="Q238" s="43"/>
      <c r="R238" s="42"/>
      <c r="V238" s="43"/>
      <c r="AC238" s="43"/>
      <c r="AD238" s="43"/>
      <c r="AF238" s="42"/>
      <c r="AG238" s="42"/>
      <c r="AH238" s="42"/>
      <c r="AI238" s="42"/>
      <c r="AJ238" s="42"/>
      <c r="AK238" s="42"/>
      <c r="AL238" s="42"/>
      <c r="AM238" s="42"/>
      <c r="AN238" s="43"/>
      <c r="AO238" s="43"/>
      <c r="AP238" s="43"/>
      <c r="AQ238" s="43"/>
      <c r="AR238" s="43"/>
      <c r="AS238" s="43"/>
      <c r="AT238" s="43"/>
      <c r="AU238" s="43"/>
      <c r="AV238" s="43"/>
      <c r="AW238" s="43"/>
      <c r="AX238" s="43"/>
      <c r="BC238" s="50"/>
      <c r="BD238" s="50"/>
      <c r="BE238" s="50"/>
      <c r="BF238" s="50"/>
      <c r="BG238" s="50"/>
      <c r="BH238" s="43"/>
      <c r="BI238" s="43"/>
      <c r="BJ238" s="43"/>
      <c r="BK238" s="43"/>
      <c r="BL238" s="43"/>
      <c r="CC238" s="50"/>
      <c r="CD238" s="50"/>
      <c r="CE238" s="50"/>
      <c r="CF238" s="50"/>
      <c r="CG238" s="50"/>
      <c r="CH238" s="50"/>
      <c r="CI238" s="50"/>
      <c r="CJ238" s="50"/>
      <c r="CO238" s="43"/>
      <c r="CP238" s="43"/>
      <c r="CQ238" s="43"/>
    </row>
    <row r="239" spans="1:95" x14ac:dyDescent="0.25">
      <c r="A239" s="43"/>
      <c r="C239" s="42"/>
      <c r="I239" s="42"/>
      <c r="J239" s="42"/>
      <c r="K239" s="42"/>
      <c r="O239" s="43"/>
      <c r="Q239" s="43"/>
      <c r="R239" s="42"/>
      <c r="V239" s="43"/>
      <c r="AC239" s="43"/>
      <c r="AD239" s="43"/>
      <c r="AF239" s="42"/>
      <c r="AG239" s="42"/>
      <c r="AH239" s="42"/>
      <c r="AI239" s="42"/>
      <c r="AJ239" s="42"/>
      <c r="AK239" s="42"/>
      <c r="AL239" s="42"/>
      <c r="AM239" s="42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  <c r="AX239" s="43"/>
      <c r="BC239" s="50"/>
      <c r="BD239" s="50"/>
      <c r="BE239" s="50"/>
      <c r="BF239" s="50"/>
      <c r="BG239" s="50"/>
      <c r="BH239" s="43"/>
      <c r="BI239" s="43"/>
      <c r="BJ239" s="43"/>
      <c r="BK239" s="43"/>
      <c r="BL239" s="43"/>
      <c r="CC239" s="50"/>
      <c r="CD239" s="50"/>
      <c r="CE239" s="50"/>
      <c r="CF239" s="50"/>
      <c r="CG239" s="50"/>
      <c r="CH239" s="50"/>
      <c r="CI239" s="50"/>
      <c r="CJ239" s="50"/>
      <c r="CO239" s="43"/>
      <c r="CP239" s="43"/>
      <c r="CQ239" s="43"/>
    </row>
    <row r="240" spans="1:95" x14ac:dyDescent="0.25">
      <c r="A240" s="43"/>
      <c r="C240" s="42"/>
      <c r="I240" s="42"/>
      <c r="J240" s="42"/>
      <c r="K240" s="42"/>
      <c r="O240" s="43"/>
      <c r="Q240" s="43"/>
      <c r="R240" s="42"/>
      <c r="V240" s="43"/>
      <c r="AC240" s="43"/>
      <c r="AD240" s="43"/>
      <c r="AF240" s="42"/>
      <c r="AG240" s="42"/>
      <c r="AH240" s="42"/>
      <c r="AI240" s="42"/>
      <c r="AJ240" s="42"/>
      <c r="AK240" s="42"/>
      <c r="AL240" s="42"/>
      <c r="AM240" s="42"/>
      <c r="AN240" s="43"/>
      <c r="AO240" s="43"/>
      <c r="AP240" s="43"/>
      <c r="AQ240" s="43"/>
      <c r="AR240" s="43"/>
      <c r="AS240" s="43"/>
      <c r="AT240" s="43"/>
      <c r="AU240" s="43"/>
      <c r="AV240" s="43"/>
      <c r="AW240" s="43"/>
      <c r="AX240" s="43"/>
      <c r="BC240" s="50"/>
      <c r="BD240" s="50"/>
      <c r="BE240" s="50"/>
      <c r="BF240" s="50"/>
      <c r="BG240" s="50"/>
      <c r="BH240" s="43"/>
      <c r="BI240" s="43"/>
      <c r="BJ240" s="43"/>
      <c r="BK240" s="43"/>
      <c r="BL240" s="43"/>
      <c r="CC240" s="50"/>
      <c r="CD240" s="50"/>
      <c r="CE240" s="50"/>
      <c r="CF240" s="50"/>
      <c r="CG240" s="50"/>
      <c r="CH240" s="50"/>
      <c r="CI240" s="50"/>
      <c r="CJ240" s="50"/>
      <c r="CO240" s="43"/>
      <c r="CP240" s="43"/>
      <c r="CQ240" s="43"/>
    </row>
    <row r="241" spans="1:95" x14ac:dyDescent="0.25">
      <c r="A241" s="43"/>
      <c r="C241" s="42"/>
      <c r="I241" s="42"/>
      <c r="J241" s="42"/>
      <c r="K241" s="42"/>
      <c r="O241" s="43"/>
      <c r="Q241" s="43"/>
      <c r="R241" s="42"/>
      <c r="V241" s="43"/>
      <c r="AC241" s="43"/>
      <c r="AD241" s="43"/>
      <c r="AF241" s="42"/>
      <c r="AG241" s="42"/>
      <c r="AH241" s="42"/>
      <c r="AI241" s="42"/>
      <c r="AJ241" s="42"/>
      <c r="AK241" s="42"/>
      <c r="AL241" s="42"/>
      <c r="AM241" s="42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BC241" s="50"/>
      <c r="BD241" s="50"/>
      <c r="BE241" s="50"/>
      <c r="BF241" s="50"/>
      <c r="BG241" s="50"/>
      <c r="BH241" s="43"/>
      <c r="BI241" s="43"/>
      <c r="BJ241" s="43"/>
      <c r="BK241" s="43"/>
      <c r="BL241" s="43"/>
      <c r="CC241" s="50"/>
      <c r="CD241" s="50"/>
      <c r="CE241" s="50"/>
      <c r="CF241" s="50"/>
      <c r="CG241" s="50"/>
      <c r="CH241" s="50"/>
      <c r="CI241" s="50"/>
      <c r="CJ241" s="50"/>
      <c r="CO241" s="43"/>
      <c r="CP241" s="43"/>
      <c r="CQ241" s="43"/>
    </row>
    <row r="242" spans="1:95" x14ac:dyDescent="0.25">
      <c r="A242" s="43"/>
      <c r="C242" s="42"/>
      <c r="I242" s="42"/>
      <c r="J242" s="42"/>
      <c r="K242" s="42"/>
      <c r="O242" s="43"/>
      <c r="Q242" s="43"/>
      <c r="R242" s="42"/>
      <c r="V242" s="43"/>
      <c r="AC242" s="43"/>
      <c r="AD242" s="43"/>
      <c r="AF242" s="42"/>
      <c r="AG242" s="42"/>
      <c r="AH242" s="42"/>
      <c r="AI242" s="42"/>
      <c r="AJ242" s="42"/>
      <c r="AK242" s="42"/>
      <c r="AL242" s="42"/>
      <c r="AM242" s="42"/>
      <c r="AN242" s="43"/>
      <c r="AO242" s="43"/>
      <c r="AP242" s="43"/>
      <c r="AQ242" s="43"/>
      <c r="AR242" s="43"/>
      <c r="AS242" s="43"/>
      <c r="AT242" s="43"/>
      <c r="AU242" s="43"/>
      <c r="AV242" s="43"/>
      <c r="AW242" s="43"/>
      <c r="AX242" s="43"/>
      <c r="BC242" s="50"/>
      <c r="BD242" s="50"/>
      <c r="BE242" s="50"/>
      <c r="BF242" s="50"/>
      <c r="BG242" s="50"/>
      <c r="BH242" s="43"/>
      <c r="BI242" s="43"/>
      <c r="BJ242" s="43"/>
      <c r="BK242" s="43"/>
      <c r="BL242" s="43"/>
      <c r="CC242" s="50"/>
      <c r="CD242" s="50"/>
      <c r="CE242" s="50"/>
      <c r="CF242" s="50"/>
      <c r="CG242" s="50"/>
      <c r="CH242" s="50"/>
      <c r="CI242" s="50"/>
      <c r="CJ242" s="50"/>
      <c r="CO242" s="43"/>
      <c r="CP242" s="43"/>
      <c r="CQ242" s="43"/>
    </row>
    <row r="243" spans="1:95" x14ac:dyDescent="0.25">
      <c r="A243" s="43"/>
      <c r="C243" s="42"/>
      <c r="I243" s="42"/>
      <c r="J243" s="42"/>
      <c r="K243" s="42"/>
      <c r="O243" s="43"/>
      <c r="Q243" s="43"/>
      <c r="R243" s="42"/>
      <c r="V243" s="43"/>
      <c r="AC243" s="43"/>
      <c r="AD243" s="43"/>
      <c r="AF243" s="42"/>
      <c r="AG243" s="42"/>
      <c r="AH243" s="42"/>
      <c r="AI243" s="42"/>
      <c r="AJ243" s="42"/>
      <c r="AK243" s="42"/>
      <c r="AL243" s="42"/>
      <c r="AM243" s="42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BC243" s="50"/>
      <c r="BD243" s="50"/>
      <c r="BE243" s="50"/>
      <c r="BF243" s="50"/>
      <c r="BG243" s="50"/>
      <c r="BH243" s="43"/>
      <c r="BI243" s="43"/>
      <c r="BJ243" s="43"/>
      <c r="BK243" s="43"/>
      <c r="BL243" s="43"/>
      <c r="CC243" s="50"/>
      <c r="CD243" s="50"/>
      <c r="CE243" s="50"/>
      <c r="CF243" s="50"/>
      <c r="CG243" s="50"/>
      <c r="CH243" s="50"/>
      <c r="CI243" s="50"/>
      <c r="CJ243" s="50"/>
      <c r="CO243" s="43"/>
      <c r="CP243" s="43"/>
      <c r="CQ243" s="43"/>
    </row>
    <row r="244" spans="1:95" x14ac:dyDescent="0.25">
      <c r="A244" s="43"/>
      <c r="C244" s="42"/>
      <c r="D244" s="43"/>
      <c r="E244" s="43"/>
      <c r="F244" s="43"/>
      <c r="G244" s="43"/>
      <c r="H244" s="43"/>
      <c r="Q244" s="43"/>
      <c r="R244" s="42"/>
      <c r="V244" s="43"/>
      <c r="AC244" s="43"/>
      <c r="AD244" s="43"/>
      <c r="AF244" s="42"/>
      <c r="AG244" s="42"/>
      <c r="AH244" s="42"/>
      <c r="AI244" s="42"/>
      <c r="AJ244" s="42"/>
      <c r="AK244" s="42"/>
      <c r="AL244" s="42"/>
      <c r="AM244" s="42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  <c r="AX244" s="43"/>
      <c r="BC244" s="50"/>
      <c r="BD244" s="50"/>
      <c r="BE244" s="50"/>
      <c r="BF244" s="50"/>
      <c r="BG244" s="50"/>
      <c r="BH244" s="43"/>
      <c r="BI244" s="43"/>
      <c r="BJ244" s="43"/>
      <c r="BK244" s="43"/>
      <c r="BL244" s="43"/>
      <c r="CC244" s="50"/>
      <c r="CD244" s="50"/>
      <c r="CE244" s="50"/>
      <c r="CF244" s="50"/>
      <c r="CG244" s="50"/>
      <c r="CH244" s="50"/>
      <c r="CI244" s="50"/>
      <c r="CJ244" s="50"/>
      <c r="CO244" s="43"/>
      <c r="CP244" s="43"/>
      <c r="CQ244" s="43"/>
    </row>
    <row r="245" spans="1:95" x14ac:dyDescent="0.25">
      <c r="A245" s="43"/>
      <c r="C245" s="42"/>
      <c r="D245" s="43"/>
      <c r="E245" s="43"/>
      <c r="F245" s="43"/>
      <c r="G245" s="43"/>
      <c r="H245" s="43"/>
      <c r="Q245" s="43"/>
      <c r="R245" s="42"/>
      <c r="V245" s="43"/>
      <c r="AC245" s="43"/>
      <c r="AD245" s="43"/>
      <c r="AF245" s="42"/>
      <c r="AG245" s="42"/>
      <c r="AH245" s="42"/>
      <c r="AI245" s="42"/>
      <c r="AJ245" s="42"/>
      <c r="AK245" s="42"/>
      <c r="AL245" s="42"/>
      <c r="AM245" s="42"/>
      <c r="AN245" s="43"/>
      <c r="AO245" s="43"/>
      <c r="AP245" s="43"/>
      <c r="AQ245" s="43"/>
      <c r="AR245" s="43"/>
      <c r="AS245" s="43"/>
      <c r="AT245" s="43"/>
      <c r="AU245" s="43"/>
      <c r="AV245" s="43"/>
      <c r="AW245" s="43"/>
      <c r="AX245" s="43"/>
      <c r="BC245" s="50"/>
      <c r="BD245" s="50"/>
      <c r="BE245" s="50"/>
      <c r="BF245" s="50"/>
      <c r="BG245" s="50"/>
      <c r="BH245" s="43"/>
      <c r="BI245" s="43"/>
      <c r="BJ245" s="43"/>
      <c r="BK245" s="43"/>
      <c r="BL245" s="43"/>
      <c r="CC245" s="50"/>
      <c r="CD245" s="50"/>
      <c r="CE245" s="50"/>
      <c r="CF245" s="50"/>
      <c r="CG245" s="50"/>
      <c r="CH245" s="50"/>
      <c r="CI245" s="50"/>
      <c r="CJ245" s="50"/>
      <c r="CO245" s="43"/>
      <c r="CP245" s="43"/>
      <c r="CQ245" s="43"/>
    </row>
    <row r="246" spans="1:95" x14ac:dyDescent="0.25">
      <c r="A246" s="43"/>
      <c r="C246" s="42"/>
      <c r="D246" s="43"/>
      <c r="E246" s="43"/>
      <c r="F246" s="43"/>
      <c r="G246" s="43"/>
      <c r="H246" s="43"/>
      <c r="Q246" s="43"/>
      <c r="R246" s="42"/>
      <c r="V246" s="43"/>
      <c r="AC246" s="43"/>
      <c r="AD246" s="43"/>
      <c r="AF246" s="42"/>
      <c r="AG246" s="42"/>
      <c r="AH246" s="42"/>
      <c r="AI246" s="42"/>
      <c r="AJ246" s="42"/>
      <c r="AK246" s="42"/>
      <c r="AL246" s="42"/>
      <c r="AM246" s="42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BC246" s="50"/>
      <c r="BD246" s="50"/>
      <c r="BE246" s="50"/>
      <c r="BF246" s="50"/>
      <c r="BG246" s="50"/>
      <c r="BH246" s="43"/>
      <c r="BI246" s="43"/>
      <c r="BJ246" s="43"/>
      <c r="BK246" s="43"/>
      <c r="BL246" s="43"/>
      <c r="CC246" s="50"/>
      <c r="CD246" s="50"/>
      <c r="CE246" s="50"/>
      <c r="CF246" s="50"/>
      <c r="CG246" s="50"/>
      <c r="CH246" s="50"/>
      <c r="CI246" s="50"/>
      <c r="CJ246" s="50"/>
      <c r="CO246" s="43"/>
      <c r="CP246" s="43"/>
      <c r="CQ246" s="43"/>
    </row>
    <row r="247" spans="1:95" x14ac:dyDescent="0.25">
      <c r="A247" s="43"/>
      <c r="C247" s="42"/>
      <c r="D247" s="43"/>
      <c r="E247" s="43"/>
      <c r="F247" s="43"/>
      <c r="G247" s="43"/>
      <c r="H247" s="43"/>
      <c r="Q247" s="43"/>
      <c r="R247" s="42"/>
      <c r="V247" s="43"/>
      <c r="AC247" s="43"/>
      <c r="AD247" s="43"/>
      <c r="AF247" s="42"/>
      <c r="AG247" s="42"/>
      <c r="AH247" s="42"/>
      <c r="AI247" s="42"/>
      <c r="AJ247" s="42"/>
      <c r="AK247" s="42"/>
      <c r="AL247" s="42"/>
      <c r="AM247" s="42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  <c r="AX247" s="43"/>
      <c r="BC247" s="50"/>
      <c r="BD247" s="50"/>
      <c r="BE247" s="50"/>
      <c r="BF247" s="50"/>
      <c r="BG247" s="50"/>
      <c r="BH247" s="43"/>
      <c r="BI247" s="43"/>
      <c r="BJ247" s="43"/>
      <c r="BK247" s="43"/>
      <c r="BL247" s="43"/>
      <c r="CC247" s="50"/>
      <c r="CD247" s="50"/>
      <c r="CE247" s="50"/>
      <c r="CF247" s="50"/>
      <c r="CG247" s="50"/>
      <c r="CH247" s="50"/>
      <c r="CI247" s="50"/>
      <c r="CJ247" s="50"/>
      <c r="CO247" s="43"/>
      <c r="CP247" s="43"/>
      <c r="CQ247" s="43"/>
    </row>
    <row r="248" spans="1:95" x14ac:dyDescent="0.25">
      <c r="A248" s="43"/>
      <c r="C248" s="42"/>
      <c r="D248" s="43"/>
      <c r="E248" s="43"/>
      <c r="F248" s="43"/>
      <c r="G248" s="43"/>
      <c r="H248" s="43"/>
      <c r="Q248" s="43"/>
      <c r="R248" s="42"/>
      <c r="V248" s="43"/>
      <c r="AC248" s="43"/>
      <c r="AD248" s="43"/>
      <c r="AF248" s="42"/>
      <c r="AG248" s="42"/>
      <c r="AH248" s="42"/>
      <c r="AI248" s="42"/>
      <c r="AJ248" s="42"/>
      <c r="AK248" s="42"/>
      <c r="AL248" s="42"/>
      <c r="AM248" s="42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BC248" s="50"/>
      <c r="BD248" s="50"/>
      <c r="BE248" s="50"/>
      <c r="BF248" s="50"/>
      <c r="BG248" s="50"/>
      <c r="BH248" s="43"/>
      <c r="BI248" s="43"/>
      <c r="BJ248" s="43"/>
      <c r="BK248" s="43"/>
      <c r="BL248" s="43"/>
      <c r="CC248" s="50"/>
      <c r="CD248" s="50"/>
      <c r="CE248" s="50"/>
      <c r="CF248" s="50"/>
      <c r="CG248" s="50"/>
      <c r="CH248" s="50"/>
      <c r="CI248" s="50"/>
      <c r="CJ248" s="50"/>
      <c r="CO248" s="43"/>
      <c r="CP248" s="43"/>
      <c r="CQ248" s="43"/>
    </row>
    <row r="249" spans="1:95" x14ac:dyDescent="0.25">
      <c r="A249" s="43"/>
      <c r="C249" s="42"/>
      <c r="D249" s="43"/>
      <c r="E249" s="43"/>
      <c r="F249" s="43"/>
      <c r="G249" s="43"/>
      <c r="H249" s="43"/>
      <c r="Q249" s="43"/>
      <c r="R249" s="42"/>
      <c r="V249" s="43"/>
      <c r="AC249" s="43"/>
      <c r="AD249" s="43"/>
      <c r="AF249" s="42"/>
      <c r="AG249" s="42"/>
      <c r="AH249" s="42"/>
      <c r="AI249" s="42"/>
      <c r="AJ249" s="42"/>
      <c r="AK249" s="42"/>
      <c r="AL249" s="42"/>
      <c r="AM249" s="42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BC249" s="50"/>
      <c r="BD249" s="50"/>
      <c r="BE249" s="50"/>
      <c r="BF249" s="50"/>
      <c r="BG249" s="50"/>
      <c r="BH249" s="43"/>
      <c r="BI249" s="43"/>
      <c r="BJ249" s="43"/>
      <c r="BK249" s="43"/>
      <c r="BL249" s="43"/>
      <c r="CC249" s="50"/>
      <c r="CD249" s="50"/>
      <c r="CE249" s="50"/>
      <c r="CF249" s="50"/>
      <c r="CG249" s="50"/>
      <c r="CH249" s="50"/>
      <c r="CI249" s="50"/>
      <c r="CJ249" s="50"/>
      <c r="CO249" s="43"/>
      <c r="CP249" s="43"/>
      <c r="CQ249" s="43"/>
    </row>
    <row r="250" spans="1:95" x14ac:dyDescent="0.25">
      <c r="A250" s="43"/>
      <c r="C250" s="42"/>
      <c r="D250" s="43"/>
      <c r="E250" s="43"/>
      <c r="F250" s="43"/>
      <c r="G250" s="43"/>
      <c r="H250" s="43"/>
      <c r="Q250" s="43"/>
      <c r="R250" s="42"/>
      <c r="V250" s="43"/>
      <c r="AC250" s="43"/>
      <c r="AD250" s="43"/>
      <c r="AF250" s="42"/>
      <c r="AG250" s="42"/>
      <c r="AH250" s="42"/>
      <c r="AI250" s="42"/>
      <c r="AJ250" s="42"/>
      <c r="AK250" s="42"/>
      <c r="AL250" s="42"/>
      <c r="AM250" s="42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BC250" s="50"/>
      <c r="BD250" s="50"/>
      <c r="BE250" s="50"/>
      <c r="BF250" s="50"/>
      <c r="BG250" s="50"/>
      <c r="BH250" s="43"/>
      <c r="BI250" s="43"/>
      <c r="BJ250" s="43"/>
      <c r="BK250" s="43"/>
      <c r="BL250" s="43"/>
      <c r="CC250" s="50"/>
      <c r="CD250" s="50"/>
      <c r="CE250" s="50"/>
      <c r="CF250" s="50"/>
      <c r="CG250" s="50"/>
      <c r="CH250" s="50"/>
      <c r="CI250" s="50"/>
      <c r="CJ250" s="50"/>
      <c r="CO250" s="43"/>
      <c r="CP250" s="43"/>
      <c r="CQ250" s="43"/>
    </row>
    <row r="251" spans="1:95" x14ac:dyDescent="0.25">
      <c r="A251" s="43"/>
      <c r="C251" s="42"/>
      <c r="D251" s="43"/>
      <c r="E251" s="43"/>
      <c r="F251" s="43"/>
      <c r="G251" s="43"/>
      <c r="H251" s="43"/>
      <c r="Q251" s="43"/>
      <c r="R251" s="42"/>
      <c r="V251" s="43"/>
      <c r="AC251" s="43"/>
      <c r="AD251" s="43"/>
      <c r="AF251" s="42"/>
      <c r="AG251" s="42"/>
      <c r="AH251" s="42"/>
      <c r="AI251" s="42"/>
      <c r="AJ251" s="42"/>
      <c r="AK251" s="42"/>
      <c r="AL251" s="42"/>
      <c r="AM251" s="42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BC251" s="50"/>
      <c r="BD251" s="50"/>
      <c r="BE251" s="50"/>
      <c r="BF251" s="50"/>
      <c r="BG251" s="50"/>
      <c r="BH251" s="43"/>
      <c r="BI251" s="43"/>
      <c r="BJ251" s="43"/>
      <c r="BK251" s="43"/>
      <c r="BL251" s="43"/>
      <c r="CC251" s="50"/>
      <c r="CD251" s="50"/>
      <c r="CE251" s="50"/>
      <c r="CF251" s="50"/>
      <c r="CG251" s="50"/>
      <c r="CH251" s="50"/>
      <c r="CI251" s="50"/>
      <c r="CJ251" s="50"/>
      <c r="CO251" s="43"/>
      <c r="CP251" s="43"/>
      <c r="CQ251" s="43"/>
    </row>
    <row r="252" spans="1:95" x14ac:dyDescent="0.25">
      <c r="A252" s="43"/>
      <c r="C252" s="42"/>
      <c r="D252" s="43"/>
      <c r="E252" s="43"/>
      <c r="F252" s="43"/>
      <c r="G252" s="43"/>
      <c r="H252" s="43"/>
      <c r="Q252" s="43"/>
      <c r="R252" s="42"/>
      <c r="V252" s="43"/>
      <c r="AC252" s="43"/>
      <c r="AD252" s="43"/>
      <c r="AF252" s="42"/>
      <c r="AG252" s="42"/>
      <c r="AH252" s="42"/>
      <c r="AI252" s="42"/>
      <c r="AJ252" s="42"/>
      <c r="AK252" s="42"/>
      <c r="AL252" s="42"/>
      <c r="AM252" s="42"/>
      <c r="AN252" s="43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BC252" s="50"/>
      <c r="BD252" s="50"/>
      <c r="BE252" s="50"/>
      <c r="BF252" s="50"/>
      <c r="BG252" s="50"/>
      <c r="BH252" s="43"/>
      <c r="BI252" s="43"/>
      <c r="BJ252" s="43"/>
      <c r="BK252" s="43"/>
      <c r="BL252" s="43"/>
      <c r="CC252" s="50"/>
      <c r="CD252" s="50"/>
      <c r="CE252" s="50"/>
      <c r="CF252" s="50"/>
      <c r="CG252" s="50"/>
      <c r="CH252" s="50"/>
      <c r="CI252" s="50"/>
      <c r="CJ252" s="50"/>
      <c r="CO252" s="43"/>
      <c r="CP252" s="43"/>
      <c r="CQ252" s="43"/>
    </row>
    <row r="253" spans="1:95" x14ac:dyDescent="0.25">
      <c r="A253" s="43"/>
      <c r="C253" s="42"/>
      <c r="D253" s="43"/>
      <c r="E253" s="43"/>
      <c r="F253" s="43"/>
      <c r="G253" s="43"/>
      <c r="H253" s="43"/>
      <c r="Q253" s="43"/>
      <c r="R253" s="42"/>
      <c r="V253" s="43"/>
      <c r="AC253" s="43"/>
      <c r="AD253" s="43"/>
      <c r="AF253" s="42"/>
      <c r="AG253" s="42"/>
      <c r="AH253" s="42"/>
      <c r="AI253" s="42"/>
      <c r="AJ253" s="42"/>
      <c r="AK253" s="42"/>
      <c r="AL253" s="42"/>
      <c r="AM253" s="42"/>
      <c r="AN253" s="43"/>
      <c r="AO253" s="43"/>
      <c r="AP253" s="43"/>
      <c r="AQ253" s="43"/>
      <c r="AR253" s="43"/>
      <c r="AS253" s="43"/>
      <c r="AT253" s="43"/>
      <c r="AU253" s="43"/>
      <c r="AV253" s="43"/>
      <c r="AW253" s="43"/>
      <c r="AX253" s="43"/>
      <c r="BC253" s="50"/>
      <c r="BD253" s="50"/>
      <c r="BE253" s="50"/>
      <c r="BF253" s="50"/>
      <c r="BG253" s="50"/>
      <c r="BH253" s="43"/>
      <c r="BI253" s="43"/>
      <c r="BJ253" s="43"/>
      <c r="BK253" s="43"/>
      <c r="BL253" s="43"/>
      <c r="CC253" s="50"/>
      <c r="CD253" s="50"/>
      <c r="CE253" s="50"/>
      <c r="CF253" s="50"/>
      <c r="CG253" s="50"/>
      <c r="CH253" s="50"/>
      <c r="CI253" s="50"/>
      <c r="CJ253" s="50"/>
      <c r="CO253" s="43"/>
      <c r="CP253" s="43"/>
      <c r="CQ253" s="43"/>
    </row>
    <row r="254" spans="1:95" x14ac:dyDescent="0.25">
      <c r="A254" s="43"/>
      <c r="C254" s="42"/>
      <c r="D254" s="43"/>
      <c r="E254" s="43"/>
      <c r="F254" s="43"/>
      <c r="G254" s="43"/>
      <c r="H254" s="43"/>
      <c r="Q254" s="43"/>
      <c r="R254" s="42"/>
      <c r="V254" s="43"/>
      <c r="AC254" s="43"/>
      <c r="AD254" s="43"/>
      <c r="AF254" s="42"/>
      <c r="AG254" s="42"/>
      <c r="AH254" s="42"/>
      <c r="AI254" s="42"/>
      <c r="AJ254" s="42"/>
      <c r="AK254" s="42"/>
      <c r="AL254" s="42"/>
      <c r="AM254" s="42"/>
      <c r="AN254" s="43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BC254" s="50"/>
      <c r="BD254" s="50"/>
      <c r="BE254" s="50"/>
      <c r="BF254" s="50"/>
      <c r="BG254" s="50"/>
      <c r="BH254" s="43"/>
      <c r="BI254" s="43"/>
      <c r="BJ254" s="43"/>
      <c r="BK254" s="43"/>
      <c r="BL254" s="43"/>
      <c r="CC254" s="50"/>
      <c r="CD254" s="50"/>
      <c r="CE254" s="50"/>
      <c r="CF254" s="50"/>
      <c r="CG254" s="50"/>
      <c r="CH254" s="50"/>
      <c r="CI254" s="50"/>
      <c r="CJ254" s="50"/>
      <c r="CO254" s="43"/>
      <c r="CP254" s="43"/>
      <c r="CQ254" s="43"/>
    </row>
    <row r="255" spans="1:95" x14ac:dyDescent="0.25">
      <c r="A255" s="43"/>
      <c r="C255" s="42"/>
      <c r="D255" s="43"/>
      <c r="E255" s="43"/>
      <c r="F255" s="43"/>
      <c r="G255" s="43"/>
      <c r="H255" s="43"/>
      <c r="Q255" s="43"/>
      <c r="R255" s="42"/>
      <c r="V255" s="43"/>
      <c r="AC255" s="43"/>
      <c r="AD255" s="43"/>
      <c r="AF255" s="42"/>
      <c r="AG255" s="42"/>
      <c r="AH255" s="42"/>
      <c r="AI255" s="42"/>
      <c r="AJ255" s="42"/>
      <c r="AK255" s="42"/>
      <c r="AL255" s="42"/>
      <c r="AM255" s="42"/>
      <c r="AN255" s="43"/>
      <c r="AO255" s="43"/>
      <c r="AP255" s="43"/>
      <c r="AQ255" s="43"/>
      <c r="AR255" s="43"/>
      <c r="AS255" s="43"/>
      <c r="AT255" s="43"/>
      <c r="AU255" s="43"/>
      <c r="AV255" s="43"/>
      <c r="AW255" s="43"/>
      <c r="AX255" s="43"/>
      <c r="BC255" s="50"/>
      <c r="BD255" s="50"/>
      <c r="BE255" s="50"/>
      <c r="BF255" s="50"/>
      <c r="BG255" s="50"/>
      <c r="BH255" s="43"/>
      <c r="BI255" s="43"/>
      <c r="BJ255" s="43"/>
      <c r="BK255" s="43"/>
      <c r="BL255" s="43"/>
      <c r="CC255" s="50"/>
      <c r="CD255" s="50"/>
      <c r="CE255" s="50"/>
      <c r="CF255" s="50"/>
      <c r="CG255" s="50"/>
      <c r="CH255" s="50"/>
      <c r="CI255" s="50"/>
      <c r="CJ255" s="50"/>
      <c r="CO255" s="43"/>
      <c r="CP255" s="43"/>
      <c r="CQ255" s="43"/>
    </row>
    <row r="256" spans="1:95" x14ac:dyDescent="0.25">
      <c r="A256" s="43"/>
      <c r="C256" s="42"/>
      <c r="D256" s="43"/>
      <c r="E256" s="43"/>
      <c r="F256" s="43"/>
      <c r="G256" s="43"/>
      <c r="H256" s="43"/>
      <c r="Q256" s="43"/>
      <c r="R256" s="42"/>
      <c r="V256" s="43"/>
      <c r="AC256" s="43"/>
      <c r="AD256" s="43"/>
      <c r="AF256" s="42"/>
      <c r="AG256" s="42"/>
      <c r="AH256" s="42"/>
      <c r="AI256" s="42"/>
      <c r="AJ256" s="42"/>
      <c r="AK256" s="42"/>
      <c r="AL256" s="42"/>
      <c r="AM256" s="42"/>
      <c r="AN256" s="43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BC256" s="50"/>
      <c r="BD256" s="50"/>
      <c r="BE256" s="50"/>
      <c r="BF256" s="50"/>
      <c r="BG256" s="50"/>
      <c r="BH256" s="43"/>
      <c r="BI256" s="43"/>
      <c r="BJ256" s="43"/>
      <c r="BK256" s="43"/>
      <c r="BL256" s="43"/>
      <c r="CC256" s="50"/>
      <c r="CD256" s="50"/>
      <c r="CE256" s="50"/>
      <c r="CF256" s="50"/>
      <c r="CG256" s="50"/>
      <c r="CH256" s="50"/>
      <c r="CI256" s="50"/>
      <c r="CJ256" s="50"/>
      <c r="CO256" s="43"/>
      <c r="CP256" s="43"/>
      <c r="CQ256" s="43"/>
    </row>
    <row r="257" spans="1:95" x14ac:dyDescent="0.25">
      <c r="A257" s="43"/>
      <c r="C257" s="42"/>
      <c r="D257" s="43"/>
      <c r="E257" s="43"/>
      <c r="F257" s="43"/>
      <c r="G257" s="43"/>
      <c r="H257" s="43"/>
      <c r="Q257" s="43"/>
      <c r="R257" s="42"/>
      <c r="V257" s="43"/>
      <c r="AC257" s="43"/>
      <c r="AD257" s="43"/>
      <c r="AF257" s="42"/>
      <c r="AG257" s="42"/>
      <c r="AH257" s="42"/>
      <c r="AI257" s="42"/>
      <c r="AJ257" s="42"/>
      <c r="AK257" s="42"/>
      <c r="AL257" s="42"/>
      <c r="AM257" s="42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BC257" s="50"/>
      <c r="BD257" s="50"/>
      <c r="BE257" s="50"/>
      <c r="BF257" s="50"/>
      <c r="BG257" s="50"/>
      <c r="BH257" s="43"/>
      <c r="BI257" s="43"/>
      <c r="BJ257" s="43"/>
      <c r="BK257" s="43"/>
      <c r="BL257" s="43"/>
      <c r="CC257" s="50"/>
      <c r="CD257" s="50"/>
      <c r="CE257" s="50"/>
      <c r="CF257" s="50"/>
      <c r="CG257" s="50"/>
      <c r="CH257" s="50"/>
      <c r="CI257" s="50"/>
      <c r="CJ257" s="50"/>
      <c r="CO257" s="43"/>
      <c r="CP257" s="43"/>
      <c r="CQ257" s="43"/>
    </row>
    <row r="258" spans="1:95" x14ac:dyDescent="0.25">
      <c r="A258" s="43"/>
      <c r="C258" s="42"/>
      <c r="D258" s="43"/>
      <c r="E258" s="43"/>
      <c r="F258" s="43"/>
      <c r="G258" s="43"/>
      <c r="H258" s="43"/>
      <c r="Q258" s="43"/>
      <c r="R258" s="42"/>
      <c r="V258" s="43"/>
      <c r="AC258" s="43"/>
      <c r="AD258" s="43"/>
      <c r="AF258" s="42"/>
      <c r="AG258" s="42"/>
      <c r="AH258" s="42"/>
      <c r="AI258" s="42"/>
      <c r="AJ258" s="42"/>
      <c r="AK258" s="42"/>
      <c r="AL258" s="42"/>
      <c r="AM258" s="42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BC258" s="50"/>
      <c r="BD258" s="50"/>
      <c r="BE258" s="50"/>
      <c r="BF258" s="50"/>
      <c r="BG258" s="50"/>
      <c r="BH258" s="43"/>
      <c r="BI258" s="43"/>
      <c r="BJ258" s="43"/>
      <c r="BK258" s="43"/>
      <c r="BL258" s="43"/>
      <c r="CC258" s="50"/>
      <c r="CD258" s="50"/>
      <c r="CE258" s="50"/>
      <c r="CF258" s="50"/>
      <c r="CG258" s="50"/>
      <c r="CH258" s="50"/>
      <c r="CI258" s="50"/>
      <c r="CJ258" s="50"/>
      <c r="CO258" s="43"/>
      <c r="CP258" s="43"/>
      <c r="CQ258" s="43"/>
    </row>
    <row r="259" spans="1:95" x14ac:dyDescent="0.25">
      <c r="A259" s="43"/>
      <c r="C259" s="42"/>
      <c r="D259" s="43"/>
      <c r="E259" s="43"/>
      <c r="F259" s="43"/>
      <c r="G259" s="43"/>
      <c r="H259" s="43"/>
      <c r="Q259" s="43"/>
      <c r="R259" s="42"/>
      <c r="V259" s="43"/>
      <c r="AC259" s="43"/>
      <c r="AD259" s="43"/>
      <c r="AF259" s="42"/>
      <c r="AG259" s="42"/>
      <c r="AH259" s="42"/>
      <c r="AI259" s="42"/>
      <c r="AJ259" s="42"/>
      <c r="AK259" s="42"/>
      <c r="AL259" s="42"/>
      <c r="AM259" s="42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BC259" s="50"/>
      <c r="BD259" s="50"/>
      <c r="BE259" s="50"/>
      <c r="BF259" s="50"/>
      <c r="BG259" s="50"/>
      <c r="BH259" s="43"/>
      <c r="BI259" s="43"/>
      <c r="BJ259" s="43"/>
      <c r="BK259" s="43"/>
      <c r="BL259" s="43"/>
      <c r="CC259" s="50"/>
      <c r="CD259" s="50"/>
      <c r="CE259" s="50"/>
      <c r="CF259" s="50"/>
      <c r="CG259" s="50"/>
      <c r="CH259" s="50"/>
      <c r="CI259" s="50"/>
      <c r="CJ259" s="50"/>
      <c r="CO259" s="43"/>
      <c r="CP259" s="43"/>
      <c r="CQ259" s="43"/>
    </row>
    <row r="260" spans="1:95" x14ac:dyDescent="0.25">
      <c r="A260" s="43"/>
      <c r="C260" s="42"/>
      <c r="D260" s="43"/>
      <c r="E260" s="43"/>
      <c r="F260" s="43"/>
      <c r="G260" s="43"/>
      <c r="H260" s="43"/>
      <c r="Q260" s="43"/>
      <c r="R260" s="42"/>
      <c r="V260" s="43"/>
      <c r="AC260" s="43"/>
      <c r="AD260" s="43"/>
      <c r="AF260" s="42"/>
      <c r="AG260" s="42"/>
      <c r="AH260" s="42"/>
      <c r="AI260" s="42"/>
      <c r="AJ260" s="42"/>
      <c r="AK260" s="42"/>
      <c r="AL260" s="42"/>
      <c r="AM260" s="42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BC260" s="50"/>
      <c r="BD260" s="50"/>
      <c r="BE260" s="50"/>
      <c r="BF260" s="50"/>
      <c r="BG260" s="50"/>
      <c r="BH260" s="43"/>
      <c r="BI260" s="43"/>
      <c r="BJ260" s="43"/>
      <c r="BK260" s="43"/>
      <c r="BL260" s="43"/>
      <c r="CC260" s="50"/>
      <c r="CD260" s="50"/>
      <c r="CE260" s="50"/>
      <c r="CF260" s="50"/>
      <c r="CG260" s="50"/>
      <c r="CH260" s="50"/>
      <c r="CI260" s="50"/>
      <c r="CJ260" s="50"/>
      <c r="CO260" s="43"/>
      <c r="CP260" s="43"/>
      <c r="CQ260" s="43"/>
    </row>
    <row r="261" spans="1:95" x14ac:dyDescent="0.25">
      <c r="A261" s="43"/>
      <c r="C261" s="42"/>
      <c r="D261" s="43"/>
      <c r="E261" s="43"/>
      <c r="F261" s="43"/>
      <c r="G261" s="43"/>
      <c r="H261" s="43"/>
      <c r="Q261" s="43"/>
      <c r="R261" s="42"/>
      <c r="V261" s="43"/>
      <c r="AC261" s="43"/>
      <c r="AD261" s="43"/>
      <c r="AF261" s="42"/>
      <c r="AG261" s="42"/>
      <c r="AH261" s="42"/>
      <c r="AI261" s="42"/>
      <c r="AJ261" s="42"/>
      <c r="AK261" s="42"/>
      <c r="AL261" s="42"/>
      <c r="AM261" s="42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BC261" s="50"/>
      <c r="BD261" s="50"/>
      <c r="BE261" s="50"/>
      <c r="BF261" s="50"/>
      <c r="BG261" s="50"/>
      <c r="BH261" s="43"/>
      <c r="BI261" s="43"/>
      <c r="BJ261" s="43"/>
      <c r="BK261" s="43"/>
      <c r="BL261" s="43"/>
      <c r="CC261" s="50"/>
      <c r="CD261" s="50"/>
      <c r="CE261" s="50"/>
      <c r="CF261" s="50"/>
      <c r="CG261" s="50"/>
      <c r="CH261" s="50"/>
      <c r="CI261" s="50"/>
      <c r="CJ261" s="50"/>
      <c r="CO261" s="43"/>
      <c r="CP261" s="43"/>
      <c r="CQ261" s="43"/>
    </row>
    <row r="262" spans="1:95" x14ac:dyDescent="0.25">
      <c r="A262" s="43"/>
      <c r="C262" s="42"/>
      <c r="D262" s="43"/>
      <c r="E262" s="43"/>
      <c r="F262" s="43"/>
      <c r="G262" s="43"/>
      <c r="H262" s="43"/>
      <c r="Q262" s="43"/>
      <c r="R262" s="42"/>
      <c r="V262" s="43"/>
      <c r="AC262" s="43"/>
      <c r="AD262" s="43"/>
      <c r="AF262" s="42"/>
      <c r="AG262" s="42"/>
      <c r="AH262" s="42"/>
      <c r="AI262" s="42"/>
      <c r="AJ262" s="42"/>
      <c r="AK262" s="42"/>
      <c r="AL262" s="42"/>
      <c r="AM262" s="42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BC262" s="50"/>
      <c r="BD262" s="50"/>
      <c r="BE262" s="50"/>
      <c r="BF262" s="50"/>
      <c r="BG262" s="50"/>
      <c r="BH262" s="43"/>
      <c r="BI262" s="43"/>
      <c r="BJ262" s="43"/>
      <c r="BK262" s="43"/>
      <c r="BL262" s="43"/>
      <c r="CC262" s="50"/>
      <c r="CD262" s="50"/>
      <c r="CE262" s="50"/>
      <c r="CF262" s="50"/>
      <c r="CG262" s="50"/>
      <c r="CH262" s="50"/>
      <c r="CI262" s="50"/>
      <c r="CJ262" s="50"/>
      <c r="CO262" s="43"/>
      <c r="CP262" s="43"/>
      <c r="CQ262" s="43"/>
    </row>
    <row r="263" spans="1:95" x14ac:dyDescent="0.25">
      <c r="A263" s="43"/>
      <c r="C263" s="42"/>
      <c r="D263" s="43"/>
      <c r="E263" s="43"/>
      <c r="F263" s="43"/>
      <c r="G263" s="43"/>
      <c r="H263" s="43"/>
      <c r="Q263" s="43"/>
      <c r="R263" s="42"/>
      <c r="V263" s="43"/>
      <c r="AC263" s="43"/>
      <c r="AD263" s="43"/>
      <c r="AF263" s="42"/>
      <c r="AG263" s="42"/>
      <c r="AH263" s="42"/>
      <c r="AI263" s="42"/>
      <c r="AJ263" s="42"/>
      <c r="AK263" s="42"/>
      <c r="AL263" s="42"/>
      <c r="AM263" s="42"/>
      <c r="AN263" s="43"/>
      <c r="AO263" s="43"/>
      <c r="AP263" s="43"/>
      <c r="AQ263" s="43"/>
      <c r="AR263" s="43"/>
      <c r="AS263" s="43"/>
      <c r="AT263" s="43"/>
      <c r="AU263" s="43"/>
      <c r="AV263" s="43"/>
      <c r="AW263" s="43"/>
      <c r="AX263" s="43"/>
      <c r="BC263" s="50"/>
      <c r="BD263" s="50"/>
      <c r="BE263" s="50"/>
      <c r="BF263" s="50"/>
      <c r="BG263" s="50"/>
      <c r="BH263" s="43"/>
      <c r="BI263" s="43"/>
      <c r="BJ263" s="43"/>
      <c r="BK263" s="43"/>
      <c r="BL263" s="43"/>
      <c r="CC263" s="50"/>
      <c r="CD263" s="50"/>
      <c r="CE263" s="50"/>
      <c r="CF263" s="50"/>
      <c r="CG263" s="50"/>
      <c r="CH263" s="50"/>
      <c r="CI263" s="50"/>
      <c r="CJ263" s="50"/>
      <c r="CO263" s="43"/>
      <c r="CP263" s="43"/>
      <c r="CQ263" s="43"/>
    </row>
    <row r="264" spans="1:95" x14ac:dyDescent="0.25">
      <c r="A264" s="43"/>
      <c r="C264" s="42"/>
      <c r="D264" s="43"/>
      <c r="E264" s="43"/>
      <c r="F264" s="43"/>
      <c r="G264" s="43"/>
      <c r="H264" s="43"/>
      <c r="Q264" s="43"/>
      <c r="R264" s="42"/>
      <c r="V264" s="43"/>
      <c r="AC264" s="43"/>
      <c r="AD264" s="43"/>
      <c r="AF264" s="42"/>
      <c r="AG264" s="42"/>
      <c r="AH264" s="42"/>
      <c r="AI264" s="42"/>
      <c r="AJ264" s="42"/>
      <c r="AK264" s="42"/>
      <c r="AL264" s="42"/>
      <c r="AM264" s="42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BC264" s="50"/>
      <c r="BD264" s="50"/>
      <c r="BE264" s="50"/>
      <c r="BF264" s="50"/>
      <c r="BG264" s="50"/>
      <c r="BH264" s="43"/>
      <c r="BI264" s="43"/>
      <c r="BJ264" s="43"/>
      <c r="BK264" s="43"/>
      <c r="BL264" s="43"/>
      <c r="CC264" s="50"/>
      <c r="CD264" s="50"/>
      <c r="CE264" s="50"/>
      <c r="CF264" s="50"/>
      <c r="CG264" s="50"/>
      <c r="CH264" s="50"/>
      <c r="CI264" s="50"/>
      <c r="CJ264" s="50"/>
      <c r="CO264" s="43"/>
      <c r="CP264" s="43"/>
      <c r="CQ264" s="43"/>
    </row>
    <row r="265" spans="1:95" x14ac:dyDescent="0.25">
      <c r="A265" s="43"/>
      <c r="C265" s="42"/>
      <c r="D265" s="43"/>
      <c r="E265" s="43"/>
      <c r="F265" s="43"/>
      <c r="G265" s="43"/>
      <c r="H265" s="43"/>
      <c r="Q265" s="43"/>
      <c r="R265" s="42"/>
      <c r="V265" s="43"/>
      <c r="AC265" s="43"/>
      <c r="AD265" s="43"/>
      <c r="AF265" s="42"/>
      <c r="AG265" s="42"/>
      <c r="AH265" s="42"/>
      <c r="AI265" s="42"/>
      <c r="AJ265" s="42"/>
      <c r="AK265" s="42"/>
      <c r="AL265" s="42"/>
      <c r="AM265" s="42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BC265" s="50"/>
      <c r="BD265" s="50"/>
      <c r="BE265" s="50"/>
      <c r="BF265" s="50"/>
      <c r="BG265" s="50"/>
      <c r="BH265" s="43"/>
      <c r="BI265" s="43"/>
      <c r="BJ265" s="43"/>
      <c r="BK265" s="43"/>
      <c r="BL265" s="43"/>
      <c r="CC265" s="50"/>
      <c r="CD265" s="50"/>
      <c r="CE265" s="50"/>
      <c r="CF265" s="50"/>
      <c r="CG265" s="50"/>
      <c r="CH265" s="50"/>
      <c r="CI265" s="50"/>
      <c r="CJ265" s="50"/>
      <c r="CO265" s="43"/>
      <c r="CP265" s="43"/>
      <c r="CQ265" s="43"/>
    </row>
    <row r="266" spans="1:95" x14ac:dyDescent="0.25">
      <c r="A266" s="43"/>
      <c r="C266" s="42"/>
      <c r="D266" s="43"/>
      <c r="E266" s="43"/>
      <c r="F266" s="43"/>
      <c r="G266" s="43"/>
      <c r="H266" s="43"/>
      <c r="Q266" s="43"/>
      <c r="R266" s="42"/>
      <c r="V266" s="43"/>
      <c r="AC266" s="43"/>
      <c r="AD266" s="43"/>
      <c r="AF266" s="42"/>
      <c r="AG266" s="42"/>
      <c r="AH266" s="42"/>
      <c r="AI266" s="42"/>
      <c r="AJ266" s="42"/>
      <c r="AK266" s="42"/>
      <c r="AL266" s="42"/>
      <c r="AM266" s="42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BC266" s="50"/>
      <c r="BD266" s="50"/>
      <c r="BE266" s="50"/>
      <c r="BF266" s="50"/>
      <c r="BG266" s="50"/>
      <c r="BH266" s="43"/>
      <c r="BI266" s="43"/>
      <c r="BJ266" s="43"/>
      <c r="BK266" s="43"/>
      <c r="BL266" s="43"/>
      <c r="CC266" s="50"/>
      <c r="CD266" s="50"/>
      <c r="CE266" s="50"/>
      <c r="CF266" s="50"/>
      <c r="CG266" s="50"/>
      <c r="CH266" s="50"/>
      <c r="CI266" s="50"/>
      <c r="CJ266" s="50"/>
      <c r="CO266" s="43"/>
      <c r="CP266" s="43"/>
      <c r="CQ266" s="43"/>
    </row>
    <row r="267" spans="1:95" x14ac:dyDescent="0.25">
      <c r="A267" s="43"/>
      <c r="C267" s="42"/>
      <c r="D267" s="43"/>
      <c r="E267" s="43"/>
      <c r="F267" s="43"/>
      <c r="G267" s="43"/>
      <c r="H267" s="43"/>
      <c r="Q267" s="43"/>
      <c r="R267" s="42"/>
      <c r="V267" s="43"/>
      <c r="AB267" s="42"/>
      <c r="AD267" s="43"/>
      <c r="AH267" s="42"/>
      <c r="AI267" s="42"/>
      <c r="AJ267" s="42"/>
      <c r="AK267" s="42"/>
      <c r="AL267" s="42"/>
      <c r="AM267" s="42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BC267" s="50"/>
      <c r="BD267" s="50"/>
      <c r="BE267" s="50"/>
      <c r="BF267" s="50"/>
      <c r="BG267" s="50"/>
      <c r="BH267" s="43"/>
      <c r="BI267" s="43"/>
      <c r="BJ267" s="43"/>
      <c r="BK267" s="43"/>
      <c r="BL267" s="43"/>
      <c r="CC267" s="50"/>
      <c r="CD267" s="50"/>
      <c r="CE267" s="50"/>
      <c r="CF267" s="50"/>
      <c r="CG267" s="50"/>
      <c r="CH267" s="50"/>
      <c r="CI267" s="50"/>
      <c r="CJ267" s="50"/>
      <c r="CO267" s="43"/>
      <c r="CP267" s="43"/>
      <c r="CQ267" s="43"/>
    </row>
    <row r="268" spans="1:95" x14ac:dyDescent="0.25">
      <c r="A268" s="43"/>
      <c r="C268" s="42"/>
      <c r="D268" s="43"/>
      <c r="E268" s="43"/>
      <c r="F268" s="43"/>
      <c r="G268" s="43"/>
      <c r="H268" s="43"/>
      <c r="Q268" s="43"/>
      <c r="R268" s="42"/>
      <c r="V268" s="43"/>
      <c r="AB268" s="42"/>
      <c r="AD268" s="43"/>
      <c r="AH268" s="42"/>
      <c r="AI268" s="42"/>
      <c r="AJ268" s="42"/>
      <c r="AK268" s="42"/>
      <c r="AL268" s="42"/>
      <c r="AM268" s="42"/>
      <c r="AW268" s="43"/>
      <c r="AX268" s="43"/>
      <c r="BC268" s="50"/>
      <c r="BD268" s="50"/>
      <c r="BE268" s="50"/>
      <c r="BF268" s="50"/>
      <c r="BG268" s="50"/>
      <c r="BH268" s="43"/>
      <c r="CC268" s="50"/>
      <c r="CD268" s="50"/>
      <c r="CE268" s="50"/>
      <c r="CF268" s="50"/>
      <c r="CG268" s="50"/>
      <c r="CH268" s="50"/>
      <c r="CI268" s="50"/>
      <c r="CJ268" s="50"/>
      <c r="CN268" s="42"/>
    </row>
    <row r="269" spans="1:95" x14ac:dyDescent="0.25">
      <c r="A269" s="43"/>
      <c r="C269" s="42"/>
      <c r="D269" s="43"/>
      <c r="E269" s="43"/>
      <c r="F269" s="43"/>
      <c r="G269" s="43"/>
      <c r="H269" s="43"/>
      <c r="Q269" s="43"/>
      <c r="R269" s="42"/>
      <c r="V269" s="43"/>
      <c r="AB269" s="42"/>
      <c r="AD269" s="43"/>
      <c r="AH269" s="42"/>
      <c r="AI269" s="42"/>
      <c r="AJ269" s="42"/>
      <c r="AK269" s="42"/>
      <c r="AL269" s="42"/>
      <c r="AM269" s="42"/>
      <c r="BC269" s="50"/>
      <c r="BD269" s="50"/>
      <c r="BE269" s="50"/>
      <c r="BF269" s="50"/>
      <c r="BG269" s="50"/>
      <c r="CN269" s="42"/>
    </row>
    <row r="270" spans="1:95" x14ac:dyDescent="0.25">
      <c r="A270" s="43"/>
      <c r="C270" s="42"/>
      <c r="D270" s="43"/>
      <c r="E270" s="43"/>
      <c r="F270" s="43"/>
      <c r="G270" s="43"/>
      <c r="H270" s="43"/>
      <c r="Q270" s="43"/>
      <c r="R270" s="42"/>
      <c r="V270" s="43"/>
      <c r="AB270" s="42"/>
      <c r="AD270" s="43"/>
      <c r="AH270" s="42"/>
      <c r="AI270" s="42"/>
      <c r="AJ270" s="42"/>
      <c r="AK270" s="42"/>
      <c r="AL270" s="42"/>
      <c r="AM270" s="42"/>
      <c r="BC270" s="50"/>
      <c r="BD270" s="50"/>
      <c r="BE270" s="50"/>
      <c r="BF270" s="50"/>
      <c r="BG270" s="50"/>
      <c r="CN270" s="42"/>
    </row>
    <row r="271" spans="1:95" x14ac:dyDescent="0.25">
      <c r="A271" s="43"/>
      <c r="C271" s="42"/>
      <c r="D271" s="43"/>
      <c r="E271" s="43"/>
      <c r="F271" s="43"/>
      <c r="G271" s="43"/>
      <c r="H271" s="43"/>
      <c r="Q271" s="43"/>
      <c r="R271" s="42"/>
      <c r="V271" s="43"/>
      <c r="AB271" s="42"/>
      <c r="AD271" s="43"/>
      <c r="AH271" s="42"/>
      <c r="AI271" s="42"/>
      <c r="AJ271" s="42"/>
      <c r="AK271" s="42"/>
      <c r="AL271" s="42"/>
      <c r="AM271" s="42"/>
      <c r="BC271" s="50"/>
      <c r="BD271" s="50"/>
      <c r="BE271" s="50"/>
      <c r="BF271" s="50"/>
      <c r="BG271" s="50"/>
      <c r="CN271" s="42"/>
    </row>
    <row r="272" spans="1:95" x14ac:dyDescent="0.25">
      <c r="A272" s="43"/>
      <c r="C272" s="42"/>
      <c r="D272" s="43"/>
      <c r="E272" s="43"/>
      <c r="F272" s="43"/>
      <c r="G272" s="43"/>
      <c r="H272" s="43"/>
      <c r="Q272" s="43"/>
      <c r="R272" s="42"/>
      <c r="V272" s="43"/>
      <c r="AB272" s="42"/>
      <c r="AD272" s="43"/>
      <c r="AH272" s="42"/>
      <c r="AI272" s="42"/>
      <c r="AJ272" s="42"/>
      <c r="AK272" s="42"/>
      <c r="AL272" s="42"/>
      <c r="AM272" s="42"/>
      <c r="BC272" s="50"/>
      <c r="BD272" s="50"/>
      <c r="BE272" s="50"/>
      <c r="BF272" s="50"/>
      <c r="BG272" s="50"/>
      <c r="CN272" s="42"/>
    </row>
    <row r="273" spans="34:92" x14ac:dyDescent="0.25">
      <c r="AH273" s="42"/>
      <c r="AI273" s="42"/>
      <c r="AJ273" s="42"/>
      <c r="AK273" s="42"/>
      <c r="AL273" s="42"/>
      <c r="AM273" s="42"/>
      <c r="BC273" s="50"/>
      <c r="BD273" s="50"/>
      <c r="BE273" s="50"/>
      <c r="BF273" s="50"/>
      <c r="BG273" s="50"/>
      <c r="CN273" s="42"/>
    </row>
    <row r="274" spans="34:92" x14ac:dyDescent="0.25">
      <c r="BC274" s="50"/>
      <c r="BD274" s="50"/>
      <c r="BE274" s="50"/>
      <c r="BF274" s="50"/>
      <c r="BG274" s="50"/>
    </row>
    <row r="275" spans="34:92" x14ac:dyDescent="0.25">
      <c r="BC275" s="50"/>
      <c r="BD275" s="50"/>
      <c r="BE275" s="50"/>
      <c r="BF275" s="50"/>
      <c r="BG275" s="50"/>
    </row>
    <row r="276" spans="34:92" x14ac:dyDescent="0.25">
      <c r="BC276" s="50"/>
      <c r="BD276" s="50"/>
      <c r="BE276" s="50"/>
      <c r="BF276" s="50"/>
      <c r="BG276" s="50"/>
    </row>
    <row r="277" spans="34:92" x14ac:dyDescent="0.25">
      <c r="BC277" s="50"/>
      <c r="BD277" s="50"/>
      <c r="BE277" s="50"/>
      <c r="BF277" s="50"/>
      <c r="BG277" s="50"/>
    </row>
    <row r="278" spans="34:92" x14ac:dyDescent="0.25">
      <c r="BC278" s="50"/>
      <c r="BD278" s="50"/>
      <c r="BE278" s="50"/>
      <c r="BF278" s="50"/>
      <c r="BG278" s="50"/>
    </row>
    <row r="279" spans="34:92" x14ac:dyDescent="0.25">
      <c r="BC279" s="50"/>
      <c r="BD279" s="50"/>
      <c r="BE279" s="50"/>
      <c r="BF279" s="50"/>
      <c r="BG279" s="50"/>
    </row>
    <row r="280" spans="34:92" x14ac:dyDescent="0.25">
      <c r="BC280" s="50"/>
      <c r="BD280" s="50"/>
      <c r="BE280" s="50"/>
      <c r="BF280" s="50"/>
      <c r="BG280" s="50"/>
    </row>
    <row r="281" spans="34:92" x14ac:dyDescent="0.25">
      <c r="BC281" s="50"/>
      <c r="BD281" s="50"/>
      <c r="BE281" s="50"/>
      <c r="BF281" s="50"/>
      <c r="BG281" s="50"/>
    </row>
    <row r="282" spans="34:92" x14ac:dyDescent="0.25">
      <c r="BC282" s="50"/>
      <c r="BD282" s="50"/>
      <c r="BE282" s="50"/>
      <c r="BF282" s="50"/>
      <c r="BG282" s="50"/>
    </row>
    <row r="283" spans="34:92" x14ac:dyDescent="0.25">
      <c r="BC283" s="50"/>
      <c r="BD283" s="50"/>
      <c r="BE283" s="50"/>
      <c r="BF283" s="50"/>
      <c r="BG283" s="50"/>
    </row>
    <row r="284" spans="34:92" x14ac:dyDescent="0.25">
      <c r="BC284" s="50"/>
      <c r="BD284" s="50"/>
      <c r="BE284" s="50"/>
      <c r="BF284" s="50"/>
      <c r="BG284" s="50"/>
    </row>
    <row r="285" spans="34:92" x14ac:dyDescent="0.25">
      <c r="BC285" s="50"/>
      <c r="BD285" s="50"/>
      <c r="BE285" s="50"/>
      <c r="BF285" s="50"/>
      <c r="BG285" s="50"/>
    </row>
    <row r="286" spans="34:92" x14ac:dyDescent="0.25">
      <c r="BC286" s="50"/>
      <c r="BD286" s="50"/>
      <c r="BE286" s="50"/>
      <c r="BF286" s="50"/>
      <c r="BG286" s="50"/>
    </row>
    <row r="287" spans="34:92" x14ac:dyDescent="0.25">
      <c r="BC287" s="50"/>
      <c r="BD287" s="50"/>
      <c r="BE287" s="50"/>
      <c r="BF287" s="50"/>
      <c r="BG287" s="50"/>
    </row>
    <row r="288" spans="34:92" x14ac:dyDescent="0.25">
      <c r="BC288" s="50"/>
      <c r="BD288" s="50"/>
      <c r="BE288" s="50"/>
      <c r="BF288" s="50"/>
      <c r="BG288" s="50"/>
    </row>
    <row r="289" spans="55:59" x14ac:dyDescent="0.25">
      <c r="BC289" s="50"/>
      <c r="BD289" s="50"/>
      <c r="BE289" s="50"/>
      <c r="BF289" s="50"/>
      <c r="BG289" s="50"/>
    </row>
    <row r="290" spans="55:59" x14ac:dyDescent="0.25">
      <c r="BC290" s="50"/>
      <c r="BD290" s="50"/>
      <c r="BE290" s="50"/>
      <c r="BF290" s="50"/>
      <c r="BG290" s="50"/>
    </row>
    <row r="291" spans="55:59" x14ac:dyDescent="0.25">
      <c r="BC291" s="50"/>
      <c r="BD291" s="50"/>
      <c r="BE291" s="50"/>
      <c r="BF291" s="50"/>
      <c r="BG291" s="50"/>
    </row>
    <row r="292" spans="55:59" x14ac:dyDescent="0.25">
      <c r="BC292" s="50"/>
      <c r="BD292" s="50"/>
      <c r="BE292" s="50"/>
      <c r="BF292" s="50"/>
      <c r="BG292" s="50"/>
    </row>
    <row r="293" spans="55:59" x14ac:dyDescent="0.25">
      <c r="BC293" s="50"/>
      <c r="BD293" s="50"/>
      <c r="BE293" s="50"/>
      <c r="BF293" s="50"/>
      <c r="BG293" s="50"/>
    </row>
    <row r="294" spans="55:59" x14ac:dyDescent="0.25">
      <c r="BC294" s="50"/>
      <c r="BD294" s="50"/>
      <c r="BE294" s="50"/>
      <c r="BF294" s="50"/>
      <c r="BG294" s="50"/>
    </row>
    <row r="295" spans="55:59" x14ac:dyDescent="0.25">
      <c r="BC295" s="50"/>
      <c r="BD295" s="50"/>
      <c r="BE295" s="50"/>
      <c r="BF295" s="50"/>
      <c r="BG295" s="50"/>
    </row>
    <row r="296" spans="55:59" x14ac:dyDescent="0.25">
      <c r="BC296" s="50"/>
      <c r="BD296" s="50"/>
      <c r="BE296" s="50"/>
      <c r="BF296" s="50"/>
      <c r="BG296" s="50"/>
    </row>
    <row r="297" spans="55:59" x14ac:dyDescent="0.25">
      <c r="BC297" s="50"/>
      <c r="BD297" s="50"/>
      <c r="BE297" s="50"/>
      <c r="BF297" s="50"/>
      <c r="BG297" s="50"/>
    </row>
    <row r="298" spans="55:59" x14ac:dyDescent="0.25">
      <c r="BC298" s="50"/>
      <c r="BD298" s="50"/>
      <c r="BE298" s="50"/>
      <c r="BF298" s="50"/>
      <c r="BG298" s="50"/>
    </row>
    <row r="299" spans="55:59" x14ac:dyDescent="0.25">
      <c r="BC299" s="50"/>
      <c r="BD299" s="50"/>
      <c r="BE299" s="50"/>
      <c r="BF299" s="50"/>
      <c r="BG299" s="50"/>
    </row>
    <row r="300" spans="55:59" x14ac:dyDescent="0.25">
      <c r="BC300" s="50"/>
      <c r="BD300" s="50"/>
      <c r="BE300" s="50"/>
      <c r="BF300" s="50"/>
      <c r="BG300" s="50"/>
    </row>
    <row r="301" spans="55:59" x14ac:dyDescent="0.25">
      <c r="BC301" s="50"/>
      <c r="BD301" s="50"/>
      <c r="BE301" s="50"/>
      <c r="BF301" s="50"/>
      <c r="BG301" s="50"/>
    </row>
    <row r="302" spans="55:59" x14ac:dyDescent="0.25">
      <c r="BC302" s="50"/>
      <c r="BD302" s="50"/>
      <c r="BE302" s="50"/>
      <c r="BF302" s="50"/>
      <c r="BG302" s="50"/>
    </row>
    <row r="303" spans="55:59" x14ac:dyDescent="0.25">
      <c r="BC303" s="50"/>
      <c r="BD303" s="50"/>
      <c r="BE303" s="50"/>
      <c r="BF303" s="50"/>
      <c r="BG303" s="50"/>
    </row>
    <row r="304" spans="55:59" x14ac:dyDescent="0.25">
      <c r="BC304" s="50"/>
      <c r="BD304" s="50"/>
      <c r="BE304" s="50"/>
      <c r="BF304" s="50"/>
      <c r="BG304" s="50"/>
    </row>
    <row r="305" spans="55:59" x14ac:dyDescent="0.25">
      <c r="BC305" s="50"/>
      <c r="BD305" s="50"/>
      <c r="BE305" s="50"/>
      <c r="BF305" s="50"/>
      <c r="BG305" s="50"/>
    </row>
    <row r="306" spans="55:59" x14ac:dyDescent="0.25">
      <c r="BC306" s="50"/>
      <c r="BD306" s="50"/>
      <c r="BE306" s="50"/>
      <c r="BF306" s="50"/>
      <c r="BG306" s="50"/>
    </row>
    <row r="307" spans="55:59" x14ac:dyDescent="0.25">
      <c r="BC307" s="50"/>
      <c r="BD307" s="50"/>
      <c r="BE307" s="50"/>
      <c r="BF307" s="50"/>
      <c r="BG307" s="50"/>
    </row>
    <row r="308" spans="55:59" x14ac:dyDescent="0.25">
      <c r="BC308" s="50"/>
      <c r="BD308" s="50"/>
      <c r="BE308" s="50"/>
      <c r="BF308" s="50"/>
      <c r="BG308" s="50"/>
    </row>
    <row r="309" spans="55:59" x14ac:dyDescent="0.25">
      <c r="BC309" s="50"/>
      <c r="BD309" s="50"/>
      <c r="BE309" s="50"/>
      <c r="BF309" s="50"/>
      <c r="BG309" s="50"/>
    </row>
    <row r="310" spans="55:59" x14ac:dyDescent="0.25">
      <c r="BC310" s="50"/>
      <c r="BD310" s="50"/>
      <c r="BE310" s="50"/>
      <c r="BF310" s="50"/>
      <c r="BG310" s="50"/>
    </row>
    <row r="311" spans="55:59" x14ac:dyDescent="0.25">
      <c r="BC311" s="50"/>
      <c r="BD311" s="50"/>
      <c r="BE311" s="50"/>
      <c r="BF311" s="50"/>
      <c r="BG311" s="50"/>
    </row>
    <row r="312" spans="55:59" x14ac:dyDescent="0.25">
      <c r="BC312" s="50"/>
      <c r="BD312" s="50"/>
      <c r="BE312" s="50"/>
      <c r="BF312" s="50"/>
      <c r="BG312" s="50"/>
    </row>
    <row r="313" spans="55:59" x14ac:dyDescent="0.25">
      <c r="BC313" s="50"/>
      <c r="BD313" s="50"/>
      <c r="BE313" s="50"/>
      <c r="BF313" s="50"/>
      <c r="BG313" s="50"/>
    </row>
    <row r="314" spans="55:59" x14ac:dyDescent="0.25">
      <c r="BC314" s="50"/>
      <c r="BD314" s="50"/>
      <c r="BE314" s="50"/>
      <c r="BF314" s="50"/>
      <c r="BG314" s="50"/>
    </row>
    <row r="315" spans="55:59" x14ac:dyDescent="0.25">
      <c r="BC315" s="50"/>
      <c r="BD315" s="50"/>
      <c r="BE315" s="50"/>
      <c r="BF315" s="50"/>
      <c r="BG315" s="50"/>
    </row>
    <row r="316" spans="55:59" x14ac:dyDescent="0.25">
      <c r="BC316" s="50"/>
      <c r="BD316" s="50"/>
      <c r="BE316" s="50"/>
      <c r="BF316" s="50"/>
      <c r="BG316" s="50"/>
    </row>
    <row r="317" spans="55:59" x14ac:dyDescent="0.25">
      <c r="BC317" s="50"/>
      <c r="BD317" s="50"/>
      <c r="BE317" s="50"/>
      <c r="BF317" s="50"/>
      <c r="BG317" s="50"/>
    </row>
    <row r="318" spans="55:59" x14ac:dyDescent="0.25">
      <c r="BC318" s="50"/>
      <c r="BD318" s="50"/>
      <c r="BE318" s="50"/>
      <c r="BF318" s="50"/>
      <c r="BG318" s="50"/>
    </row>
    <row r="319" spans="55:59" x14ac:dyDescent="0.25">
      <c r="BC319" s="50"/>
      <c r="BD319" s="50"/>
      <c r="BE319" s="50"/>
      <c r="BF319" s="50"/>
      <c r="BG319" s="50"/>
    </row>
    <row r="320" spans="55:59" x14ac:dyDescent="0.25">
      <c r="BC320" s="50"/>
      <c r="BD320" s="50"/>
      <c r="BE320" s="50"/>
      <c r="BF320" s="50"/>
      <c r="BG320" s="50"/>
    </row>
    <row r="321" spans="55:59" x14ac:dyDescent="0.25">
      <c r="BC321" s="50"/>
      <c r="BD321" s="50"/>
      <c r="BE321" s="50"/>
      <c r="BF321" s="50"/>
      <c r="BG321" s="50"/>
    </row>
    <row r="322" spans="55:59" x14ac:dyDescent="0.25">
      <c r="BC322" s="50"/>
      <c r="BD322" s="50"/>
      <c r="BE322" s="50"/>
      <c r="BF322" s="50"/>
      <c r="BG322" s="50"/>
    </row>
    <row r="323" spans="55:59" x14ac:dyDescent="0.25">
      <c r="BC323" s="50"/>
      <c r="BD323" s="50"/>
      <c r="BE323" s="50"/>
      <c r="BF323" s="50"/>
      <c r="BG323" s="50"/>
    </row>
    <row r="324" spans="55:59" x14ac:dyDescent="0.25">
      <c r="BC324" s="50"/>
      <c r="BD324" s="50"/>
      <c r="BE324" s="50"/>
      <c r="BF324" s="50"/>
      <c r="BG324" s="50"/>
    </row>
    <row r="325" spans="55:59" x14ac:dyDescent="0.25">
      <c r="BC325" s="50"/>
      <c r="BD325" s="50"/>
      <c r="BE325" s="50"/>
      <c r="BF325" s="50"/>
      <c r="BG325" s="50"/>
    </row>
    <row r="326" spans="55:59" x14ac:dyDescent="0.25">
      <c r="BC326" s="50"/>
      <c r="BD326" s="50"/>
      <c r="BE326" s="50"/>
      <c r="BF326" s="50"/>
      <c r="BG326" s="50"/>
    </row>
    <row r="327" spans="55:59" x14ac:dyDescent="0.25">
      <c r="BC327" s="50"/>
      <c r="BD327" s="50"/>
      <c r="BE327" s="50"/>
      <c r="BF327" s="50"/>
      <c r="BG327" s="50"/>
    </row>
    <row r="328" spans="55:59" x14ac:dyDescent="0.25">
      <c r="BC328" s="50"/>
      <c r="BD328" s="50"/>
      <c r="BE328" s="50"/>
      <c r="BF328" s="50"/>
      <c r="BG328" s="50"/>
    </row>
    <row r="329" spans="55:59" x14ac:dyDescent="0.25">
      <c r="BC329" s="50"/>
      <c r="BD329" s="50"/>
      <c r="BE329" s="50"/>
      <c r="BF329" s="50"/>
      <c r="BG329" s="50"/>
    </row>
    <row r="330" spans="55:59" x14ac:dyDescent="0.25">
      <c r="BC330" s="50"/>
      <c r="BD330" s="50"/>
      <c r="BE330" s="50"/>
      <c r="BF330" s="50"/>
      <c r="BG330" s="50"/>
    </row>
    <row r="331" spans="55:59" x14ac:dyDescent="0.25">
      <c r="BC331" s="50"/>
      <c r="BD331" s="50"/>
      <c r="BE331" s="50"/>
      <c r="BF331" s="50"/>
      <c r="BG331" s="50"/>
    </row>
    <row r="332" spans="55:59" x14ac:dyDescent="0.25">
      <c r="BC332" s="50"/>
      <c r="BD332" s="50"/>
      <c r="BE332" s="50"/>
      <c r="BF332" s="50"/>
      <c r="BG332" s="50"/>
    </row>
    <row r="333" spans="55:59" x14ac:dyDescent="0.25">
      <c r="BC333" s="50"/>
      <c r="BD333" s="50"/>
      <c r="BE333" s="50"/>
      <c r="BF333" s="50"/>
      <c r="BG333" s="50"/>
    </row>
    <row r="334" spans="55:59" x14ac:dyDescent="0.25">
      <c r="BC334" s="50"/>
      <c r="BD334" s="50"/>
      <c r="BE334" s="50"/>
      <c r="BF334" s="50"/>
      <c r="BG334" s="50"/>
    </row>
    <row r="335" spans="55:59" x14ac:dyDescent="0.25">
      <c r="BC335" s="50"/>
      <c r="BD335" s="50"/>
      <c r="BE335" s="50"/>
      <c r="BF335" s="50"/>
      <c r="BG335" s="50"/>
    </row>
    <row r="336" spans="55:59" x14ac:dyDescent="0.25">
      <c r="BC336" s="50"/>
      <c r="BD336" s="50"/>
      <c r="BE336" s="50"/>
      <c r="BF336" s="50"/>
      <c r="BG336" s="50"/>
    </row>
    <row r="337" spans="55:59" x14ac:dyDescent="0.25">
      <c r="BC337" s="50"/>
      <c r="BD337" s="50"/>
      <c r="BE337" s="50"/>
      <c r="BF337" s="50"/>
      <c r="BG337" s="50"/>
    </row>
    <row r="338" spans="55:59" x14ac:dyDescent="0.25">
      <c r="BC338" s="50"/>
      <c r="BD338" s="50"/>
      <c r="BE338" s="50"/>
      <c r="BF338" s="50"/>
      <c r="BG338" s="50"/>
    </row>
    <row r="339" spans="55:59" x14ac:dyDescent="0.25">
      <c r="BC339" s="50"/>
      <c r="BD339" s="50"/>
      <c r="BE339" s="50"/>
      <c r="BF339" s="50"/>
      <c r="BG339" s="50"/>
    </row>
    <row r="340" spans="55:59" x14ac:dyDescent="0.25">
      <c r="BC340" s="50"/>
      <c r="BD340" s="50"/>
      <c r="BE340" s="50"/>
      <c r="BF340" s="50"/>
      <c r="BG340" s="50"/>
    </row>
    <row r="341" spans="55:59" x14ac:dyDescent="0.25">
      <c r="BC341" s="50"/>
      <c r="BD341" s="50"/>
      <c r="BE341" s="50"/>
      <c r="BF341" s="50"/>
      <c r="BG341" s="50"/>
    </row>
    <row r="342" spans="55:59" x14ac:dyDescent="0.25">
      <c r="BC342" s="50"/>
      <c r="BD342" s="50"/>
      <c r="BE342" s="50"/>
      <c r="BF342" s="50"/>
      <c r="BG342" s="50"/>
    </row>
    <row r="343" spans="55:59" x14ac:dyDescent="0.25">
      <c r="BC343" s="50"/>
      <c r="BD343" s="50"/>
      <c r="BE343" s="50"/>
      <c r="BF343" s="50"/>
      <c r="BG343" s="50"/>
    </row>
    <row r="344" spans="55:59" x14ac:dyDescent="0.25">
      <c r="BC344" s="50"/>
      <c r="BD344" s="50"/>
      <c r="BE344" s="50"/>
      <c r="BF344" s="50"/>
      <c r="BG344" s="50"/>
    </row>
    <row r="345" spans="55:59" x14ac:dyDescent="0.25">
      <c r="BC345" s="50"/>
      <c r="BD345" s="50"/>
      <c r="BE345" s="50"/>
      <c r="BF345" s="50"/>
      <c r="BG345" s="50"/>
    </row>
    <row r="346" spans="55:59" x14ac:dyDescent="0.25">
      <c r="BC346" s="50"/>
      <c r="BD346" s="50"/>
      <c r="BE346" s="50"/>
      <c r="BF346" s="50"/>
      <c r="BG346" s="50"/>
    </row>
    <row r="347" spans="55:59" x14ac:dyDescent="0.25">
      <c r="BC347" s="50"/>
      <c r="BD347" s="50"/>
      <c r="BE347" s="50"/>
      <c r="BF347" s="50"/>
      <c r="BG347" s="50"/>
    </row>
    <row r="348" spans="55:59" x14ac:dyDescent="0.25">
      <c r="BC348" s="50"/>
      <c r="BD348" s="50"/>
      <c r="BE348" s="50"/>
      <c r="BF348" s="50"/>
      <c r="BG348" s="50"/>
    </row>
    <row r="349" spans="55:59" x14ac:dyDescent="0.25">
      <c r="BC349" s="50"/>
      <c r="BD349" s="50"/>
      <c r="BE349" s="50"/>
      <c r="BF349" s="50"/>
      <c r="BG349" s="50"/>
    </row>
    <row r="350" spans="55:59" x14ac:dyDescent="0.25">
      <c r="BC350" s="50"/>
      <c r="BD350" s="50"/>
      <c r="BE350" s="50"/>
      <c r="BF350" s="50"/>
      <c r="BG350" s="50"/>
    </row>
    <row r="351" spans="55:59" x14ac:dyDescent="0.25">
      <c r="BC351" s="50"/>
      <c r="BD351" s="50"/>
      <c r="BE351" s="50"/>
      <c r="BF351" s="50"/>
      <c r="BG351" s="50"/>
    </row>
    <row r="352" spans="55:59" x14ac:dyDescent="0.25">
      <c r="BC352" s="50"/>
      <c r="BD352" s="50"/>
      <c r="BE352" s="50"/>
      <c r="BF352" s="50"/>
      <c r="BG352" s="50"/>
    </row>
    <row r="353" spans="55:59" x14ac:dyDescent="0.25">
      <c r="BC353" s="50"/>
      <c r="BD353" s="50"/>
      <c r="BE353" s="50"/>
      <c r="BF353" s="50"/>
      <c r="BG353" s="50"/>
    </row>
    <row r="354" spans="55:59" x14ac:dyDescent="0.25">
      <c r="BC354" s="50"/>
      <c r="BD354" s="50"/>
      <c r="BE354" s="50"/>
      <c r="BF354" s="50"/>
      <c r="BG354" s="50"/>
    </row>
    <row r="355" spans="55:59" x14ac:dyDescent="0.25">
      <c r="BC355" s="50"/>
      <c r="BD355" s="50"/>
      <c r="BE355" s="50"/>
      <c r="BF355" s="50"/>
      <c r="BG355" s="50"/>
    </row>
    <row r="356" spans="55:59" x14ac:dyDescent="0.25">
      <c r="BC356" s="50"/>
      <c r="BD356" s="50"/>
      <c r="BE356" s="50"/>
      <c r="BF356" s="50"/>
      <c r="BG356" s="50"/>
    </row>
    <row r="357" spans="55:59" x14ac:dyDescent="0.25">
      <c r="BC357" s="50"/>
      <c r="BD357" s="50"/>
      <c r="BE357" s="50"/>
      <c r="BF357" s="50"/>
      <c r="BG357" s="50"/>
    </row>
    <row r="358" spans="55:59" x14ac:dyDescent="0.25">
      <c r="BC358" s="50"/>
      <c r="BD358" s="50"/>
      <c r="BE358" s="50"/>
      <c r="BF358" s="50"/>
      <c r="BG358" s="50"/>
    </row>
    <row r="359" spans="55:59" x14ac:dyDescent="0.25">
      <c r="BC359" s="50"/>
      <c r="BD359" s="50"/>
      <c r="BE359" s="50"/>
      <c r="BF359" s="50"/>
      <c r="BG359" s="50"/>
    </row>
    <row r="360" spans="55:59" x14ac:dyDescent="0.25">
      <c r="BC360" s="50"/>
      <c r="BD360" s="50"/>
      <c r="BE360" s="50"/>
      <c r="BF360" s="50"/>
      <c r="BG360" s="50"/>
    </row>
    <row r="361" spans="55:59" x14ac:dyDescent="0.25">
      <c r="BC361" s="50"/>
      <c r="BD361" s="50"/>
      <c r="BE361" s="50"/>
      <c r="BF361" s="50"/>
      <c r="BG361" s="50"/>
    </row>
    <row r="362" spans="55:59" x14ac:dyDescent="0.25">
      <c r="BC362" s="50"/>
      <c r="BD362" s="50"/>
      <c r="BE362" s="50"/>
      <c r="BF362" s="50"/>
      <c r="BG362" s="50"/>
    </row>
    <row r="363" spans="55:59" x14ac:dyDescent="0.25">
      <c r="BC363" s="50"/>
      <c r="BD363" s="50"/>
      <c r="BE363" s="50"/>
      <c r="BF363" s="50"/>
      <c r="BG363" s="50"/>
    </row>
    <row r="364" spans="55:59" x14ac:dyDescent="0.25">
      <c r="BC364" s="50"/>
      <c r="BD364" s="50"/>
      <c r="BE364" s="50"/>
      <c r="BF364" s="50"/>
      <c r="BG364" s="50"/>
    </row>
    <row r="365" spans="55:59" x14ac:dyDescent="0.25">
      <c r="BC365" s="50"/>
      <c r="BD365" s="50"/>
      <c r="BE365" s="50"/>
      <c r="BF365" s="50"/>
      <c r="BG365" s="50"/>
    </row>
    <row r="366" spans="55:59" x14ac:dyDescent="0.25">
      <c r="BC366" s="50"/>
      <c r="BD366" s="50"/>
      <c r="BE366" s="50"/>
      <c r="BF366" s="50"/>
      <c r="BG366" s="50"/>
    </row>
    <row r="367" spans="55:59" x14ac:dyDescent="0.25">
      <c r="BC367" s="50"/>
      <c r="BD367" s="50"/>
      <c r="BE367" s="50"/>
      <c r="BF367" s="50"/>
      <c r="BG367" s="50"/>
    </row>
    <row r="368" spans="55:59" x14ac:dyDescent="0.25">
      <c r="BC368" s="50"/>
      <c r="BD368" s="50"/>
      <c r="BE368" s="50"/>
      <c r="BF368" s="50"/>
      <c r="BG368" s="50"/>
    </row>
    <row r="369" spans="55:59" x14ac:dyDescent="0.25">
      <c r="BC369" s="50"/>
      <c r="BD369" s="50"/>
      <c r="BE369" s="50"/>
      <c r="BF369" s="50"/>
      <c r="BG369" s="50"/>
    </row>
    <row r="370" spans="55:59" x14ac:dyDescent="0.25">
      <c r="BC370" s="50"/>
      <c r="BD370" s="50"/>
      <c r="BE370" s="50"/>
      <c r="BF370" s="50"/>
      <c r="BG370" s="50"/>
    </row>
    <row r="371" spans="55:59" x14ac:dyDescent="0.25">
      <c r="BC371" s="50"/>
      <c r="BD371" s="50"/>
      <c r="BE371" s="50"/>
      <c r="BF371" s="50"/>
      <c r="BG371" s="50"/>
    </row>
    <row r="372" spans="55:59" x14ac:dyDescent="0.25">
      <c r="BC372" s="50"/>
      <c r="BD372" s="50"/>
      <c r="BE372" s="50"/>
      <c r="BF372" s="50"/>
      <c r="BG372" s="50"/>
    </row>
    <row r="373" spans="55:59" x14ac:dyDescent="0.25">
      <c r="BC373" s="50"/>
      <c r="BD373" s="50"/>
      <c r="BE373" s="50"/>
      <c r="BF373" s="50"/>
      <c r="BG373" s="50"/>
    </row>
    <row r="374" spans="55:59" x14ac:dyDescent="0.25">
      <c r="BC374" s="50"/>
      <c r="BD374" s="50"/>
      <c r="BE374" s="50"/>
      <c r="BF374" s="50"/>
      <c r="BG374" s="50"/>
    </row>
    <row r="375" spans="55:59" x14ac:dyDescent="0.25">
      <c r="BC375" s="50"/>
      <c r="BD375" s="50"/>
      <c r="BE375" s="50"/>
      <c r="BF375" s="50"/>
      <c r="BG375" s="50"/>
    </row>
    <row r="376" spans="55:59" x14ac:dyDescent="0.25">
      <c r="BC376" s="50"/>
      <c r="BD376" s="50"/>
      <c r="BE376" s="50"/>
      <c r="BF376" s="50"/>
      <c r="BG376" s="50"/>
    </row>
    <row r="377" spans="55:59" x14ac:dyDescent="0.25">
      <c r="BC377" s="50"/>
      <c r="BD377" s="50"/>
      <c r="BE377" s="50"/>
      <c r="BF377" s="50"/>
      <c r="BG377" s="50"/>
    </row>
    <row r="378" spans="55:59" x14ac:dyDescent="0.25">
      <c r="BC378" s="50"/>
      <c r="BD378" s="50"/>
      <c r="BE378" s="50"/>
      <c r="BF378" s="50"/>
      <c r="BG378" s="50"/>
    </row>
    <row r="379" spans="55:59" x14ac:dyDescent="0.25">
      <c r="BC379" s="50"/>
      <c r="BD379" s="50"/>
      <c r="BE379" s="50"/>
      <c r="BF379" s="50"/>
      <c r="BG379" s="50"/>
    </row>
    <row r="380" spans="55:59" x14ac:dyDescent="0.25">
      <c r="BC380" s="50"/>
      <c r="BD380" s="50"/>
      <c r="BE380" s="50"/>
      <c r="BF380" s="50"/>
      <c r="BG380" s="50"/>
    </row>
    <row r="381" spans="55:59" x14ac:dyDescent="0.25">
      <c r="BC381" s="50"/>
      <c r="BD381" s="50"/>
      <c r="BE381" s="50"/>
      <c r="BF381" s="50"/>
      <c r="BG381" s="50"/>
    </row>
    <row r="382" spans="55:59" x14ac:dyDescent="0.25">
      <c r="BC382" s="50"/>
      <c r="BD382" s="50"/>
      <c r="BE382" s="50"/>
      <c r="BF382" s="50"/>
      <c r="BG382" s="50"/>
    </row>
    <row r="383" spans="55:59" x14ac:dyDescent="0.25">
      <c r="BC383" s="50"/>
      <c r="BD383" s="50"/>
      <c r="BE383" s="50"/>
      <c r="BF383" s="50"/>
      <c r="BG383" s="50"/>
    </row>
    <row r="384" spans="55:59" x14ac:dyDescent="0.25">
      <c r="BC384" s="50"/>
      <c r="BD384" s="50"/>
      <c r="BE384" s="50"/>
      <c r="BF384" s="50"/>
      <c r="BG384" s="50"/>
    </row>
    <row r="385" spans="55:59" x14ac:dyDescent="0.25">
      <c r="BC385" s="50"/>
      <c r="BD385" s="50"/>
      <c r="BE385" s="50"/>
      <c r="BF385" s="50"/>
      <c r="BG385" s="50"/>
    </row>
    <row r="386" spans="55:59" x14ac:dyDescent="0.25">
      <c r="BC386" s="50"/>
      <c r="BD386" s="50"/>
      <c r="BE386" s="50"/>
      <c r="BF386" s="50"/>
      <c r="BG386" s="50"/>
    </row>
    <row r="387" spans="55:59" x14ac:dyDescent="0.25">
      <c r="BC387" s="50"/>
      <c r="BD387" s="50"/>
      <c r="BE387" s="50"/>
      <c r="BF387" s="50"/>
      <c r="BG387" s="50"/>
    </row>
    <row r="388" spans="55:59" x14ac:dyDescent="0.25">
      <c r="BC388" s="50"/>
      <c r="BD388" s="50"/>
      <c r="BE388" s="50"/>
      <c r="BF388" s="50"/>
      <c r="BG388" s="50"/>
    </row>
    <row r="389" spans="55:59" x14ac:dyDescent="0.25">
      <c r="BC389" s="50"/>
      <c r="BD389" s="50"/>
      <c r="BE389" s="50"/>
      <c r="BF389" s="50"/>
      <c r="BG389" s="50"/>
    </row>
    <row r="390" spans="55:59" x14ac:dyDescent="0.25">
      <c r="BC390" s="50"/>
      <c r="BD390" s="50"/>
      <c r="BE390" s="50"/>
      <c r="BF390" s="50"/>
      <c r="BG390" s="50"/>
    </row>
    <row r="391" spans="55:59" x14ac:dyDescent="0.25">
      <c r="BC391" s="50"/>
      <c r="BD391" s="50"/>
      <c r="BE391" s="50"/>
      <c r="BF391" s="50"/>
      <c r="BG391" s="50"/>
    </row>
    <row r="392" spans="55:59" x14ac:dyDescent="0.25">
      <c r="BC392" s="50"/>
      <c r="BD392" s="50"/>
      <c r="BE392" s="50"/>
      <c r="BF392" s="50"/>
      <c r="BG392" s="50"/>
    </row>
    <row r="393" spans="55:59" x14ac:dyDescent="0.25">
      <c r="BC393" s="50"/>
      <c r="BD393" s="50"/>
      <c r="BE393" s="50"/>
      <c r="BF393" s="50"/>
      <c r="BG393" s="50"/>
    </row>
    <row r="394" spans="55:59" x14ac:dyDescent="0.25">
      <c r="BC394" s="50"/>
      <c r="BD394" s="50"/>
      <c r="BE394" s="50"/>
      <c r="BF394" s="50"/>
      <c r="BG394" s="50"/>
    </row>
    <row r="395" spans="55:59" x14ac:dyDescent="0.25">
      <c r="BC395" s="50"/>
      <c r="BD395" s="50"/>
      <c r="BE395" s="50"/>
      <c r="BF395" s="50"/>
      <c r="BG395" s="50"/>
    </row>
    <row r="396" spans="55:59" x14ac:dyDescent="0.25">
      <c r="BC396" s="50"/>
      <c r="BD396" s="50"/>
      <c r="BE396" s="50"/>
      <c r="BF396" s="50"/>
      <c r="BG396" s="50"/>
    </row>
    <row r="397" spans="55:59" x14ac:dyDescent="0.25">
      <c r="BC397" s="50"/>
      <c r="BD397" s="50"/>
      <c r="BE397" s="50"/>
      <c r="BF397" s="50"/>
      <c r="BG397" s="50"/>
    </row>
    <row r="398" spans="55:59" x14ac:dyDescent="0.25">
      <c r="BC398" s="50"/>
      <c r="BD398" s="50"/>
      <c r="BE398" s="50"/>
      <c r="BF398" s="50"/>
      <c r="BG398" s="50"/>
    </row>
    <row r="399" spans="55:59" x14ac:dyDescent="0.25">
      <c r="BC399" s="50"/>
      <c r="BD399" s="50"/>
      <c r="BE399" s="50"/>
      <c r="BF399" s="50"/>
      <c r="BG399" s="50"/>
    </row>
    <row r="400" spans="55:59" x14ac:dyDescent="0.25">
      <c r="BC400" s="50"/>
      <c r="BD400" s="50"/>
      <c r="BE400" s="50"/>
      <c r="BF400" s="50"/>
      <c r="BG400" s="50"/>
    </row>
    <row r="401" spans="55:59" x14ac:dyDescent="0.25">
      <c r="BC401" s="50"/>
      <c r="BD401" s="50"/>
      <c r="BE401" s="50"/>
      <c r="BF401" s="50"/>
      <c r="BG401" s="50"/>
    </row>
    <row r="402" spans="55:59" x14ac:dyDescent="0.25">
      <c r="BC402" s="50"/>
      <c r="BD402" s="50"/>
      <c r="BE402" s="50"/>
      <c r="BF402" s="50"/>
      <c r="BG402" s="50"/>
    </row>
    <row r="403" spans="55:59" x14ac:dyDescent="0.25">
      <c r="BC403" s="50"/>
      <c r="BD403" s="50"/>
      <c r="BE403" s="50"/>
      <c r="BF403" s="50"/>
      <c r="BG403" s="50"/>
    </row>
    <row r="404" spans="55:59" x14ac:dyDescent="0.25">
      <c r="BC404" s="50"/>
      <c r="BD404" s="50"/>
      <c r="BE404" s="50"/>
      <c r="BF404" s="50"/>
      <c r="BG404" s="50"/>
    </row>
    <row r="405" spans="55:59" x14ac:dyDescent="0.25">
      <c r="BC405" s="50"/>
      <c r="BD405" s="50"/>
      <c r="BE405" s="50"/>
      <c r="BF405" s="50"/>
      <c r="BG405" s="50"/>
    </row>
    <row r="406" spans="55:59" x14ac:dyDescent="0.25">
      <c r="BC406" s="50"/>
      <c r="BD406" s="50"/>
      <c r="BE406" s="50"/>
      <c r="BF406" s="50"/>
      <c r="BG406" s="50"/>
    </row>
    <row r="407" spans="55:59" x14ac:dyDescent="0.25">
      <c r="BC407" s="50"/>
      <c r="BD407" s="50"/>
      <c r="BE407" s="50"/>
      <c r="BF407" s="50"/>
      <c r="BG407" s="50"/>
    </row>
    <row r="408" spans="55:59" x14ac:dyDescent="0.25">
      <c r="BC408" s="50"/>
      <c r="BD408" s="50"/>
      <c r="BE408" s="50"/>
      <c r="BF408" s="50"/>
      <c r="BG408" s="50"/>
    </row>
    <row r="409" spans="55:59" x14ac:dyDescent="0.25">
      <c r="BC409" s="50"/>
      <c r="BD409" s="50"/>
      <c r="BE409" s="50"/>
      <c r="BF409" s="50"/>
      <c r="BG409" s="50"/>
    </row>
    <row r="410" spans="55:59" x14ac:dyDescent="0.25">
      <c r="BC410" s="50"/>
      <c r="BD410" s="50"/>
      <c r="BE410" s="50"/>
      <c r="BF410" s="50"/>
      <c r="BG410" s="50"/>
    </row>
    <row r="411" spans="55:59" x14ac:dyDescent="0.25">
      <c r="BC411" s="50"/>
      <c r="BD411" s="50"/>
      <c r="BE411" s="50"/>
      <c r="BF411" s="50"/>
      <c r="BG411" s="50"/>
    </row>
    <row r="412" spans="55:59" x14ac:dyDescent="0.25">
      <c r="BC412" s="50"/>
      <c r="BD412" s="50"/>
      <c r="BE412" s="50"/>
      <c r="BF412" s="50"/>
      <c r="BG412" s="50"/>
    </row>
    <row r="413" spans="55:59" x14ac:dyDescent="0.25">
      <c r="BC413" s="50"/>
      <c r="BD413" s="50"/>
      <c r="BE413" s="50"/>
      <c r="BF413" s="50"/>
      <c r="BG413" s="50"/>
    </row>
    <row r="414" spans="55:59" x14ac:dyDescent="0.25">
      <c r="BC414" s="50"/>
      <c r="BD414" s="50"/>
      <c r="BE414" s="50"/>
      <c r="BF414" s="50"/>
      <c r="BG414" s="50"/>
    </row>
    <row r="415" spans="55:59" x14ac:dyDescent="0.25">
      <c r="BC415" s="50"/>
      <c r="BD415" s="50"/>
      <c r="BE415" s="50"/>
      <c r="BF415" s="50"/>
      <c r="BG415" s="50"/>
    </row>
    <row r="416" spans="55:59" x14ac:dyDescent="0.25">
      <c r="BC416" s="50"/>
      <c r="BD416" s="50"/>
      <c r="BE416" s="50"/>
      <c r="BF416" s="50"/>
      <c r="BG416" s="50"/>
    </row>
    <row r="417" spans="55:59" x14ac:dyDescent="0.25">
      <c r="BC417" s="50"/>
      <c r="BD417" s="50"/>
      <c r="BE417" s="50"/>
      <c r="BF417" s="50"/>
      <c r="BG417" s="50"/>
    </row>
    <row r="418" spans="55:59" x14ac:dyDescent="0.25">
      <c r="BC418" s="50"/>
      <c r="BD418" s="50"/>
      <c r="BE418" s="50"/>
      <c r="BF418" s="50"/>
      <c r="BG418" s="50"/>
    </row>
    <row r="419" spans="55:59" x14ac:dyDescent="0.25">
      <c r="BC419" s="50"/>
      <c r="BD419" s="50"/>
      <c r="BE419" s="50"/>
      <c r="BF419" s="50"/>
      <c r="BG419" s="50"/>
    </row>
    <row r="420" spans="55:59" x14ac:dyDescent="0.25">
      <c r="BC420" s="50"/>
      <c r="BD420" s="50"/>
      <c r="BE420" s="50"/>
      <c r="BF420" s="50"/>
      <c r="BG420" s="50"/>
    </row>
    <row r="421" spans="55:59" x14ac:dyDescent="0.25">
      <c r="BC421" s="50"/>
      <c r="BD421" s="50"/>
      <c r="BE421" s="50"/>
      <c r="BF421" s="50"/>
      <c r="BG421" s="50"/>
    </row>
    <row r="422" spans="55:59" x14ac:dyDescent="0.25">
      <c r="BC422" s="50"/>
      <c r="BD422" s="50"/>
      <c r="BE422" s="50"/>
      <c r="BF422" s="50"/>
      <c r="BG422" s="50"/>
    </row>
    <row r="423" spans="55:59" x14ac:dyDescent="0.25">
      <c r="BC423" s="50"/>
      <c r="BD423" s="50"/>
      <c r="BE423" s="50"/>
      <c r="BF423" s="50"/>
      <c r="BG423" s="50"/>
    </row>
    <row r="424" spans="55:59" x14ac:dyDescent="0.25">
      <c r="BC424" s="50"/>
      <c r="BD424" s="50"/>
      <c r="BE424" s="50"/>
      <c r="BF424" s="50"/>
      <c r="BG424" s="50"/>
    </row>
    <row r="425" spans="55:59" x14ac:dyDescent="0.25">
      <c r="BC425" s="50"/>
      <c r="BD425" s="50"/>
      <c r="BE425" s="50"/>
      <c r="BF425" s="50"/>
      <c r="BG425" s="50"/>
    </row>
    <row r="426" spans="55:59" x14ac:dyDescent="0.25">
      <c r="BC426" s="50"/>
      <c r="BD426" s="50"/>
      <c r="BE426" s="50"/>
      <c r="BF426" s="50"/>
      <c r="BG426" s="50"/>
    </row>
    <row r="427" spans="55:59" x14ac:dyDescent="0.25">
      <c r="BC427" s="50"/>
      <c r="BD427" s="50"/>
      <c r="BE427" s="50"/>
      <c r="BF427" s="50"/>
      <c r="BG427" s="50"/>
    </row>
    <row r="428" spans="55:59" x14ac:dyDescent="0.25">
      <c r="BC428" s="50"/>
      <c r="BD428" s="50"/>
      <c r="BE428" s="50"/>
      <c r="BF428" s="50"/>
      <c r="BG428" s="50"/>
    </row>
    <row r="429" spans="55:59" x14ac:dyDescent="0.25">
      <c r="BC429" s="50"/>
      <c r="BD429" s="50"/>
      <c r="BE429" s="50"/>
      <c r="BF429" s="50"/>
      <c r="BG429" s="50"/>
    </row>
    <row r="430" spans="55:59" x14ac:dyDescent="0.25">
      <c r="BC430" s="50"/>
      <c r="BD430" s="50"/>
      <c r="BE430" s="50"/>
      <c r="BF430" s="50"/>
      <c r="BG430" s="50"/>
    </row>
    <row r="431" spans="55:59" x14ac:dyDescent="0.25">
      <c r="BC431" s="50"/>
      <c r="BD431" s="50"/>
      <c r="BE431" s="50"/>
      <c r="BF431" s="50"/>
      <c r="BG431" s="50"/>
    </row>
    <row r="432" spans="55:59" x14ac:dyDescent="0.25">
      <c r="BC432" s="50"/>
      <c r="BD432" s="50"/>
      <c r="BE432" s="50"/>
      <c r="BF432" s="50"/>
      <c r="BG432" s="50"/>
    </row>
    <row r="433" spans="55:59" x14ac:dyDescent="0.25">
      <c r="BC433" s="50"/>
      <c r="BD433" s="50"/>
      <c r="BE433" s="50"/>
      <c r="BF433" s="50"/>
      <c r="BG433" s="50"/>
    </row>
    <row r="434" spans="55:59" x14ac:dyDescent="0.25">
      <c r="BC434" s="50"/>
      <c r="BD434" s="50"/>
      <c r="BE434" s="50"/>
      <c r="BF434" s="50"/>
      <c r="BG434" s="50"/>
    </row>
    <row r="435" spans="55:59" x14ac:dyDescent="0.25">
      <c r="BC435" s="50"/>
      <c r="BD435" s="50"/>
      <c r="BE435" s="50"/>
      <c r="BF435" s="50"/>
      <c r="BG435" s="50"/>
    </row>
    <row r="436" spans="55:59" x14ac:dyDescent="0.25">
      <c r="BC436" s="50"/>
      <c r="BD436" s="50"/>
      <c r="BE436" s="50"/>
      <c r="BF436" s="50"/>
      <c r="BG436" s="50"/>
    </row>
    <row r="437" spans="55:59" x14ac:dyDescent="0.25">
      <c r="BC437" s="50"/>
      <c r="BD437" s="50"/>
      <c r="BE437" s="50"/>
      <c r="BF437" s="50"/>
      <c r="BG437" s="50"/>
    </row>
    <row r="438" spans="55:59" x14ac:dyDescent="0.25">
      <c r="BC438" s="50"/>
      <c r="BD438" s="50"/>
      <c r="BE438" s="50"/>
      <c r="BF438" s="50"/>
      <c r="BG438" s="50"/>
    </row>
    <row r="439" spans="55:59" x14ac:dyDescent="0.25">
      <c r="BC439" s="50"/>
      <c r="BD439" s="50"/>
      <c r="BE439" s="50"/>
      <c r="BF439" s="50"/>
      <c r="BG439" s="50"/>
    </row>
    <row r="440" spans="55:59" x14ac:dyDescent="0.25">
      <c r="BC440" s="50"/>
      <c r="BD440" s="50"/>
      <c r="BE440" s="50"/>
      <c r="BF440" s="50"/>
      <c r="BG440" s="50"/>
    </row>
    <row r="441" spans="55:59" x14ac:dyDescent="0.25">
      <c r="BC441" s="50"/>
      <c r="BD441" s="50"/>
      <c r="BE441" s="50"/>
      <c r="BF441" s="50"/>
      <c r="BG441" s="50"/>
    </row>
    <row r="442" spans="55:59" x14ac:dyDescent="0.25">
      <c r="BC442" s="50"/>
      <c r="BD442" s="50"/>
      <c r="BE442" s="50"/>
      <c r="BF442" s="50"/>
      <c r="BG442" s="50"/>
    </row>
    <row r="443" spans="55:59" x14ac:dyDescent="0.25">
      <c r="BC443" s="50"/>
      <c r="BD443" s="50"/>
      <c r="BE443" s="50"/>
      <c r="BF443" s="50"/>
      <c r="BG443" s="50"/>
    </row>
    <row r="444" spans="55:59" x14ac:dyDescent="0.25">
      <c r="BC444" s="50"/>
      <c r="BD444" s="50"/>
      <c r="BE444" s="50"/>
      <c r="BF444" s="50"/>
      <c r="BG444" s="50"/>
    </row>
    <row r="445" spans="55:59" x14ac:dyDescent="0.25">
      <c r="BC445" s="50"/>
      <c r="BD445" s="50"/>
      <c r="BE445" s="50"/>
      <c r="BF445" s="50"/>
      <c r="BG445" s="50"/>
    </row>
    <row r="446" spans="55:59" x14ac:dyDescent="0.25">
      <c r="BC446" s="50"/>
      <c r="BD446" s="50"/>
      <c r="BE446" s="50"/>
      <c r="BF446" s="50"/>
      <c r="BG446" s="50"/>
    </row>
    <row r="447" spans="55:59" x14ac:dyDescent="0.25">
      <c r="BC447" s="50"/>
      <c r="BD447" s="50"/>
      <c r="BE447" s="50"/>
      <c r="BF447" s="50"/>
      <c r="BG447" s="50"/>
    </row>
    <row r="448" spans="55:59" x14ac:dyDescent="0.25">
      <c r="BC448" s="50"/>
      <c r="BD448" s="50"/>
      <c r="BE448" s="50"/>
      <c r="BF448" s="50"/>
      <c r="BG448" s="50"/>
    </row>
    <row r="449" spans="55:59" x14ac:dyDescent="0.25">
      <c r="BC449" s="50"/>
      <c r="BD449" s="50"/>
      <c r="BE449" s="50"/>
      <c r="BF449" s="50"/>
      <c r="BG449" s="50"/>
    </row>
    <row r="450" spans="55:59" x14ac:dyDescent="0.25">
      <c r="BC450" s="50"/>
      <c r="BD450" s="50"/>
      <c r="BE450" s="50"/>
      <c r="BF450" s="50"/>
      <c r="BG450" s="50"/>
    </row>
    <row r="451" spans="55:59" x14ac:dyDescent="0.25">
      <c r="BC451" s="50"/>
      <c r="BD451" s="50"/>
      <c r="BE451" s="50"/>
      <c r="BF451" s="50"/>
      <c r="BG451" s="50"/>
    </row>
    <row r="452" spans="55:59" x14ac:dyDescent="0.25">
      <c r="BC452" s="50"/>
      <c r="BD452" s="50"/>
      <c r="BE452" s="50"/>
      <c r="BF452" s="50"/>
      <c r="BG452" s="50"/>
    </row>
    <row r="453" spans="55:59" x14ac:dyDescent="0.25">
      <c r="BC453" s="50"/>
      <c r="BD453" s="50"/>
      <c r="BE453" s="50"/>
      <c r="BF453" s="50"/>
      <c r="BG453" s="50"/>
    </row>
    <row r="454" spans="55:59" x14ac:dyDescent="0.25">
      <c r="BC454" s="50"/>
      <c r="BD454" s="50"/>
      <c r="BE454" s="50"/>
      <c r="BF454" s="50"/>
      <c r="BG454" s="50"/>
    </row>
    <row r="455" spans="55:59" x14ac:dyDescent="0.25">
      <c r="BC455" s="50"/>
      <c r="BD455" s="50"/>
      <c r="BE455" s="50"/>
      <c r="BF455" s="50"/>
      <c r="BG455" s="50"/>
    </row>
    <row r="456" spans="55:59" x14ac:dyDescent="0.25">
      <c r="BC456" s="50"/>
      <c r="BD456" s="50"/>
      <c r="BE456" s="50"/>
      <c r="BF456" s="50"/>
      <c r="BG456" s="50"/>
    </row>
    <row r="457" spans="55:59" x14ac:dyDescent="0.25">
      <c r="BC457" s="50"/>
      <c r="BD457" s="50"/>
      <c r="BE457" s="50"/>
      <c r="BF457" s="50"/>
      <c r="BG457" s="50"/>
    </row>
    <row r="458" spans="55:59" x14ac:dyDescent="0.25">
      <c r="BC458" s="50"/>
      <c r="BD458" s="50"/>
      <c r="BE458" s="50"/>
      <c r="BF458" s="50"/>
      <c r="BG458" s="50"/>
    </row>
    <row r="459" spans="55:59" x14ac:dyDescent="0.25">
      <c r="BC459" s="50"/>
      <c r="BD459" s="50"/>
      <c r="BE459" s="50"/>
      <c r="BF459" s="50"/>
      <c r="BG459" s="50"/>
    </row>
    <row r="460" spans="55:59" x14ac:dyDescent="0.25">
      <c r="BC460" s="50"/>
      <c r="BD460" s="50"/>
      <c r="BE460" s="50"/>
      <c r="BF460" s="50"/>
      <c r="BG460" s="50"/>
    </row>
    <row r="461" spans="55:59" x14ac:dyDescent="0.25">
      <c r="BC461" s="50"/>
      <c r="BD461" s="50"/>
      <c r="BE461" s="50"/>
      <c r="BF461" s="50"/>
      <c r="BG461" s="50"/>
    </row>
    <row r="462" spans="55:59" x14ac:dyDescent="0.25">
      <c r="BC462" s="50"/>
      <c r="BD462" s="50"/>
      <c r="BE462" s="50"/>
      <c r="BF462" s="50"/>
      <c r="BG462" s="50"/>
    </row>
    <row r="463" spans="55:59" x14ac:dyDescent="0.25">
      <c r="BC463" s="50"/>
      <c r="BD463" s="50"/>
      <c r="BE463" s="50"/>
      <c r="BF463" s="50"/>
      <c r="BG463" s="50"/>
    </row>
    <row r="464" spans="55:59" x14ac:dyDescent="0.25">
      <c r="BC464" s="50"/>
      <c r="BD464" s="50"/>
      <c r="BE464" s="50"/>
      <c r="BF464" s="50"/>
      <c r="BG464" s="50"/>
    </row>
    <row r="465" spans="55:59" x14ac:dyDescent="0.25">
      <c r="BC465" s="50"/>
      <c r="BD465" s="50"/>
      <c r="BE465" s="50"/>
      <c r="BF465" s="50"/>
      <c r="BG465" s="50"/>
    </row>
    <row r="466" spans="55:59" x14ac:dyDescent="0.25">
      <c r="BC466" s="50"/>
      <c r="BD466" s="50"/>
      <c r="BE466" s="50"/>
      <c r="BF466" s="50"/>
      <c r="BG466" s="50"/>
    </row>
    <row r="467" spans="55:59" x14ac:dyDescent="0.25">
      <c r="BC467" s="50"/>
      <c r="BD467" s="50"/>
      <c r="BE467" s="50"/>
      <c r="BF467" s="50"/>
      <c r="BG467" s="50"/>
    </row>
    <row r="468" spans="55:59" x14ac:dyDescent="0.25">
      <c r="BC468" s="50"/>
      <c r="BD468" s="50"/>
      <c r="BE468" s="50"/>
      <c r="BF468" s="50"/>
      <c r="BG468" s="50"/>
    </row>
    <row r="469" spans="55:59" x14ac:dyDescent="0.25">
      <c r="BC469" s="50"/>
      <c r="BD469" s="50"/>
      <c r="BE469" s="50"/>
      <c r="BF469" s="50"/>
      <c r="BG469" s="50"/>
    </row>
    <row r="470" spans="55:59" x14ac:dyDescent="0.25">
      <c r="BC470" s="50"/>
      <c r="BD470" s="50"/>
      <c r="BE470" s="50"/>
      <c r="BF470" s="50"/>
      <c r="BG470" s="50"/>
    </row>
    <row r="471" spans="55:59" x14ac:dyDescent="0.25">
      <c r="BC471" s="50"/>
      <c r="BD471" s="50"/>
      <c r="BE471" s="50"/>
      <c r="BF471" s="50"/>
      <c r="BG471" s="50"/>
    </row>
    <row r="472" spans="55:59" x14ac:dyDescent="0.25">
      <c r="BC472" s="50"/>
      <c r="BD472" s="50"/>
      <c r="BE472" s="50"/>
      <c r="BF472" s="50"/>
      <c r="BG472" s="50"/>
    </row>
    <row r="473" spans="55:59" x14ac:dyDescent="0.25">
      <c r="BC473" s="50"/>
      <c r="BD473" s="50"/>
      <c r="BE473" s="50"/>
      <c r="BF473" s="50"/>
      <c r="BG473" s="50"/>
    </row>
    <row r="474" spans="55:59" x14ac:dyDescent="0.25">
      <c r="BC474" s="50"/>
      <c r="BD474" s="50"/>
      <c r="BE474" s="50"/>
      <c r="BF474" s="50"/>
      <c r="BG474" s="50"/>
    </row>
    <row r="475" spans="55:59" x14ac:dyDescent="0.25">
      <c r="BC475" s="50"/>
      <c r="BD475" s="50"/>
      <c r="BE475" s="50"/>
      <c r="BF475" s="50"/>
      <c r="BG475" s="50"/>
    </row>
    <row r="476" spans="55:59" x14ac:dyDescent="0.25">
      <c r="BC476" s="50"/>
      <c r="BD476" s="50"/>
      <c r="BE476" s="50"/>
      <c r="BF476" s="50"/>
      <c r="BG476" s="50"/>
    </row>
    <row r="477" spans="55:59" x14ac:dyDescent="0.25">
      <c r="BC477" s="50"/>
      <c r="BD477" s="50"/>
      <c r="BE477" s="50"/>
      <c r="BF477" s="50"/>
      <c r="BG477" s="50"/>
    </row>
    <row r="478" spans="55:59" x14ac:dyDescent="0.25">
      <c r="BC478" s="50"/>
      <c r="BD478" s="50"/>
      <c r="BE478" s="50"/>
      <c r="BF478" s="50"/>
      <c r="BG478" s="50"/>
    </row>
    <row r="479" spans="55:59" x14ac:dyDescent="0.25">
      <c r="BC479" s="50"/>
      <c r="BD479" s="50"/>
      <c r="BE479" s="50"/>
      <c r="BF479" s="50"/>
      <c r="BG479" s="50"/>
    </row>
    <row r="480" spans="55:59" x14ac:dyDescent="0.25">
      <c r="BC480" s="50"/>
      <c r="BD480" s="50"/>
      <c r="BE480" s="50"/>
      <c r="BF480" s="50"/>
      <c r="BG480" s="50"/>
    </row>
    <row r="481" spans="55:59" x14ac:dyDescent="0.25">
      <c r="BC481" s="50"/>
      <c r="BD481" s="50"/>
      <c r="BE481" s="50"/>
      <c r="BF481" s="50"/>
      <c r="BG481" s="50"/>
    </row>
    <row r="482" spans="55:59" x14ac:dyDescent="0.25">
      <c r="BC482" s="50"/>
      <c r="BD482" s="50"/>
      <c r="BE482" s="50"/>
      <c r="BF482" s="50"/>
      <c r="BG482" s="50"/>
    </row>
    <row r="483" spans="55:59" x14ac:dyDescent="0.25">
      <c r="BC483" s="50"/>
      <c r="BD483" s="50"/>
      <c r="BE483" s="50"/>
      <c r="BF483" s="50"/>
      <c r="BG483" s="50"/>
    </row>
    <row r="484" spans="55:59" x14ac:dyDescent="0.25">
      <c r="BC484" s="50"/>
      <c r="BD484" s="50"/>
      <c r="BE484" s="50"/>
      <c r="BF484" s="50"/>
      <c r="BG484" s="50"/>
    </row>
    <row r="485" spans="55:59" x14ac:dyDescent="0.25">
      <c r="BC485" s="50"/>
      <c r="BD485" s="50"/>
      <c r="BE485" s="50"/>
      <c r="BF485" s="50"/>
      <c r="BG485" s="50"/>
    </row>
    <row r="486" spans="55:59" x14ac:dyDescent="0.25">
      <c r="BC486" s="50"/>
      <c r="BD486" s="50"/>
      <c r="BE486" s="50"/>
      <c r="BF486" s="50"/>
      <c r="BG486" s="50"/>
    </row>
    <row r="487" spans="55:59" x14ac:dyDescent="0.25">
      <c r="BC487" s="50"/>
      <c r="BD487" s="50"/>
      <c r="BE487" s="50"/>
      <c r="BF487" s="50"/>
      <c r="BG487" s="50"/>
    </row>
    <row r="488" spans="55:59" x14ac:dyDescent="0.25">
      <c r="BC488" s="50"/>
      <c r="BD488" s="50"/>
      <c r="BE488" s="50"/>
      <c r="BF488" s="50"/>
      <c r="BG488" s="50"/>
    </row>
    <row r="489" spans="55:59" x14ac:dyDescent="0.25">
      <c r="BC489" s="50"/>
      <c r="BD489" s="50"/>
      <c r="BE489" s="50"/>
      <c r="BF489" s="50"/>
      <c r="BG489" s="50"/>
    </row>
    <row r="490" spans="55:59" x14ac:dyDescent="0.25">
      <c r="BC490" s="50"/>
      <c r="BD490" s="50"/>
      <c r="BE490" s="50"/>
      <c r="BF490" s="50"/>
      <c r="BG490" s="50"/>
    </row>
    <row r="491" spans="55:59" x14ac:dyDescent="0.25">
      <c r="BC491" s="50"/>
      <c r="BD491" s="50"/>
      <c r="BE491" s="50"/>
      <c r="BF491" s="50"/>
      <c r="BG491" s="50"/>
    </row>
    <row r="492" spans="55:59" x14ac:dyDescent="0.25">
      <c r="BC492" s="50"/>
      <c r="BD492" s="50"/>
      <c r="BE492" s="50"/>
      <c r="BF492" s="50"/>
      <c r="BG492" s="50"/>
    </row>
    <row r="493" spans="55:59" x14ac:dyDescent="0.25">
      <c r="BC493" s="50"/>
      <c r="BD493" s="50"/>
      <c r="BE493" s="50"/>
      <c r="BF493" s="50"/>
      <c r="BG493" s="50"/>
    </row>
    <row r="494" spans="55:59" x14ac:dyDescent="0.25">
      <c r="BC494" s="50"/>
      <c r="BD494" s="50"/>
      <c r="BE494" s="50"/>
      <c r="BF494" s="50"/>
      <c r="BG494" s="50"/>
    </row>
    <row r="495" spans="55:59" x14ac:dyDescent="0.25">
      <c r="BC495" s="50"/>
      <c r="BD495" s="50"/>
      <c r="BE495" s="50"/>
      <c r="BF495" s="50"/>
      <c r="BG495" s="50"/>
    </row>
    <row r="496" spans="55:59" x14ac:dyDescent="0.25">
      <c r="BC496" s="50"/>
      <c r="BD496" s="50"/>
      <c r="BE496" s="50"/>
      <c r="BF496" s="50"/>
      <c r="BG496" s="50"/>
    </row>
    <row r="497" spans="55:59" x14ac:dyDescent="0.25">
      <c r="BC497" s="50"/>
      <c r="BD497" s="50"/>
      <c r="BE497" s="50"/>
      <c r="BF497" s="50"/>
      <c r="BG497" s="50"/>
    </row>
    <row r="498" spans="55:59" x14ac:dyDescent="0.25">
      <c r="BC498" s="50"/>
      <c r="BD498" s="50"/>
      <c r="BE498" s="50"/>
      <c r="BF498" s="50"/>
      <c r="BG498" s="50"/>
    </row>
    <row r="499" spans="55:59" x14ac:dyDescent="0.25">
      <c r="BC499" s="50"/>
      <c r="BD499" s="50"/>
      <c r="BE499" s="50"/>
      <c r="BF499" s="50"/>
      <c r="BG499" s="50"/>
    </row>
    <row r="500" spans="55:59" x14ac:dyDescent="0.25">
      <c r="BC500" s="50"/>
      <c r="BD500" s="50"/>
      <c r="BE500" s="50"/>
      <c r="BF500" s="50"/>
      <c r="BG500" s="50"/>
    </row>
    <row r="501" spans="55:59" x14ac:dyDescent="0.25">
      <c r="BC501" s="50"/>
      <c r="BD501" s="50"/>
      <c r="BE501" s="50"/>
      <c r="BF501" s="50"/>
      <c r="BG501" s="50"/>
    </row>
    <row r="502" spans="55:59" x14ac:dyDescent="0.25">
      <c r="BC502" s="50"/>
      <c r="BD502" s="50"/>
      <c r="BE502" s="50"/>
      <c r="BF502" s="50"/>
      <c r="BG502" s="50"/>
    </row>
    <row r="503" spans="55:59" x14ac:dyDescent="0.25">
      <c r="BC503" s="50"/>
      <c r="BD503" s="50"/>
      <c r="BE503" s="50"/>
      <c r="BF503" s="50"/>
      <c r="BG503" s="50"/>
    </row>
    <row r="504" spans="55:59" x14ac:dyDescent="0.25">
      <c r="BC504" s="50"/>
      <c r="BD504" s="50"/>
      <c r="BE504" s="50"/>
      <c r="BF504" s="50"/>
      <c r="BG504" s="50"/>
    </row>
    <row r="505" spans="55:59" x14ac:dyDescent="0.25">
      <c r="BC505" s="50"/>
      <c r="BD505" s="50"/>
      <c r="BE505" s="50"/>
      <c r="BF505" s="50"/>
      <c r="BG505" s="50"/>
    </row>
    <row r="506" spans="55:59" x14ac:dyDescent="0.25">
      <c r="BC506" s="50"/>
      <c r="BD506" s="50"/>
      <c r="BE506" s="50"/>
      <c r="BF506" s="50"/>
      <c r="BG506" s="50"/>
    </row>
    <row r="507" spans="55:59" x14ac:dyDescent="0.25">
      <c r="BC507" s="50"/>
      <c r="BD507" s="50"/>
      <c r="BE507" s="50"/>
      <c r="BF507" s="50"/>
      <c r="BG507" s="50"/>
    </row>
    <row r="508" spans="55:59" x14ac:dyDescent="0.25">
      <c r="BC508" s="50"/>
      <c r="BD508" s="50"/>
      <c r="BE508" s="50"/>
      <c r="BF508" s="50"/>
      <c r="BG508" s="50"/>
    </row>
    <row r="509" spans="55:59" x14ac:dyDescent="0.25">
      <c r="BC509" s="50"/>
      <c r="BD509" s="50"/>
      <c r="BE509" s="50"/>
      <c r="BF509" s="50"/>
      <c r="BG509" s="50"/>
    </row>
    <row r="510" spans="55:59" x14ac:dyDescent="0.25">
      <c r="BC510" s="50"/>
      <c r="BD510" s="50"/>
      <c r="BE510" s="50"/>
      <c r="BF510" s="50"/>
      <c r="BG510" s="50"/>
    </row>
    <row r="511" spans="55:59" x14ac:dyDescent="0.25">
      <c r="BC511" s="50"/>
      <c r="BD511" s="50"/>
      <c r="BE511" s="50"/>
      <c r="BF511" s="50"/>
      <c r="BG511" s="50"/>
    </row>
    <row r="512" spans="55:59" x14ac:dyDescent="0.25">
      <c r="BC512" s="50"/>
      <c r="BD512" s="50"/>
      <c r="BE512" s="50"/>
      <c r="BF512" s="50"/>
      <c r="BG512" s="50"/>
    </row>
    <row r="513" spans="55:59" x14ac:dyDescent="0.25">
      <c r="BC513" s="50"/>
      <c r="BD513" s="50"/>
      <c r="BE513" s="50"/>
      <c r="BF513" s="50"/>
      <c r="BG513" s="50"/>
    </row>
    <row r="514" spans="55:59" x14ac:dyDescent="0.25">
      <c r="BC514" s="50"/>
      <c r="BD514" s="50"/>
      <c r="BE514" s="50"/>
      <c r="BF514" s="50"/>
      <c r="BG514" s="50"/>
    </row>
    <row r="515" spans="55:59" x14ac:dyDescent="0.25">
      <c r="BC515" s="50"/>
      <c r="BD515" s="50"/>
      <c r="BE515" s="50"/>
      <c r="BF515" s="50"/>
      <c r="BG515" s="50"/>
    </row>
    <row r="516" spans="55:59" x14ac:dyDescent="0.25">
      <c r="BC516" s="50"/>
      <c r="BD516" s="50"/>
      <c r="BE516" s="50"/>
      <c r="BF516" s="50"/>
      <c r="BG516" s="50"/>
    </row>
    <row r="517" spans="55:59" x14ac:dyDescent="0.25">
      <c r="BC517" s="50"/>
      <c r="BD517" s="50"/>
      <c r="BE517" s="50"/>
      <c r="BF517" s="50"/>
      <c r="BG517" s="50"/>
    </row>
    <row r="518" spans="55:59" x14ac:dyDescent="0.25">
      <c r="BC518" s="50"/>
      <c r="BD518" s="50"/>
      <c r="BE518" s="50"/>
      <c r="BF518" s="50"/>
      <c r="BG518" s="50"/>
    </row>
    <row r="519" spans="55:59" x14ac:dyDescent="0.25">
      <c r="BC519" s="50"/>
      <c r="BD519" s="50"/>
      <c r="BE519" s="50"/>
      <c r="BF519" s="50"/>
      <c r="BG519" s="50"/>
    </row>
    <row r="520" spans="55:59" x14ac:dyDescent="0.25">
      <c r="BC520" s="50"/>
      <c r="BD520" s="50"/>
      <c r="BE520" s="50"/>
      <c r="BF520" s="50"/>
      <c r="BG520" s="50"/>
    </row>
    <row r="521" spans="55:59" x14ac:dyDescent="0.25">
      <c r="BC521" s="50"/>
      <c r="BD521" s="50"/>
      <c r="BE521" s="50"/>
      <c r="BF521" s="50"/>
      <c r="BG521" s="50"/>
    </row>
    <row r="522" spans="55:59" x14ac:dyDescent="0.25">
      <c r="BC522" s="50"/>
      <c r="BD522" s="50"/>
      <c r="BE522" s="50"/>
      <c r="BF522" s="50"/>
      <c r="BG522" s="50"/>
    </row>
    <row r="523" spans="55:59" x14ac:dyDescent="0.25">
      <c r="BC523" s="50"/>
      <c r="BD523" s="50"/>
      <c r="BE523" s="50"/>
      <c r="BF523" s="50"/>
      <c r="BG523" s="50"/>
    </row>
    <row r="524" spans="55:59" x14ac:dyDescent="0.25">
      <c r="BC524" s="50"/>
      <c r="BD524" s="50"/>
      <c r="BE524" s="50"/>
      <c r="BF524" s="50"/>
      <c r="BG524" s="50"/>
    </row>
    <row r="525" spans="55:59" x14ac:dyDescent="0.25">
      <c r="BC525" s="50"/>
      <c r="BD525" s="50"/>
      <c r="BE525" s="50"/>
      <c r="BF525" s="50"/>
      <c r="BG525" s="50"/>
    </row>
    <row r="526" spans="55:59" x14ac:dyDescent="0.25">
      <c r="BC526" s="50"/>
      <c r="BD526" s="50"/>
      <c r="BE526" s="50"/>
      <c r="BF526" s="50"/>
      <c r="BG526" s="50"/>
    </row>
    <row r="527" spans="55:59" x14ac:dyDescent="0.25">
      <c r="BC527" s="50"/>
      <c r="BD527" s="50"/>
      <c r="BE527" s="50"/>
      <c r="BF527" s="50"/>
      <c r="BG527" s="50"/>
    </row>
    <row r="528" spans="55:59" x14ac:dyDescent="0.25">
      <c r="BC528" s="50"/>
      <c r="BD528" s="50"/>
      <c r="BE528" s="50"/>
      <c r="BF528" s="50"/>
      <c r="BG528" s="50"/>
    </row>
    <row r="529" spans="55:59" x14ac:dyDescent="0.25">
      <c r="BC529" s="50"/>
      <c r="BD529" s="50"/>
      <c r="BE529" s="50"/>
      <c r="BF529" s="50"/>
      <c r="BG529" s="50"/>
    </row>
    <row r="530" spans="55:59" x14ac:dyDescent="0.25">
      <c r="BC530" s="50"/>
      <c r="BD530" s="50"/>
      <c r="BE530" s="50"/>
      <c r="BF530" s="50"/>
      <c r="BG530" s="50"/>
    </row>
    <row r="531" spans="55:59" x14ac:dyDescent="0.25">
      <c r="BC531" s="50"/>
      <c r="BD531" s="50"/>
      <c r="BE531" s="50"/>
      <c r="BF531" s="50"/>
      <c r="BG531" s="50"/>
    </row>
    <row r="532" spans="55:59" x14ac:dyDescent="0.25">
      <c r="BC532" s="50"/>
      <c r="BD532" s="50"/>
      <c r="BE532" s="50"/>
      <c r="BF532" s="50"/>
      <c r="BG532" s="50"/>
    </row>
    <row r="533" spans="55:59" x14ac:dyDescent="0.25">
      <c r="BC533" s="50"/>
      <c r="BD533" s="50"/>
      <c r="BE533" s="50"/>
      <c r="BF533" s="50"/>
      <c r="BG533" s="50"/>
    </row>
    <row r="534" spans="55:59" x14ac:dyDescent="0.25">
      <c r="BC534" s="50"/>
      <c r="BD534" s="50"/>
      <c r="BE534" s="50"/>
      <c r="BF534" s="50"/>
      <c r="BG534" s="50"/>
    </row>
    <row r="535" spans="55:59" x14ac:dyDescent="0.25">
      <c r="BC535" s="50"/>
      <c r="BD535" s="50"/>
      <c r="BE535" s="50"/>
      <c r="BF535" s="50"/>
      <c r="BG535" s="50"/>
    </row>
    <row r="536" spans="55:59" x14ac:dyDescent="0.25">
      <c r="BC536" s="50"/>
      <c r="BD536" s="50"/>
      <c r="BE536" s="50"/>
      <c r="BF536" s="50"/>
      <c r="BG536" s="50"/>
    </row>
    <row r="537" spans="55:59" x14ac:dyDescent="0.25">
      <c r="BC537" s="50"/>
      <c r="BD537" s="50"/>
      <c r="BE537" s="50"/>
      <c r="BF537" s="50"/>
      <c r="BG537" s="50"/>
    </row>
    <row r="538" spans="55:59" x14ac:dyDescent="0.25">
      <c r="BC538" s="50"/>
      <c r="BD538" s="50"/>
      <c r="BE538" s="50"/>
      <c r="BF538" s="50"/>
      <c r="BG538" s="50"/>
    </row>
    <row r="539" spans="55:59" x14ac:dyDescent="0.25">
      <c r="BC539" s="50"/>
      <c r="BD539" s="50"/>
      <c r="BE539" s="50"/>
      <c r="BF539" s="50"/>
      <c r="BG539" s="50"/>
    </row>
    <row r="540" spans="55:59" x14ac:dyDescent="0.25">
      <c r="BC540" s="50"/>
      <c r="BD540" s="50"/>
      <c r="BE540" s="50"/>
      <c r="BF540" s="50"/>
      <c r="BG540" s="50"/>
    </row>
    <row r="541" spans="55:59" x14ac:dyDescent="0.25">
      <c r="BC541" s="50"/>
      <c r="BD541" s="50"/>
      <c r="BE541" s="50"/>
      <c r="BF541" s="50"/>
      <c r="BG541" s="50"/>
    </row>
    <row r="542" spans="55:59" x14ac:dyDescent="0.25">
      <c r="BC542" s="50"/>
      <c r="BD542" s="50"/>
      <c r="BE542" s="50"/>
      <c r="BF542" s="50"/>
      <c r="BG542" s="50"/>
    </row>
    <row r="543" spans="55:59" x14ac:dyDescent="0.25">
      <c r="BC543" s="50"/>
      <c r="BD543" s="50"/>
      <c r="BE543" s="50"/>
      <c r="BF543" s="50"/>
      <c r="BG543" s="50"/>
    </row>
    <row r="544" spans="55:59" x14ac:dyDescent="0.25">
      <c r="BC544" s="50"/>
      <c r="BD544" s="50"/>
      <c r="BE544" s="50"/>
      <c r="BF544" s="50"/>
      <c r="BG544" s="50"/>
    </row>
    <row r="545" spans="55:59" x14ac:dyDescent="0.25">
      <c r="BC545" s="50"/>
      <c r="BD545" s="50"/>
      <c r="BE545" s="50"/>
      <c r="BF545" s="50"/>
      <c r="BG545" s="50"/>
    </row>
    <row r="546" spans="55:59" x14ac:dyDescent="0.25">
      <c r="BC546" s="50"/>
      <c r="BD546" s="50"/>
      <c r="BE546" s="50"/>
      <c r="BF546" s="50"/>
      <c r="BG546" s="50"/>
    </row>
    <row r="547" spans="55:59" x14ac:dyDescent="0.25">
      <c r="BC547" s="50"/>
      <c r="BD547" s="50"/>
      <c r="BE547" s="50"/>
      <c r="BF547" s="50"/>
      <c r="BG547" s="50"/>
    </row>
    <row r="548" spans="55:59" x14ac:dyDescent="0.25">
      <c r="BC548" s="50"/>
      <c r="BD548" s="50"/>
      <c r="BE548" s="50"/>
      <c r="BF548" s="50"/>
      <c r="BG548" s="50"/>
    </row>
    <row r="549" spans="55:59" x14ac:dyDescent="0.25">
      <c r="BC549" s="50"/>
      <c r="BD549" s="50"/>
      <c r="BE549" s="50"/>
      <c r="BF549" s="50"/>
      <c r="BG549" s="50"/>
    </row>
    <row r="550" spans="55:59" x14ac:dyDescent="0.25">
      <c r="BC550" s="50"/>
      <c r="BD550" s="50"/>
      <c r="BE550" s="50"/>
      <c r="BF550" s="50"/>
      <c r="BG550" s="50"/>
    </row>
    <row r="551" spans="55:59" x14ac:dyDescent="0.25">
      <c r="BC551" s="50"/>
      <c r="BD551" s="50"/>
      <c r="BE551" s="50"/>
      <c r="BF551" s="50"/>
      <c r="BG551" s="50"/>
    </row>
    <row r="552" spans="55:59" x14ac:dyDescent="0.25">
      <c r="BC552" s="50"/>
      <c r="BD552" s="50"/>
      <c r="BE552" s="50"/>
      <c r="BF552" s="50"/>
      <c r="BG552" s="50"/>
    </row>
    <row r="553" spans="55:59" x14ac:dyDescent="0.25">
      <c r="BC553" s="50"/>
      <c r="BD553" s="50"/>
      <c r="BE553" s="50"/>
      <c r="BF553" s="50"/>
      <c r="BG553" s="50"/>
    </row>
    <row r="554" spans="55:59" x14ac:dyDescent="0.25">
      <c r="BC554" s="50"/>
      <c r="BD554" s="50"/>
      <c r="BE554" s="50"/>
      <c r="BF554" s="50"/>
      <c r="BG554" s="50"/>
    </row>
    <row r="555" spans="55:59" x14ac:dyDescent="0.25">
      <c r="BC555" s="50"/>
      <c r="BD555" s="50"/>
      <c r="BE555" s="50"/>
      <c r="BF555" s="50"/>
      <c r="BG555" s="50"/>
    </row>
    <row r="556" spans="55:59" x14ac:dyDescent="0.25">
      <c r="BC556" s="50"/>
      <c r="BD556" s="50"/>
      <c r="BE556" s="50"/>
      <c r="BF556" s="50"/>
      <c r="BG556" s="50"/>
    </row>
    <row r="557" spans="55:59" x14ac:dyDescent="0.25">
      <c r="BC557" s="50"/>
      <c r="BD557" s="50"/>
      <c r="BE557" s="50"/>
      <c r="BF557" s="50"/>
      <c r="BG557" s="50"/>
    </row>
    <row r="558" spans="55:59" x14ac:dyDescent="0.25">
      <c r="BC558" s="50"/>
      <c r="BD558" s="50"/>
      <c r="BE558" s="50"/>
      <c r="BF558" s="50"/>
      <c r="BG558" s="50"/>
    </row>
    <row r="559" spans="55:59" x14ac:dyDescent="0.25">
      <c r="BC559" s="50"/>
      <c r="BD559" s="50"/>
      <c r="BE559" s="50"/>
      <c r="BF559" s="50"/>
      <c r="BG559" s="50"/>
    </row>
    <row r="560" spans="55:59" x14ac:dyDescent="0.25">
      <c r="BC560" s="50"/>
      <c r="BD560" s="50"/>
      <c r="BE560" s="50"/>
      <c r="BF560" s="50"/>
      <c r="BG560" s="50"/>
    </row>
    <row r="561" spans="55:59" x14ac:dyDescent="0.25">
      <c r="BC561" s="50"/>
      <c r="BD561" s="50"/>
      <c r="BE561" s="50"/>
      <c r="BF561" s="50"/>
      <c r="BG561" s="50"/>
    </row>
    <row r="562" spans="55:59" x14ac:dyDescent="0.25">
      <c r="BC562" s="50"/>
      <c r="BD562" s="50"/>
      <c r="BE562" s="50"/>
      <c r="BF562" s="50"/>
      <c r="BG562" s="50"/>
    </row>
    <row r="563" spans="55:59" x14ac:dyDescent="0.25">
      <c r="BC563" s="50"/>
      <c r="BD563" s="50"/>
      <c r="BE563" s="50"/>
      <c r="BF563" s="50"/>
      <c r="BG563" s="50"/>
    </row>
    <row r="564" spans="55:59" x14ac:dyDescent="0.25">
      <c r="BC564" s="50"/>
      <c r="BD564" s="50"/>
      <c r="BE564" s="50"/>
      <c r="BF564" s="50"/>
      <c r="BG564" s="50"/>
    </row>
    <row r="565" spans="55:59" x14ac:dyDescent="0.25">
      <c r="BC565" s="50"/>
      <c r="BD565" s="50"/>
      <c r="BE565" s="50"/>
      <c r="BF565" s="50"/>
      <c r="BG565" s="50"/>
    </row>
    <row r="566" spans="55:59" x14ac:dyDescent="0.25">
      <c r="BC566" s="50"/>
      <c r="BD566" s="50"/>
      <c r="BE566" s="50"/>
      <c r="BF566" s="50"/>
      <c r="BG566" s="50"/>
    </row>
    <row r="567" spans="55:59" x14ac:dyDescent="0.25">
      <c r="BC567" s="50"/>
      <c r="BD567" s="50"/>
      <c r="BE567" s="50"/>
      <c r="BF567" s="50"/>
      <c r="BG567" s="50"/>
    </row>
    <row r="568" spans="55:59" x14ac:dyDescent="0.25">
      <c r="BC568" s="50"/>
      <c r="BD568" s="50"/>
      <c r="BE568" s="50"/>
      <c r="BF568" s="50"/>
      <c r="BG568" s="50"/>
    </row>
    <row r="569" spans="55:59" x14ac:dyDescent="0.25">
      <c r="BC569" s="50"/>
      <c r="BD569" s="50"/>
      <c r="BE569" s="50"/>
      <c r="BF569" s="50"/>
      <c r="BG569" s="50"/>
    </row>
    <row r="570" spans="55:59" x14ac:dyDescent="0.25">
      <c r="BC570" s="50"/>
      <c r="BD570" s="50"/>
      <c r="BE570" s="50"/>
      <c r="BF570" s="50"/>
      <c r="BG570" s="50"/>
    </row>
    <row r="571" spans="55:59" x14ac:dyDescent="0.25">
      <c r="BC571" s="50"/>
      <c r="BD571" s="50"/>
      <c r="BE571" s="50"/>
      <c r="BF571" s="50"/>
      <c r="BG571" s="50"/>
    </row>
    <row r="572" spans="55:59" x14ac:dyDescent="0.25">
      <c r="BC572" s="50"/>
      <c r="BD572" s="50"/>
      <c r="BE572" s="50"/>
      <c r="BF572" s="50"/>
      <c r="BG572" s="50"/>
    </row>
    <row r="573" spans="55:59" x14ac:dyDescent="0.25">
      <c r="BC573" s="50"/>
      <c r="BD573" s="50"/>
      <c r="BE573" s="50"/>
      <c r="BF573" s="50"/>
      <c r="BG573" s="50"/>
    </row>
    <row r="574" spans="55:59" x14ac:dyDescent="0.25">
      <c r="BC574" s="50"/>
      <c r="BD574" s="50"/>
      <c r="BE574" s="50"/>
      <c r="BF574" s="50"/>
      <c r="BG574" s="50"/>
    </row>
    <row r="575" spans="55:59" x14ac:dyDescent="0.25">
      <c r="BC575" s="50"/>
      <c r="BD575" s="50"/>
      <c r="BE575" s="50"/>
      <c r="BF575" s="50"/>
      <c r="BG575" s="50"/>
    </row>
    <row r="576" spans="55:59" x14ac:dyDescent="0.25">
      <c r="BC576" s="50"/>
      <c r="BD576" s="50"/>
      <c r="BE576" s="50"/>
      <c r="BF576" s="50"/>
      <c r="BG576" s="50"/>
    </row>
    <row r="577" spans="55:59" x14ac:dyDescent="0.25">
      <c r="BC577" s="50"/>
      <c r="BD577" s="50"/>
      <c r="BE577" s="50"/>
      <c r="BF577" s="50"/>
      <c r="BG577" s="50"/>
    </row>
    <row r="578" spans="55:59" x14ac:dyDescent="0.25">
      <c r="BC578" s="50"/>
      <c r="BD578" s="50"/>
      <c r="BE578" s="50"/>
      <c r="BF578" s="50"/>
      <c r="BG578" s="50"/>
    </row>
    <row r="579" spans="55:59" x14ac:dyDescent="0.25">
      <c r="BC579" s="50"/>
      <c r="BD579" s="50"/>
      <c r="BE579" s="50"/>
      <c r="BF579" s="50"/>
      <c r="BG579" s="50"/>
    </row>
    <row r="580" spans="55:59" x14ac:dyDescent="0.25">
      <c r="BC580" s="50"/>
      <c r="BD580" s="50"/>
      <c r="BE580" s="50"/>
      <c r="BF580" s="50"/>
      <c r="BG580" s="50"/>
    </row>
    <row r="581" spans="55:59" x14ac:dyDescent="0.25">
      <c r="BC581" s="50"/>
      <c r="BD581" s="50"/>
      <c r="BE581" s="50"/>
      <c r="BF581" s="50"/>
      <c r="BG581" s="50"/>
    </row>
    <row r="582" spans="55:59" x14ac:dyDescent="0.25">
      <c r="BC582" s="50"/>
      <c r="BD582" s="50"/>
      <c r="BE582" s="50"/>
      <c r="BF582" s="50"/>
      <c r="BG582" s="50"/>
    </row>
    <row r="583" spans="55:59" x14ac:dyDescent="0.25">
      <c r="BC583" s="50"/>
      <c r="BD583" s="50"/>
      <c r="BE583" s="50"/>
      <c r="BF583" s="50"/>
      <c r="BG583" s="50"/>
    </row>
    <row r="584" spans="55:59" x14ac:dyDescent="0.25">
      <c r="BC584" s="50"/>
      <c r="BD584" s="50"/>
      <c r="BE584" s="50"/>
      <c r="BF584" s="50"/>
      <c r="BG584" s="50"/>
    </row>
    <row r="585" spans="55:59" x14ac:dyDescent="0.25">
      <c r="BC585" s="50"/>
      <c r="BD585" s="50"/>
      <c r="BE585" s="50"/>
      <c r="BF585" s="50"/>
      <c r="BG585" s="50"/>
    </row>
    <row r="586" spans="55:59" x14ac:dyDescent="0.25">
      <c r="BC586" s="50"/>
      <c r="BD586" s="50"/>
      <c r="BE586" s="50"/>
      <c r="BF586" s="50"/>
      <c r="BG586" s="50"/>
    </row>
    <row r="587" spans="55:59" x14ac:dyDescent="0.25">
      <c r="BC587" s="50"/>
      <c r="BD587" s="50"/>
      <c r="BE587" s="50"/>
      <c r="BF587" s="50"/>
      <c r="BG587" s="50"/>
    </row>
    <row r="588" spans="55:59" x14ac:dyDescent="0.25">
      <c r="BC588" s="50"/>
      <c r="BD588" s="50"/>
      <c r="BE588" s="50"/>
      <c r="BF588" s="50"/>
      <c r="BG588" s="50"/>
    </row>
    <row r="589" spans="55:59" x14ac:dyDescent="0.25">
      <c r="BC589" s="50"/>
      <c r="BD589" s="50"/>
      <c r="BE589" s="50"/>
      <c r="BF589" s="50"/>
      <c r="BG589" s="50"/>
    </row>
    <row r="590" spans="55:59" x14ac:dyDescent="0.25">
      <c r="BC590" s="50"/>
      <c r="BD590" s="50"/>
      <c r="BE590" s="50"/>
      <c r="BF590" s="50"/>
      <c r="BG590" s="50"/>
    </row>
    <row r="591" spans="55:59" x14ac:dyDescent="0.25">
      <c r="BC591" s="50"/>
      <c r="BD591" s="50"/>
      <c r="BE591" s="50"/>
      <c r="BF591" s="50"/>
      <c r="BG591" s="50"/>
    </row>
    <row r="592" spans="55:59" x14ac:dyDescent="0.25">
      <c r="BC592" s="50"/>
      <c r="BD592" s="50"/>
      <c r="BE592" s="50"/>
      <c r="BF592" s="50"/>
      <c r="BG592" s="50"/>
    </row>
    <row r="593" spans="55:59" x14ac:dyDescent="0.25">
      <c r="BC593" s="50"/>
      <c r="BD593" s="50"/>
      <c r="BE593" s="50"/>
      <c r="BF593" s="50"/>
      <c r="BG593" s="50"/>
    </row>
    <row r="594" spans="55:59" x14ac:dyDescent="0.25">
      <c r="BC594" s="50"/>
      <c r="BD594" s="50"/>
      <c r="BE594" s="50"/>
      <c r="BF594" s="50"/>
      <c r="BG594" s="50"/>
    </row>
    <row r="595" spans="55:59" x14ac:dyDescent="0.25">
      <c r="BC595" s="50"/>
      <c r="BD595" s="50"/>
      <c r="BE595" s="50"/>
      <c r="BF595" s="50"/>
      <c r="BG595" s="50"/>
    </row>
    <row r="596" spans="55:59" x14ac:dyDescent="0.25">
      <c r="BC596" s="50"/>
      <c r="BD596" s="50"/>
      <c r="BE596" s="50"/>
      <c r="BF596" s="50"/>
      <c r="BG596" s="50"/>
    </row>
    <row r="597" spans="55:59" x14ac:dyDescent="0.25">
      <c r="BC597" s="50"/>
      <c r="BD597" s="50"/>
      <c r="BE597" s="50"/>
      <c r="BF597" s="50"/>
      <c r="BG597" s="50"/>
    </row>
    <row r="598" spans="55:59" x14ac:dyDescent="0.25">
      <c r="BC598" s="50"/>
      <c r="BD598" s="50"/>
      <c r="BE598" s="50"/>
      <c r="BF598" s="50"/>
      <c r="BG598" s="50"/>
    </row>
    <row r="599" spans="55:59" x14ac:dyDescent="0.25">
      <c r="BC599" s="50"/>
      <c r="BD599" s="50"/>
      <c r="BE599" s="50"/>
      <c r="BF599" s="50"/>
      <c r="BG599" s="50"/>
    </row>
    <row r="600" spans="55:59" x14ac:dyDescent="0.25">
      <c r="BC600" s="50"/>
      <c r="BD600" s="50"/>
      <c r="BE600" s="50"/>
      <c r="BF600" s="50"/>
      <c r="BG600" s="50"/>
    </row>
    <row r="601" spans="55:59" x14ac:dyDescent="0.25">
      <c r="BC601" s="50"/>
      <c r="BD601" s="50"/>
      <c r="BE601" s="50"/>
      <c r="BF601" s="50"/>
      <c r="BG601" s="50"/>
    </row>
    <row r="602" spans="55:59" x14ac:dyDescent="0.25">
      <c r="BC602" s="50"/>
      <c r="BD602" s="50"/>
      <c r="BE602" s="50"/>
      <c r="BF602" s="50"/>
      <c r="BG602" s="50"/>
    </row>
    <row r="603" spans="55:59" x14ac:dyDescent="0.25">
      <c r="BC603" s="50"/>
      <c r="BD603" s="50"/>
      <c r="BE603" s="50"/>
      <c r="BF603" s="50"/>
      <c r="BG603" s="50"/>
    </row>
    <row r="604" spans="55:59" x14ac:dyDescent="0.25">
      <c r="BC604" s="50"/>
      <c r="BD604" s="50"/>
      <c r="BE604" s="50"/>
      <c r="BF604" s="50"/>
      <c r="BG604" s="50"/>
    </row>
    <row r="605" spans="55:59" x14ac:dyDescent="0.25">
      <c r="BC605" s="50"/>
      <c r="BD605" s="50"/>
      <c r="BE605" s="50"/>
      <c r="BF605" s="50"/>
      <c r="BG605" s="50"/>
    </row>
  </sheetData>
  <mergeCells count="34">
    <mergeCell ref="P23:S23"/>
    <mergeCell ref="BC3:CA3"/>
    <mergeCell ref="AW5:AX5"/>
    <mergeCell ref="AW4:BB4"/>
    <mergeCell ref="BH4:BL4"/>
    <mergeCell ref="BM4:BQ4"/>
    <mergeCell ref="AL3:AU3"/>
    <mergeCell ref="A23:D23"/>
    <mergeCell ref="F3:H3"/>
    <mergeCell ref="CC66:CJ66"/>
    <mergeCell ref="CI6:CI15"/>
    <mergeCell ref="U23:X23"/>
    <mergeCell ref="CC3:CH3"/>
    <mergeCell ref="CI4:CQ4"/>
    <mergeCell ref="AM4:AN4"/>
    <mergeCell ref="AO4:AS4"/>
    <mergeCell ref="AT4:AU4"/>
    <mergeCell ref="A3:D3"/>
    <mergeCell ref="BR4:BV4"/>
    <mergeCell ref="BW4:CA4"/>
    <mergeCell ref="F23:I23"/>
    <mergeCell ref="BC4:BG4"/>
    <mergeCell ref="K23:N23"/>
    <mergeCell ref="CI3:CQ3"/>
    <mergeCell ref="CR3:CX3"/>
    <mergeCell ref="AH3:AJ3"/>
    <mergeCell ref="CC67:CD67"/>
    <mergeCell ref="CE67:CG67"/>
    <mergeCell ref="CH67:CJ67"/>
    <mergeCell ref="CI56:CI59"/>
    <mergeCell ref="CI16:CI25"/>
    <mergeCell ref="CI26:CI35"/>
    <mergeCell ref="CI36:CI45"/>
    <mergeCell ref="CI46:CI55"/>
  </mergeCells>
  <phoneticPr fontId="4" type="noConversion"/>
  <conditionalFormatting sqref="F23:I36 P23:S36">
    <cfRule type="expression" dxfId="1" priority="27">
      <formula>OR($C$4=1, $C$4=2)</formula>
    </cfRule>
  </conditionalFormatting>
  <conditionalFormatting sqref="K23:N36">
    <cfRule type="expression" dxfId="0" priority="29">
      <formula>OR($C$4=1, $C$4=3)</formula>
    </cfRule>
  </conditionalFormatting>
  <dataValidations disablePrompts="1" count="1">
    <dataValidation type="list" allowBlank="1" showInputMessage="1" showErrorMessage="1" sqref="C28:C35 H29:H35 R26:R35 W28:W35 M26:M35" xr:uid="{A178D579-A6D7-4796-BF05-204C30E84745}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5" r:id="rId4" name="Button 27">
              <controlPr defaultSize="0" print="0" autoFill="0" autoPict="0" macro="[0]!ToHome">
                <anchor moveWithCells="1" sizeWithCells="1">
                  <from>
                    <xdr:col>15</xdr:col>
                    <xdr:colOff>88900</xdr:colOff>
                    <xdr:row>2</xdr:row>
                    <xdr:rowOff>323850</xdr:rowOff>
                  </from>
                  <to>
                    <xdr:col>17</xdr:col>
                    <xdr:colOff>241300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DE2B354-40F5-4334-A0F3-0B3FB925F804}">
          <x14:formula1>
            <xm:f>规格表!$A$3:$A$433</xm:f>
          </x14:formula1>
          <xm:sqref>H19</xm:sqref>
        </x14:dataValidation>
        <x14:dataValidation type="list" allowBlank="1" showInputMessage="1" showErrorMessage="1" xr:uid="{C16EA67C-9F6F-4A01-A7EA-32C257458E34}">
          <x14:formula1>
            <xm:f>规格表!$E$3:$E$59</xm:f>
          </x14:formula1>
          <xm:sqref>C6:C9 C26:C27 H26:H28 W26:W27</xm:sqref>
        </x14:dataValidation>
        <x14:dataValidation type="list" allowBlank="1" showInputMessage="1" showErrorMessage="1" xr:uid="{F09A31E7-F29D-4C6A-8DF5-C127AB76FB7B}">
          <x14:formula1>
            <xm:f>规格表!$A$3:$A$434</xm:f>
          </x14:formula1>
          <xm:sqref>H5:H18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1FE26-9B41-440A-8FC1-CE03DFAB1383}">
  <sheetPr codeName="Sheet5"/>
  <dimension ref="A1:G22"/>
  <sheetViews>
    <sheetView workbookViewId="0">
      <selection activeCell="G37" sqref="G37"/>
    </sheetView>
  </sheetViews>
  <sheetFormatPr defaultColWidth="9" defaultRowHeight="16.5" x14ac:dyDescent="0.45"/>
  <cols>
    <col min="1" max="1" width="9.26953125" style="13" bestFit="1" customWidth="1"/>
    <col min="2" max="2" width="18.6328125" style="13" bestFit="1" customWidth="1"/>
    <col min="3" max="3" width="16.453125" style="13" bestFit="1" customWidth="1"/>
    <col min="4" max="4" width="9.26953125" style="13" bestFit="1" customWidth="1"/>
    <col min="5" max="5" width="14.36328125" style="13" bestFit="1" customWidth="1"/>
    <col min="6" max="6" width="9.26953125" style="13" bestFit="1" customWidth="1"/>
    <col min="7" max="7" width="24.7265625" style="13" bestFit="1" customWidth="1"/>
    <col min="8" max="16384" width="9" style="13"/>
  </cols>
  <sheetData>
    <row r="1" spans="1:7" ht="28" thickTop="1" x14ac:dyDescent="0.65">
      <c r="A1" s="351" t="s">
        <v>525</v>
      </c>
      <c r="B1" s="352"/>
      <c r="C1" s="352"/>
      <c r="D1" s="352"/>
      <c r="E1" s="352"/>
      <c r="F1" s="352"/>
      <c r="G1" s="353"/>
    </row>
    <row r="2" spans="1:7" ht="20" x14ac:dyDescent="0.5">
      <c r="A2" s="348" t="s">
        <v>518</v>
      </c>
      <c r="B2" s="349"/>
      <c r="C2" s="349"/>
      <c r="D2" s="349" t="s">
        <v>520</v>
      </c>
      <c r="E2" s="349"/>
      <c r="F2" s="349"/>
      <c r="G2" s="350"/>
    </row>
    <row r="3" spans="1:7" x14ac:dyDescent="0.45">
      <c r="A3" s="25" t="s">
        <v>516</v>
      </c>
      <c r="B3" s="23" t="s">
        <v>517</v>
      </c>
      <c r="C3" s="23" t="s">
        <v>519</v>
      </c>
      <c r="D3" s="23" t="s">
        <v>521</v>
      </c>
      <c r="E3" s="23" t="s">
        <v>522</v>
      </c>
      <c r="F3" s="23" t="s">
        <v>523</v>
      </c>
      <c r="G3" s="26" t="s">
        <v>524</v>
      </c>
    </row>
    <row r="4" spans="1:7" x14ac:dyDescent="0.45">
      <c r="A4" s="25">
        <v>1</v>
      </c>
      <c r="B4" s="23">
        <v>8445</v>
      </c>
      <c r="C4" s="23" t="s">
        <v>432</v>
      </c>
      <c r="D4" s="23">
        <v>1</v>
      </c>
      <c r="E4" s="23">
        <v>2050</v>
      </c>
      <c r="F4" s="23" t="s">
        <v>1</v>
      </c>
      <c r="G4" s="26" t="s">
        <v>448</v>
      </c>
    </row>
    <row r="5" spans="1:7" x14ac:dyDescent="0.45">
      <c r="A5" s="25">
        <v>2</v>
      </c>
      <c r="B5" s="23">
        <v>782</v>
      </c>
      <c r="C5" s="23" t="s">
        <v>432</v>
      </c>
      <c r="D5" s="23">
        <v>2</v>
      </c>
      <c r="E5" s="23">
        <v>6470</v>
      </c>
      <c r="F5" s="23" t="s">
        <v>2</v>
      </c>
      <c r="G5" s="26" t="s">
        <v>448</v>
      </c>
    </row>
    <row r="6" spans="1:7" x14ac:dyDescent="0.45">
      <c r="A6" s="25">
        <v>3</v>
      </c>
      <c r="B6" s="23">
        <v>8954</v>
      </c>
      <c r="C6" s="23" t="s">
        <v>432</v>
      </c>
      <c r="D6" s="23">
        <v>3</v>
      </c>
      <c r="E6" s="23">
        <v>6785</v>
      </c>
      <c r="F6" s="23" t="s">
        <v>1</v>
      </c>
      <c r="G6" s="26" t="s">
        <v>448</v>
      </c>
    </row>
    <row r="7" spans="1:7" x14ac:dyDescent="0.45">
      <c r="A7" s="25">
        <v>4</v>
      </c>
      <c r="B7" s="23">
        <v>8954</v>
      </c>
      <c r="C7" s="23" t="s">
        <v>432</v>
      </c>
      <c r="D7" s="23">
        <v>4</v>
      </c>
      <c r="E7" s="23">
        <v>6825</v>
      </c>
      <c r="F7" s="23" t="s">
        <v>1</v>
      </c>
      <c r="G7" s="26" t="s">
        <v>448</v>
      </c>
    </row>
    <row r="8" spans="1:7" x14ac:dyDescent="0.45">
      <c r="A8" s="25">
        <v>5</v>
      </c>
      <c r="B8" s="23">
        <v>2262</v>
      </c>
      <c r="C8" s="23" t="s">
        <v>432</v>
      </c>
      <c r="D8" s="23">
        <v>5</v>
      </c>
      <c r="E8" s="23">
        <v>7630</v>
      </c>
      <c r="F8" s="23" t="s">
        <v>2</v>
      </c>
      <c r="G8" s="26" t="s">
        <v>448</v>
      </c>
    </row>
    <row r="9" spans="1:7" x14ac:dyDescent="0.45">
      <c r="A9" s="25">
        <v>6</v>
      </c>
      <c r="B9" s="23">
        <v>7542</v>
      </c>
      <c r="C9" s="23" t="s">
        <v>432</v>
      </c>
      <c r="D9" s="23">
        <v>6</v>
      </c>
      <c r="E9" s="23">
        <v>6530</v>
      </c>
      <c r="F9" s="23" t="s">
        <v>1</v>
      </c>
      <c r="G9" s="26" t="s">
        <v>448</v>
      </c>
    </row>
    <row r="10" spans="1:7" x14ac:dyDescent="0.45">
      <c r="A10" s="25">
        <v>7</v>
      </c>
      <c r="B10" s="23">
        <v>8954</v>
      </c>
      <c r="C10" s="23" t="s">
        <v>432</v>
      </c>
      <c r="D10" s="23">
        <v>7</v>
      </c>
      <c r="E10" s="23">
        <v>6910</v>
      </c>
      <c r="F10" s="23" t="s">
        <v>1</v>
      </c>
      <c r="G10" s="26" t="s">
        <v>448</v>
      </c>
    </row>
    <row r="11" spans="1:7" x14ac:dyDescent="0.45">
      <c r="A11" s="25">
        <v>8</v>
      </c>
      <c r="B11" s="23">
        <v>3402</v>
      </c>
      <c r="C11" s="23" t="s">
        <v>432</v>
      </c>
      <c r="D11" s="23">
        <v>8</v>
      </c>
      <c r="E11" s="23">
        <v>6700</v>
      </c>
      <c r="F11" s="23" t="s">
        <v>2</v>
      </c>
      <c r="G11" s="26" t="s">
        <v>448</v>
      </c>
    </row>
    <row r="12" spans="1:7" x14ac:dyDescent="0.45">
      <c r="A12" s="25">
        <v>9</v>
      </c>
      <c r="B12" s="23">
        <v>5402</v>
      </c>
      <c r="C12" s="23" t="s">
        <v>432</v>
      </c>
      <c r="D12" s="23">
        <v>9</v>
      </c>
      <c r="E12" s="23">
        <v>6470</v>
      </c>
      <c r="F12" s="23" t="s">
        <v>1</v>
      </c>
      <c r="G12" s="26" t="s">
        <v>448</v>
      </c>
    </row>
    <row r="13" spans="1:7" x14ac:dyDescent="0.45">
      <c r="A13" s="25">
        <v>10</v>
      </c>
      <c r="B13" s="23">
        <v>7335.9999999999927</v>
      </c>
      <c r="C13" s="23" t="s">
        <v>432</v>
      </c>
      <c r="D13" s="23"/>
      <c r="E13" s="23"/>
      <c r="F13" s="23"/>
      <c r="G13" s="26"/>
    </row>
    <row r="14" spans="1:7" x14ac:dyDescent="0.45">
      <c r="A14" s="25"/>
      <c r="B14" s="23"/>
      <c r="C14" s="23"/>
      <c r="D14" s="23"/>
      <c r="E14" s="23"/>
      <c r="F14" s="23"/>
      <c r="G14" s="26"/>
    </row>
    <row r="15" spans="1:7" x14ac:dyDescent="0.45">
      <c r="A15" s="25"/>
      <c r="B15" s="23"/>
      <c r="C15" s="23"/>
      <c r="D15" s="23"/>
      <c r="E15" s="23"/>
      <c r="F15" s="23"/>
      <c r="G15" s="26"/>
    </row>
    <row r="16" spans="1:7" x14ac:dyDescent="0.45">
      <c r="A16" s="25"/>
      <c r="B16" s="23"/>
      <c r="C16" s="23"/>
      <c r="D16" s="23"/>
      <c r="E16" s="23"/>
      <c r="F16" s="23"/>
      <c r="G16" s="26"/>
    </row>
    <row r="17" spans="1:7" x14ac:dyDescent="0.45">
      <c r="A17" s="25"/>
      <c r="B17" s="23"/>
      <c r="C17" s="23"/>
      <c r="D17" s="23"/>
      <c r="E17" s="23"/>
      <c r="F17" s="23"/>
      <c r="G17" s="26"/>
    </row>
    <row r="18" spans="1:7" x14ac:dyDescent="0.45">
      <c r="A18" s="25"/>
      <c r="B18" s="23"/>
      <c r="C18" s="23"/>
      <c r="D18" s="23"/>
      <c r="E18" s="23"/>
      <c r="F18" s="23"/>
      <c r="G18" s="26"/>
    </row>
    <row r="19" spans="1:7" x14ac:dyDescent="0.45">
      <c r="A19" s="25"/>
      <c r="B19" s="23"/>
      <c r="C19" s="23"/>
      <c r="D19" s="23"/>
      <c r="E19" s="23"/>
      <c r="F19" s="23"/>
      <c r="G19" s="26"/>
    </row>
    <row r="20" spans="1:7" x14ac:dyDescent="0.45">
      <c r="A20" s="25"/>
      <c r="B20" s="23"/>
      <c r="C20" s="23"/>
      <c r="D20" s="23"/>
      <c r="E20" s="23"/>
      <c r="F20" s="23"/>
      <c r="G20" s="26"/>
    </row>
    <row r="21" spans="1:7" ht="17" thickBot="1" x14ac:dyDescent="0.5">
      <c r="A21" s="34"/>
      <c r="B21" s="32"/>
      <c r="C21" s="32"/>
      <c r="D21" s="32"/>
      <c r="E21" s="32"/>
      <c r="F21" s="32"/>
      <c r="G21" s="33"/>
    </row>
    <row r="22" spans="1:7" ht="17" thickTop="1" x14ac:dyDescent="0.45"/>
  </sheetData>
  <mergeCells count="3">
    <mergeCell ref="A2:C2"/>
    <mergeCell ref="D2:G2"/>
    <mergeCell ref="A1:G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oPrePage">
                <anchor moveWithCells="1" sizeWithCells="1">
                  <from>
                    <xdr:col>8</xdr:col>
                    <xdr:colOff>438150</xdr:colOff>
                    <xdr:row>18</xdr:row>
                    <xdr:rowOff>38100</xdr:rowOff>
                  </from>
                  <to>
                    <xdr:col>10</xdr:col>
                    <xdr:colOff>336550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D371E-89EE-49CB-B82A-CEAC97CF4C07}">
  <sheetPr codeName="Sheet6"/>
  <dimension ref="A1:E435"/>
  <sheetViews>
    <sheetView workbookViewId="0">
      <selection activeCell="AA13" sqref="AA13"/>
    </sheetView>
  </sheetViews>
  <sheetFormatPr defaultColWidth="9" defaultRowHeight="14" x14ac:dyDescent="0.3"/>
  <cols>
    <col min="1" max="1" width="15.6328125" style="1" bestFit="1" customWidth="1"/>
    <col min="2" max="3" width="13.7265625" style="1" bestFit="1" customWidth="1"/>
    <col min="4" max="4" width="15.6328125" style="2" customWidth="1"/>
    <col min="5" max="5" width="23.453125" style="1" bestFit="1" customWidth="1"/>
    <col min="6" max="16384" width="9" style="2"/>
  </cols>
  <sheetData>
    <row r="1" spans="1:5" ht="18.5" thickTop="1" x14ac:dyDescent="0.35">
      <c r="A1" s="354" t="s">
        <v>506</v>
      </c>
      <c r="B1" s="355"/>
      <c r="C1" s="356"/>
      <c r="E1" s="11" t="s">
        <v>507</v>
      </c>
    </row>
    <row r="2" spans="1:5" ht="14.5" x14ac:dyDescent="0.3">
      <c r="A2" s="4" t="s">
        <v>508</v>
      </c>
      <c r="B2" s="3" t="s">
        <v>509</v>
      </c>
      <c r="C2" s="5" t="s">
        <v>510</v>
      </c>
      <c r="E2" s="9" t="s">
        <v>505</v>
      </c>
    </row>
    <row r="3" spans="1:5" x14ac:dyDescent="0.3">
      <c r="A3" s="4" t="s">
        <v>14</v>
      </c>
      <c r="B3" s="3" t="str">
        <f>IF(LEFT(A3, 1) = "U", MID(A3, 2, 3), MID(A3, 3, 3))</f>
        <v>120</v>
      </c>
      <c r="C3" s="5" t="str">
        <f>B3</f>
        <v>120</v>
      </c>
      <c r="E3" s="9" t="s">
        <v>445</v>
      </c>
    </row>
    <row r="4" spans="1:5" x14ac:dyDescent="0.3">
      <c r="A4" s="4" t="s">
        <v>15</v>
      </c>
      <c r="B4" s="3" t="str">
        <f t="shared" ref="B4:B67" si="0">IF(LEFT(A4, 1) = "U", MID(A4, 2, 3), MID(A4, 3, 3))</f>
        <v>120</v>
      </c>
      <c r="C4" s="5" t="str">
        <f t="shared" ref="C4:C67" si="1">B4</f>
        <v>120</v>
      </c>
      <c r="E4" s="9" t="s">
        <v>446</v>
      </c>
    </row>
    <row r="5" spans="1:5" x14ac:dyDescent="0.3">
      <c r="A5" s="4" t="s">
        <v>16</v>
      </c>
      <c r="B5" s="3" t="str">
        <f t="shared" si="0"/>
        <v>120</v>
      </c>
      <c r="C5" s="5" t="str">
        <f t="shared" si="1"/>
        <v>120</v>
      </c>
      <c r="E5" s="9" t="s">
        <v>447</v>
      </c>
    </row>
    <row r="6" spans="1:5" x14ac:dyDescent="0.3">
      <c r="A6" s="4" t="s">
        <v>17</v>
      </c>
      <c r="B6" s="3" t="str">
        <f t="shared" si="0"/>
        <v>120</v>
      </c>
      <c r="C6" s="5" t="str">
        <f t="shared" si="1"/>
        <v>120</v>
      </c>
      <c r="E6" s="9" t="s">
        <v>448</v>
      </c>
    </row>
    <row r="7" spans="1:5" x14ac:dyDescent="0.3">
      <c r="A7" s="4" t="s">
        <v>18</v>
      </c>
      <c r="B7" s="3" t="str">
        <f t="shared" si="0"/>
        <v>120</v>
      </c>
      <c r="C7" s="5" t="str">
        <f t="shared" si="1"/>
        <v>120</v>
      </c>
      <c r="E7" s="9" t="s">
        <v>449</v>
      </c>
    </row>
    <row r="8" spans="1:5" x14ac:dyDescent="0.3">
      <c r="A8" s="4" t="s">
        <v>19</v>
      </c>
      <c r="B8" s="3" t="str">
        <f t="shared" si="0"/>
        <v>120</v>
      </c>
      <c r="C8" s="5" t="str">
        <f t="shared" si="1"/>
        <v>120</v>
      </c>
      <c r="E8" s="9" t="s">
        <v>450</v>
      </c>
    </row>
    <row r="9" spans="1:5" x14ac:dyDescent="0.3">
      <c r="A9" s="4" t="s">
        <v>20</v>
      </c>
      <c r="B9" s="3" t="str">
        <f t="shared" si="0"/>
        <v>120</v>
      </c>
      <c r="C9" s="5" t="str">
        <f t="shared" si="1"/>
        <v>120</v>
      </c>
      <c r="E9" s="9" t="s">
        <v>451</v>
      </c>
    </row>
    <row r="10" spans="1:5" x14ac:dyDescent="0.3">
      <c r="A10" s="4" t="s">
        <v>21</v>
      </c>
      <c r="B10" s="3" t="str">
        <f t="shared" si="0"/>
        <v>120</v>
      </c>
      <c r="C10" s="5" t="str">
        <f t="shared" si="1"/>
        <v>120</v>
      </c>
      <c r="E10" s="9" t="s">
        <v>452</v>
      </c>
    </row>
    <row r="11" spans="1:5" x14ac:dyDescent="0.3">
      <c r="A11" s="4" t="s">
        <v>22</v>
      </c>
      <c r="B11" s="3" t="str">
        <f t="shared" si="0"/>
        <v>120</v>
      </c>
      <c r="C11" s="5" t="str">
        <f t="shared" si="1"/>
        <v>120</v>
      </c>
      <c r="E11" s="9" t="s">
        <v>453</v>
      </c>
    </row>
    <row r="12" spans="1:5" x14ac:dyDescent="0.3">
      <c r="A12" s="4" t="s">
        <v>23</v>
      </c>
      <c r="B12" s="3" t="str">
        <f t="shared" si="0"/>
        <v>120</v>
      </c>
      <c r="C12" s="5" t="str">
        <f t="shared" si="1"/>
        <v>120</v>
      </c>
      <c r="E12" s="9" t="s">
        <v>454</v>
      </c>
    </row>
    <row r="13" spans="1:5" x14ac:dyDescent="0.3">
      <c r="A13" s="4" t="s">
        <v>24</v>
      </c>
      <c r="B13" s="3" t="str">
        <f t="shared" si="0"/>
        <v>120</v>
      </c>
      <c r="C13" s="5" t="str">
        <f t="shared" si="1"/>
        <v>120</v>
      </c>
      <c r="E13" s="9" t="s">
        <v>455</v>
      </c>
    </row>
    <row r="14" spans="1:5" x14ac:dyDescent="0.3">
      <c r="A14" s="4" t="s">
        <v>25</v>
      </c>
      <c r="B14" s="3" t="str">
        <f t="shared" si="0"/>
        <v>120</v>
      </c>
      <c r="C14" s="5" t="str">
        <f t="shared" si="1"/>
        <v>120</v>
      </c>
      <c r="E14" s="9" t="s">
        <v>456</v>
      </c>
    </row>
    <row r="15" spans="1:5" x14ac:dyDescent="0.3">
      <c r="A15" s="4" t="s">
        <v>26</v>
      </c>
      <c r="B15" s="3" t="str">
        <f t="shared" si="0"/>
        <v>120</v>
      </c>
      <c r="C15" s="5" t="str">
        <f t="shared" si="1"/>
        <v>120</v>
      </c>
      <c r="E15" s="9" t="s">
        <v>457</v>
      </c>
    </row>
    <row r="16" spans="1:5" x14ac:dyDescent="0.3">
      <c r="A16" s="4" t="s">
        <v>27</v>
      </c>
      <c r="B16" s="3" t="str">
        <f t="shared" si="0"/>
        <v>120</v>
      </c>
      <c r="C16" s="5" t="str">
        <f t="shared" si="1"/>
        <v>120</v>
      </c>
      <c r="E16" s="9" t="s">
        <v>458</v>
      </c>
    </row>
    <row r="17" spans="1:5" x14ac:dyDescent="0.3">
      <c r="A17" s="4" t="s">
        <v>28</v>
      </c>
      <c r="B17" s="3" t="str">
        <f t="shared" si="0"/>
        <v>120</v>
      </c>
      <c r="C17" s="5" t="str">
        <f t="shared" si="1"/>
        <v>120</v>
      </c>
      <c r="E17" s="9" t="s">
        <v>459</v>
      </c>
    </row>
    <row r="18" spans="1:5" x14ac:dyDescent="0.3">
      <c r="A18" s="4" t="s">
        <v>29</v>
      </c>
      <c r="B18" s="3" t="str">
        <f t="shared" si="0"/>
        <v>120</v>
      </c>
      <c r="C18" s="5" t="str">
        <f t="shared" si="1"/>
        <v>120</v>
      </c>
      <c r="E18" s="9" t="s">
        <v>460</v>
      </c>
    </row>
    <row r="19" spans="1:5" x14ac:dyDescent="0.3">
      <c r="A19" s="4" t="s">
        <v>30</v>
      </c>
      <c r="B19" s="3" t="str">
        <f t="shared" si="0"/>
        <v>120</v>
      </c>
      <c r="C19" s="5" t="str">
        <f t="shared" si="1"/>
        <v>120</v>
      </c>
      <c r="E19" s="9" t="s">
        <v>461</v>
      </c>
    </row>
    <row r="20" spans="1:5" x14ac:dyDescent="0.3">
      <c r="A20" s="4" t="s">
        <v>31</v>
      </c>
      <c r="B20" s="3" t="str">
        <f t="shared" si="0"/>
        <v>120</v>
      </c>
      <c r="C20" s="5" t="str">
        <f t="shared" si="1"/>
        <v>120</v>
      </c>
      <c r="E20" s="9" t="s">
        <v>462</v>
      </c>
    </row>
    <row r="21" spans="1:5" x14ac:dyDescent="0.3">
      <c r="A21" s="4" t="s">
        <v>32</v>
      </c>
      <c r="B21" s="3" t="str">
        <f t="shared" si="0"/>
        <v>120</v>
      </c>
      <c r="C21" s="5" t="str">
        <f t="shared" si="1"/>
        <v>120</v>
      </c>
      <c r="E21" s="9" t="s">
        <v>463</v>
      </c>
    </row>
    <row r="22" spans="1:5" x14ac:dyDescent="0.3">
      <c r="A22" s="4" t="s">
        <v>33</v>
      </c>
      <c r="B22" s="3" t="str">
        <f t="shared" si="0"/>
        <v>120</v>
      </c>
      <c r="C22" s="5" t="str">
        <f t="shared" si="1"/>
        <v>120</v>
      </c>
      <c r="E22" s="9" t="s">
        <v>464</v>
      </c>
    </row>
    <row r="23" spans="1:5" x14ac:dyDescent="0.3">
      <c r="A23" s="4" t="s">
        <v>34</v>
      </c>
      <c r="B23" s="3" t="str">
        <f t="shared" si="0"/>
        <v>120</v>
      </c>
      <c r="C23" s="5" t="str">
        <f t="shared" si="1"/>
        <v>120</v>
      </c>
      <c r="E23" s="9" t="s">
        <v>465</v>
      </c>
    </row>
    <row r="24" spans="1:5" x14ac:dyDescent="0.3">
      <c r="A24" s="4" t="s">
        <v>35</v>
      </c>
      <c r="B24" s="3" t="str">
        <f t="shared" si="0"/>
        <v>120</v>
      </c>
      <c r="C24" s="5" t="str">
        <f t="shared" si="1"/>
        <v>120</v>
      </c>
      <c r="E24" s="9" t="s">
        <v>466</v>
      </c>
    </row>
    <row r="25" spans="1:5" x14ac:dyDescent="0.3">
      <c r="A25" s="4" t="s">
        <v>36</v>
      </c>
      <c r="B25" s="3" t="str">
        <f t="shared" si="0"/>
        <v>120</v>
      </c>
      <c r="C25" s="5" t="str">
        <f t="shared" si="1"/>
        <v>120</v>
      </c>
      <c r="E25" s="9" t="s">
        <v>467</v>
      </c>
    </row>
    <row r="26" spans="1:5" x14ac:dyDescent="0.3">
      <c r="A26" s="4" t="s">
        <v>37</v>
      </c>
      <c r="B26" s="3" t="str">
        <f t="shared" si="0"/>
        <v>120</v>
      </c>
      <c r="C26" s="5" t="str">
        <f t="shared" si="1"/>
        <v>120</v>
      </c>
      <c r="E26" s="9" t="s">
        <v>468</v>
      </c>
    </row>
    <row r="27" spans="1:5" x14ac:dyDescent="0.3">
      <c r="A27" s="4" t="s">
        <v>38</v>
      </c>
      <c r="B27" s="3" t="str">
        <f t="shared" si="0"/>
        <v>120</v>
      </c>
      <c r="C27" s="5" t="str">
        <f t="shared" si="1"/>
        <v>120</v>
      </c>
      <c r="E27" s="9" t="s">
        <v>469</v>
      </c>
    </row>
    <row r="28" spans="1:5" x14ac:dyDescent="0.3">
      <c r="A28" s="4" t="s">
        <v>39</v>
      </c>
      <c r="B28" s="3" t="str">
        <f t="shared" si="0"/>
        <v>120</v>
      </c>
      <c r="C28" s="5" t="str">
        <f t="shared" si="1"/>
        <v>120</v>
      </c>
      <c r="E28" s="9" t="s">
        <v>470</v>
      </c>
    </row>
    <row r="29" spans="1:5" x14ac:dyDescent="0.3">
      <c r="A29" s="4" t="s">
        <v>40</v>
      </c>
      <c r="B29" s="3" t="str">
        <f t="shared" si="0"/>
        <v>120</v>
      </c>
      <c r="C29" s="5" t="str">
        <f t="shared" si="1"/>
        <v>120</v>
      </c>
      <c r="E29" s="9" t="s">
        <v>471</v>
      </c>
    </row>
    <row r="30" spans="1:5" x14ac:dyDescent="0.3">
      <c r="A30" s="4" t="s">
        <v>41</v>
      </c>
      <c r="B30" s="3" t="str">
        <f t="shared" si="0"/>
        <v>120</v>
      </c>
      <c r="C30" s="5" t="str">
        <f t="shared" si="1"/>
        <v>120</v>
      </c>
      <c r="E30" s="9" t="s">
        <v>472</v>
      </c>
    </row>
    <row r="31" spans="1:5" x14ac:dyDescent="0.3">
      <c r="A31" s="4" t="s">
        <v>42</v>
      </c>
      <c r="B31" s="3" t="str">
        <f t="shared" si="0"/>
        <v>120</v>
      </c>
      <c r="C31" s="5" t="str">
        <f t="shared" si="1"/>
        <v>120</v>
      </c>
      <c r="E31" s="9" t="s">
        <v>473</v>
      </c>
    </row>
    <row r="32" spans="1:5" x14ac:dyDescent="0.3">
      <c r="A32" s="4" t="s">
        <v>43</v>
      </c>
      <c r="B32" s="3" t="str">
        <f t="shared" si="0"/>
        <v>120</v>
      </c>
      <c r="C32" s="5" t="str">
        <f t="shared" si="1"/>
        <v>120</v>
      </c>
      <c r="E32" s="9" t="s">
        <v>474</v>
      </c>
    </row>
    <row r="33" spans="1:5" x14ac:dyDescent="0.3">
      <c r="A33" s="4" t="s">
        <v>44</v>
      </c>
      <c r="B33" s="3" t="str">
        <f t="shared" si="0"/>
        <v>120</v>
      </c>
      <c r="C33" s="5" t="str">
        <f t="shared" si="1"/>
        <v>120</v>
      </c>
      <c r="E33" s="9" t="s">
        <v>475</v>
      </c>
    </row>
    <row r="34" spans="1:5" x14ac:dyDescent="0.3">
      <c r="A34" s="4" t="s">
        <v>45</v>
      </c>
      <c r="B34" s="3" t="str">
        <f t="shared" si="0"/>
        <v>120</v>
      </c>
      <c r="C34" s="5" t="str">
        <f t="shared" si="1"/>
        <v>120</v>
      </c>
      <c r="E34" s="9" t="s">
        <v>476</v>
      </c>
    </row>
    <row r="35" spans="1:5" x14ac:dyDescent="0.3">
      <c r="A35" s="4" t="s">
        <v>46</v>
      </c>
      <c r="B35" s="3" t="str">
        <f t="shared" si="0"/>
        <v>120</v>
      </c>
      <c r="C35" s="5" t="str">
        <f t="shared" si="1"/>
        <v>120</v>
      </c>
      <c r="E35" s="9" t="s">
        <v>477</v>
      </c>
    </row>
    <row r="36" spans="1:5" x14ac:dyDescent="0.3">
      <c r="A36" s="4" t="s">
        <v>47</v>
      </c>
      <c r="B36" s="3" t="str">
        <f t="shared" si="0"/>
        <v>120</v>
      </c>
      <c r="C36" s="5" t="str">
        <f t="shared" si="1"/>
        <v>120</v>
      </c>
      <c r="E36" s="9" t="s">
        <v>478</v>
      </c>
    </row>
    <row r="37" spans="1:5" x14ac:dyDescent="0.3">
      <c r="A37" s="4" t="s">
        <v>48</v>
      </c>
      <c r="B37" s="3" t="str">
        <f t="shared" si="0"/>
        <v>120</v>
      </c>
      <c r="C37" s="5" t="str">
        <f t="shared" si="1"/>
        <v>120</v>
      </c>
      <c r="E37" s="9" t="s">
        <v>479</v>
      </c>
    </row>
    <row r="38" spans="1:5" x14ac:dyDescent="0.3">
      <c r="A38" s="4" t="s">
        <v>49</v>
      </c>
      <c r="B38" s="3" t="str">
        <f t="shared" si="0"/>
        <v>120</v>
      </c>
      <c r="C38" s="5" t="str">
        <f t="shared" si="1"/>
        <v>120</v>
      </c>
      <c r="E38" s="9" t="s">
        <v>480</v>
      </c>
    </row>
    <row r="39" spans="1:5" x14ac:dyDescent="0.3">
      <c r="A39" s="4" t="s">
        <v>50</v>
      </c>
      <c r="B39" s="3" t="str">
        <f t="shared" si="0"/>
        <v>120</v>
      </c>
      <c r="C39" s="5" t="str">
        <f t="shared" si="1"/>
        <v>120</v>
      </c>
      <c r="E39" s="9" t="s">
        <v>481</v>
      </c>
    </row>
    <row r="40" spans="1:5" x14ac:dyDescent="0.3">
      <c r="A40" s="4" t="s">
        <v>51</v>
      </c>
      <c r="B40" s="3" t="str">
        <f t="shared" si="0"/>
        <v>120</v>
      </c>
      <c r="C40" s="5" t="str">
        <f t="shared" si="1"/>
        <v>120</v>
      </c>
      <c r="E40" s="9" t="s">
        <v>482</v>
      </c>
    </row>
    <row r="41" spans="1:5" x14ac:dyDescent="0.3">
      <c r="A41" s="4" t="s">
        <v>52</v>
      </c>
      <c r="B41" s="3" t="str">
        <f t="shared" si="0"/>
        <v>120</v>
      </c>
      <c r="C41" s="5" t="str">
        <f t="shared" si="1"/>
        <v>120</v>
      </c>
      <c r="E41" s="9" t="s">
        <v>483</v>
      </c>
    </row>
    <row r="42" spans="1:5" x14ac:dyDescent="0.3">
      <c r="A42" s="4" t="s">
        <v>53</v>
      </c>
      <c r="B42" s="3" t="str">
        <f t="shared" si="0"/>
        <v>120</v>
      </c>
      <c r="C42" s="5" t="str">
        <f t="shared" si="1"/>
        <v>120</v>
      </c>
      <c r="E42" s="9" t="s">
        <v>484</v>
      </c>
    </row>
    <row r="43" spans="1:5" x14ac:dyDescent="0.3">
      <c r="A43" s="4" t="s">
        <v>54</v>
      </c>
      <c r="B43" s="3" t="str">
        <f t="shared" si="0"/>
        <v>120</v>
      </c>
      <c r="C43" s="5" t="str">
        <f t="shared" si="1"/>
        <v>120</v>
      </c>
      <c r="E43" s="9" t="s">
        <v>485</v>
      </c>
    </row>
    <row r="44" spans="1:5" x14ac:dyDescent="0.3">
      <c r="A44" s="4" t="s">
        <v>55</v>
      </c>
      <c r="B44" s="3" t="str">
        <f t="shared" si="0"/>
        <v>120</v>
      </c>
      <c r="C44" s="5" t="str">
        <f t="shared" si="1"/>
        <v>120</v>
      </c>
      <c r="E44" s="9" t="s">
        <v>486</v>
      </c>
    </row>
    <row r="45" spans="1:5" x14ac:dyDescent="0.3">
      <c r="A45" s="4" t="s">
        <v>56</v>
      </c>
      <c r="B45" s="3" t="str">
        <f t="shared" si="0"/>
        <v>120</v>
      </c>
      <c r="C45" s="5" t="str">
        <f t="shared" si="1"/>
        <v>120</v>
      </c>
      <c r="E45" s="9" t="s">
        <v>487</v>
      </c>
    </row>
    <row r="46" spans="1:5" x14ac:dyDescent="0.3">
      <c r="A46" s="4" t="s">
        <v>57</v>
      </c>
      <c r="B46" s="3" t="str">
        <f t="shared" si="0"/>
        <v>120</v>
      </c>
      <c r="C46" s="5" t="str">
        <f t="shared" si="1"/>
        <v>120</v>
      </c>
      <c r="E46" s="9" t="s">
        <v>488</v>
      </c>
    </row>
    <row r="47" spans="1:5" x14ac:dyDescent="0.3">
      <c r="A47" s="4" t="s">
        <v>58</v>
      </c>
      <c r="B47" s="3" t="str">
        <f t="shared" si="0"/>
        <v>120</v>
      </c>
      <c r="C47" s="5" t="str">
        <f t="shared" si="1"/>
        <v>120</v>
      </c>
      <c r="E47" s="9" t="s">
        <v>489</v>
      </c>
    </row>
    <row r="48" spans="1:5" x14ac:dyDescent="0.3">
      <c r="A48" s="4" t="s">
        <v>59</v>
      </c>
      <c r="B48" s="3" t="str">
        <f t="shared" si="0"/>
        <v>120</v>
      </c>
      <c r="C48" s="5" t="str">
        <f t="shared" si="1"/>
        <v>120</v>
      </c>
      <c r="E48" s="9" t="s">
        <v>490</v>
      </c>
    </row>
    <row r="49" spans="1:5" x14ac:dyDescent="0.3">
      <c r="A49" s="4" t="s">
        <v>60</v>
      </c>
      <c r="B49" s="3" t="str">
        <f t="shared" si="0"/>
        <v>120</v>
      </c>
      <c r="C49" s="5" t="str">
        <f t="shared" si="1"/>
        <v>120</v>
      </c>
      <c r="E49" s="9" t="s">
        <v>491</v>
      </c>
    </row>
    <row r="50" spans="1:5" x14ac:dyDescent="0.3">
      <c r="A50" s="4" t="s">
        <v>61</v>
      </c>
      <c r="B50" s="3" t="str">
        <f t="shared" si="0"/>
        <v>120</v>
      </c>
      <c r="C50" s="5" t="str">
        <f t="shared" si="1"/>
        <v>120</v>
      </c>
      <c r="E50" s="9" t="s">
        <v>492</v>
      </c>
    </row>
    <row r="51" spans="1:5" x14ac:dyDescent="0.3">
      <c r="A51" s="4" t="s">
        <v>62</v>
      </c>
      <c r="B51" s="3" t="str">
        <f t="shared" si="0"/>
        <v>120</v>
      </c>
      <c r="C51" s="5" t="str">
        <f t="shared" si="1"/>
        <v>120</v>
      </c>
      <c r="E51" s="9" t="s">
        <v>493</v>
      </c>
    </row>
    <row r="52" spans="1:5" x14ac:dyDescent="0.3">
      <c r="A52" s="4" t="s">
        <v>63</v>
      </c>
      <c r="B52" s="3" t="str">
        <f t="shared" si="0"/>
        <v>120</v>
      </c>
      <c r="C52" s="5" t="str">
        <f t="shared" si="1"/>
        <v>120</v>
      </c>
      <c r="E52" s="9" t="s">
        <v>494</v>
      </c>
    </row>
    <row r="53" spans="1:5" x14ac:dyDescent="0.3">
      <c r="A53" s="4" t="s">
        <v>64</v>
      </c>
      <c r="B53" s="3" t="str">
        <f t="shared" si="0"/>
        <v>120</v>
      </c>
      <c r="C53" s="5" t="str">
        <f t="shared" si="1"/>
        <v>120</v>
      </c>
      <c r="E53" s="9" t="s">
        <v>495</v>
      </c>
    </row>
    <row r="54" spans="1:5" x14ac:dyDescent="0.3">
      <c r="A54" s="4" t="s">
        <v>65</v>
      </c>
      <c r="B54" s="3" t="str">
        <f t="shared" si="0"/>
        <v>120</v>
      </c>
      <c r="C54" s="5" t="str">
        <f t="shared" si="1"/>
        <v>120</v>
      </c>
      <c r="E54" s="9" t="s">
        <v>496</v>
      </c>
    </row>
    <row r="55" spans="1:5" x14ac:dyDescent="0.3">
      <c r="A55" s="4" t="s">
        <v>66</v>
      </c>
      <c r="B55" s="3" t="str">
        <f t="shared" si="0"/>
        <v>120</v>
      </c>
      <c r="C55" s="5" t="str">
        <f t="shared" si="1"/>
        <v>120</v>
      </c>
      <c r="E55" s="9" t="s">
        <v>497</v>
      </c>
    </row>
    <row r="56" spans="1:5" x14ac:dyDescent="0.3">
      <c r="A56" s="4" t="s">
        <v>67</v>
      </c>
      <c r="B56" s="3" t="str">
        <f t="shared" si="0"/>
        <v>120</v>
      </c>
      <c r="C56" s="5" t="str">
        <f t="shared" si="1"/>
        <v>120</v>
      </c>
      <c r="E56" s="9" t="s">
        <v>498</v>
      </c>
    </row>
    <row r="57" spans="1:5" x14ac:dyDescent="0.3">
      <c r="A57" s="4" t="s">
        <v>68</v>
      </c>
      <c r="B57" s="3" t="str">
        <f t="shared" si="0"/>
        <v>120</v>
      </c>
      <c r="C57" s="5" t="str">
        <f t="shared" si="1"/>
        <v>120</v>
      </c>
      <c r="E57" s="9" t="s">
        <v>499</v>
      </c>
    </row>
    <row r="58" spans="1:5" x14ac:dyDescent="0.3">
      <c r="A58" s="4" t="s">
        <v>69</v>
      </c>
      <c r="B58" s="3" t="str">
        <f t="shared" si="0"/>
        <v>120</v>
      </c>
      <c r="C58" s="5" t="str">
        <f t="shared" si="1"/>
        <v>120</v>
      </c>
      <c r="E58" s="9" t="s">
        <v>500</v>
      </c>
    </row>
    <row r="59" spans="1:5" ht="14.5" thickBot="1" x14ac:dyDescent="0.35">
      <c r="A59" s="4" t="s">
        <v>70</v>
      </c>
      <c r="B59" s="3" t="str">
        <f t="shared" si="0"/>
        <v>120</v>
      </c>
      <c r="C59" s="5" t="str">
        <f t="shared" si="1"/>
        <v>120</v>
      </c>
      <c r="E59" s="10" t="s">
        <v>501</v>
      </c>
    </row>
    <row r="60" spans="1:5" ht="14.5" thickTop="1" x14ac:dyDescent="0.3">
      <c r="A60" s="4" t="s">
        <v>71</v>
      </c>
      <c r="B60" s="3" t="str">
        <f t="shared" si="0"/>
        <v>120</v>
      </c>
      <c r="C60" s="5" t="str">
        <f t="shared" si="1"/>
        <v>120</v>
      </c>
    </row>
    <row r="61" spans="1:5" x14ac:dyDescent="0.3">
      <c r="A61" s="4" t="s">
        <v>72</v>
      </c>
      <c r="B61" s="3" t="str">
        <f t="shared" si="0"/>
        <v>120</v>
      </c>
      <c r="C61" s="5" t="str">
        <f t="shared" si="1"/>
        <v>120</v>
      </c>
    </row>
    <row r="62" spans="1:5" x14ac:dyDescent="0.3">
      <c r="A62" s="4" t="s">
        <v>73</v>
      </c>
      <c r="B62" s="3" t="str">
        <f t="shared" si="0"/>
        <v>120</v>
      </c>
      <c r="C62" s="5" t="str">
        <f t="shared" si="1"/>
        <v>120</v>
      </c>
    </row>
    <row r="63" spans="1:5" x14ac:dyDescent="0.3">
      <c r="A63" s="4" t="s">
        <v>74</v>
      </c>
      <c r="B63" s="3" t="str">
        <f t="shared" si="0"/>
        <v>120</v>
      </c>
      <c r="C63" s="5" t="str">
        <f t="shared" si="1"/>
        <v>120</v>
      </c>
    </row>
    <row r="64" spans="1:5" x14ac:dyDescent="0.3">
      <c r="A64" s="4" t="s">
        <v>75</v>
      </c>
      <c r="B64" s="3" t="str">
        <f t="shared" si="0"/>
        <v>120</v>
      </c>
      <c r="C64" s="5" t="str">
        <f t="shared" si="1"/>
        <v>120</v>
      </c>
    </row>
    <row r="65" spans="1:3" x14ac:dyDescent="0.3">
      <c r="A65" s="4" t="s">
        <v>76</v>
      </c>
      <c r="B65" s="3" t="str">
        <f t="shared" si="0"/>
        <v>120</v>
      </c>
      <c r="C65" s="5" t="str">
        <f t="shared" si="1"/>
        <v>120</v>
      </c>
    </row>
    <row r="66" spans="1:3" x14ac:dyDescent="0.3">
      <c r="A66" s="4" t="s">
        <v>77</v>
      </c>
      <c r="B66" s="3" t="str">
        <f t="shared" si="0"/>
        <v>120</v>
      </c>
      <c r="C66" s="5" t="str">
        <f t="shared" si="1"/>
        <v>120</v>
      </c>
    </row>
    <row r="67" spans="1:3" x14ac:dyDescent="0.3">
      <c r="A67" s="4" t="s">
        <v>78</v>
      </c>
      <c r="B67" s="3" t="str">
        <f t="shared" si="0"/>
        <v>120</v>
      </c>
      <c r="C67" s="5" t="str">
        <f t="shared" si="1"/>
        <v>120</v>
      </c>
    </row>
    <row r="68" spans="1:3" x14ac:dyDescent="0.3">
      <c r="A68" s="4" t="s">
        <v>79</v>
      </c>
      <c r="B68" s="3" t="str">
        <f t="shared" ref="B68:B131" si="2">IF(LEFT(A68, 1) = "U", MID(A68, 2, 3), MID(A68, 3, 3))</f>
        <v>120</v>
      </c>
      <c r="C68" s="5" t="str">
        <f t="shared" ref="C68:C131" si="3">B68</f>
        <v>120</v>
      </c>
    </row>
    <row r="69" spans="1:3" x14ac:dyDescent="0.3">
      <c r="A69" s="4" t="s">
        <v>80</v>
      </c>
      <c r="B69" s="3" t="str">
        <f t="shared" si="2"/>
        <v>120</v>
      </c>
      <c r="C69" s="5" t="str">
        <f t="shared" si="3"/>
        <v>120</v>
      </c>
    </row>
    <row r="70" spans="1:3" x14ac:dyDescent="0.3">
      <c r="A70" s="4" t="s">
        <v>81</v>
      </c>
      <c r="B70" s="3" t="str">
        <f t="shared" si="2"/>
        <v>120</v>
      </c>
      <c r="C70" s="5" t="str">
        <f t="shared" si="3"/>
        <v>120</v>
      </c>
    </row>
    <row r="71" spans="1:3" x14ac:dyDescent="0.3">
      <c r="A71" s="4" t="s">
        <v>82</v>
      </c>
      <c r="B71" s="3" t="str">
        <f t="shared" si="2"/>
        <v>120</v>
      </c>
      <c r="C71" s="5" t="str">
        <f t="shared" si="3"/>
        <v>120</v>
      </c>
    </row>
    <row r="72" spans="1:3" x14ac:dyDescent="0.3">
      <c r="A72" s="4" t="s">
        <v>83</v>
      </c>
      <c r="B72" s="3" t="str">
        <f t="shared" si="2"/>
        <v>120</v>
      </c>
      <c r="C72" s="5" t="str">
        <f t="shared" si="3"/>
        <v>120</v>
      </c>
    </row>
    <row r="73" spans="1:3" x14ac:dyDescent="0.3">
      <c r="A73" s="4" t="s">
        <v>84</v>
      </c>
      <c r="B73" s="3" t="str">
        <f t="shared" si="2"/>
        <v>120</v>
      </c>
      <c r="C73" s="5" t="str">
        <f t="shared" si="3"/>
        <v>120</v>
      </c>
    </row>
    <row r="74" spans="1:3" x14ac:dyDescent="0.3">
      <c r="A74" s="4" t="s">
        <v>85</v>
      </c>
      <c r="B74" s="3" t="str">
        <f t="shared" si="2"/>
        <v>120</v>
      </c>
      <c r="C74" s="5" t="str">
        <f t="shared" si="3"/>
        <v>120</v>
      </c>
    </row>
    <row r="75" spans="1:3" x14ac:dyDescent="0.3">
      <c r="A75" s="4" t="s">
        <v>86</v>
      </c>
      <c r="B75" s="3" t="str">
        <f t="shared" si="2"/>
        <v>120</v>
      </c>
      <c r="C75" s="5" t="str">
        <f t="shared" si="3"/>
        <v>120</v>
      </c>
    </row>
    <row r="76" spans="1:3" x14ac:dyDescent="0.3">
      <c r="A76" s="4" t="s">
        <v>87</v>
      </c>
      <c r="B76" s="3" t="str">
        <f t="shared" si="2"/>
        <v>120</v>
      </c>
      <c r="C76" s="5" t="str">
        <f t="shared" si="3"/>
        <v>120</v>
      </c>
    </row>
    <row r="77" spans="1:3" x14ac:dyDescent="0.3">
      <c r="A77" s="4" t="s">
        <v>88</v>
      </c>
      <c r="B77" s="3" t="str">
        <f t="shared" si="2"/>
        <v>120</v>
      </c>
      <c r="C77" s="5" t="str">
        <f t="shared" si="3"/>
        <v>120</v>
      </c>
    </row>
    <row r="78" spans="1:3" x14ac:dyDescent="0.3">
      <c r="A78" s="4" t="s">
        <v>89</v>
      </c>
      <c r="B78" s="3" t="str">
        <f t="shared" si="2"/>
        <v>120</v>
      </c>
      <c r="C78" s="5" t="str">
        <f t="shared" si="3"/>
        <v>120</v>
      </c>
    </row>
    <row r="79" spans="1:3" x14ac:dyDescent="0.3">
      <c r="A79" s="4" t="s">
        <v>90</v>
      </c>
      <c r="B79" s="3" t="str">
        <f t="shared" si="2"/>
        <v>120</v>
      </c>
      <c r="C79" s="5" t="str">
        <f t="shared" si="3"/>
        <v>120</v>
      </c>
    </row>
    <row r="80" spans="1:3" x14ac:dyDescent="0.3">
      <c r="A80" s="4" t="s">
        <v>91</v>
      </c>
      <c r="B80" s="3" t="str">
        <f t="shared" si="2"/>
        <v>120</v>
      </c>
      <c r="C80" s="5" t="str">
        <f t="shared" si="3"/>
        <v>120</v>
      </c>
    </row>
    <row r="81" spans="1:3" x14ac:dyDescent="0.3">
      <c r="A81" s="4" t="s">
        <v>92</v>
      </c>
      <c r="B81" s="3" t="str">
        <f t="shared" si="2"/>
        <v>120</v>
      </c>
      <c r="C81" s="5" t="str">
        <f t="shared" si="3"/>
        <v>120</v>
      </c>
    </row>
    <row r="82" spans="1:3" x14ac:dyDescent="0.3">
      <c r="A82" s="4" t="s">
        <v>93</v>
      </c>
      <c r="B82" s="3" t="str">
        <f t="shared" si="2"/>
        <v>120</v>
      </c>
      <c r="C82" s="5" t="str">
        <f t="shared" si="3"/>
        <v>120</v>
      </c>
    </row>
    <row r="83" spans="1:3" x14ac:dyDescent="0.3">
      <c r="A83" s="4" t="s">
        <v>94</v>
      </c>
      <c r="B83" s="3" t="str">
        <f t="shared" si="2"/>
        <v>120</v>
      </c>
      <c r="C83" s="5" t="str">
        <f t="shared" si="3"/>
        <v>120</v>
      </c>
    </row>
    <row r="84" spans="1:3" x14ac:dyDescent="0.3">
      <c r="A84" s="4" t="s">
        <v>95</v>
      </c>
      <c r="B84" s="3" t="str">
        <f t="shared" si="2"/>
        <v>120</v>
      </c>
      <c r="C84" s="5" t="str">
        <f t="shared" si="3"/>
        <v>120</v>
      </c>
    </row>
    <row r="85" spans="1:3" x14ac:dyDescent="0.3">
      <c r="A85" s="4" t="s">
        <v>96</v>
      </c>
      <c r="B85" s="3" t="str">
        <f t="shared" si="2"/>
        <v>120</v>
      </c>
      <c r="C85" s="5" t="str">
        <f t="shared" si="3"/>
        <v>120</v>
      </c>
    </row>
    <row r="86" spans="1:3" x14ac:dyDescent="0.3">
      <c r="A86" s="4" t="s">
        <v>97</v>
      </c>
      <c r="B86" s="3" t="str">
        <f t="shared" si="2"/>
        <v>120</v>
      </c>
      <c r="C86" s="5" t="str">
        <f t="shared" si="3"/>
        <v>120</v>
      </c>
    </row>
    <row r="87" spans="1:3" x14ac:dyDescent="0.3">
      <c r="A87" s="4" t="s">
        <v>98</v>
      </c>
      <c r="B87" s="3" t="str">
        <f t="shared" si="2"/>
        <v>120</v>
      </c>
      <c r="C87" s="5" t="str">
        <f t="shared" si="3"/>
        <v>120</v>
      </c>
    </row>
    <row r="88" spans="1:3" x14ac:dyDescent="0.3">
      <c r="A88" s="4" t="s">
        <v>99</v>
      </c>
      <c r="B88" s="3" t="str">
        <f t="shared" si="2"/>
        <v>120</v>
      </c>
      <c r="C88" s="5" t="str">
        <f t="shared" si="3"/>
        <v>120</v>
      </c>
    </row>
    <row r="89" spans="1:3" x14ac:dyDescent="0.3">
      <c r="A89" s="4" t="s">
        <v>100</v>
      </c>
      <c r="B89" s="3" t="str">
        <f t="shared" si="2"/>
        <v>120</v>
      </c>
      <c r="C89" s="5" t="str">
        <f t="shared" si="3"/>
        <v>120</v>
      </c>
    </row>
    <row r="90" spans="1:3" x14ac:dyDescent="0.3">
      <c r="A90" s="4" t="s">
        <v>101</v>
      </c>
      <c r="B90" s="3" t="str">
        <f t="shared" si="2"/>
        <v>120</v>
      </c>
      <c r="C90" s="5" t="str">
        <f t="shared" si="3"/>
        <v>120</v>
      </c>
    </row>
    <row r="91" spans="1:3" x14ac:dyDescent="0.3">
      <c r="A91" s="4" t="s">
        <v>102</v>
      </c>
      <c r="B91" s="3" t="str">
        <f t="shared" si="2"/>
        <v>120</v>
      </c>
      <c r="C91" s="5" t="str">
        <f t="shared" si="3"/>
        <v>120</v>
      </c>
    </row>
    <row r="92" spans="1:3" x14ac:dyDescent="0.3">
      <c r="A92" s="4" t="s">
        <v>103</v>
      </c>
      <c r="B92" s="3" t="str">
        <f t="shared" si="2"/>
        <v>120</v>
      </c>
      <c r="C92" s="5" t="str">
        <f t="shared" si="3"/>
        <v>120</v>
      </c>
    </row>
    <row r="93" spans="1:3" x14ac:dyDescent="0.3">
      <c r="A93" s="4" t="s">
        <v>104</v>
      </c>
      <c r="B93" s="3" t="str">
        <f t="shared" si="2"/>
        <v>120</v>
      </c>
      <c r="C93" s="5" t="str">
        <f t="shared" si="3"/>
        <v>120</v>
      </c>
    </row>
    <row r="94" spans="1:3" x14ac:dyDescent="0.3">
      <c r="A94" s="4" t="s">
        <v>105</v>
      </c>
      <c r="B94" s="3" t="str">
        <f t="shared" si="2"/>
        <v>120</v>
      </c>
      <c r="C94" s="5" t="str">
        <f t="shared" si="3"/>
        <v>120</v>
      </c>
    </row>
    <row r="95" spans="1:3" x14ac:dyDescent="0.3">
      <c r="A95" s="4" t="s">
        <v>106</v>
      </c>
      <c r="B95" s="3" t="str">
        <f t="shared" si="2"/>
        <v>120</v>
      </c>
      <c r="C95" s="5" t="str">
        <f t="shared" si="3"/>
        <v>120</v>
      </c>
    </row>
    <row r="96" spans="1:3" x14ac:dyDescent="0.3">
      <c r="A96" s="4" t="s">
        <v>107</v>
      </c>
      <c r="B96" s="3" t="str">
        <f t="shared" si="2"/>
        <v>120</v>
      </c>
      <c r="C96" s="5" t="str">
        <f t="shared" si="3"/>
        <v>120</v>
      </c>
    </row>
    <row r="97" spans="1:3" x14ac:dyDescent="0.3">
      <c r="A97" s="4" t="s">
        <v>108</v>
      </c>
      <c r="B97" s="3" t="str">
        <f t="shared" si="2"/>
        <v>120</v>
      </c>
      <c r="C97" s="5" t="str">
        <f t="shared" si="3"/>
        <v>120</v>
      </c>
    </row>
    <row r="98" spans="1:3" x14ac:dyDescent="0.3">
      <c r="A98" s="4" t="s">
        <v>109</v>
      </c>
      <c r="B98" s="3" t="str">
        <f t="shared" si="2"/>
        <v>120</v>
      </c>
      <c r="C98" s="5" t="str">
        <f t="shared" si="3"/>
        <v>120</v>
      </c>
    </row>
    <row r="99" spans="1:3" x14ac:dyDescent="0.3">
      <c r="A99" s="4" t="s">
        <v>110</v>
      </c>
      <c r="B99" s="3" t="str">
        <f t="shared" si="2"/>
        <v>120</v>
      </c>
      <c r="C99" s="5" t="str">
        <f t="shared" si="3"/>
        <v>120</v>
      </c>
    </row>
    <row r="100" spans="1:3" x14ac:dyDescent="0.3">
      <c r="A100" s="4" t="s">
        <v>111</v>
      </c>
      <c r="B100" s="3" t="str">
        <f t="shared" si="2"/>
        <v>120</v>
      </c>
      <c r="C100" s="5" t="str">
        <f t="shared" si="3"/>
        <v>120</v>
      </c>
    </row>
    <row r="101" spans="1:3" x14ac:dyDescent="0.3">
      <c r="A101" s="4" t="s">
        <v>112</v>
      </c>
      <c r="B101" s="3" t="str">
        <f t="shared" si="2"/>
        <v>120</v>
      </c>
      <c r="C101" s="5" t="str">
        <f t="shared" si="3"/>
        <v>120</v>
      </c>
    </row>
    <row r="102" spans="1:3" x14ac:dyDescent="0.3">
      <c r="A102" s="4" t="s">
        <v>113</v>
      </c>
      <c r="B102" s="3" t="str">
        <f t="shared" si="2"/>
        <v>120</v>
      </c>
      <c r="C102" s="5" t="str">
        <f t="shared" si="3"/>
        <v>120</v>
      </c>
    </row>
    <row r="103" spans="1:3" x14ac:dyDescent="0.3">
      <c r="A103" s="4" t="s">
        <v>114</v>
      </c>
      <c r="B103" s="3" t="str">
        <f t="shared" si="2"/>
        <v>120</v>
      </c>
      <c r="C103" s="5" t="str">
        <f t="shared" si="3"/>
        <v>120</v>
      </c>
    </row>
    <row r="104" spans="1:3" x14ac:dyDescent="0.3">
      <c r="A104" s="4" t="s">
        <v>115</v>
      </c>
      <c r="B104" s="3" t="str">
        <f t="shared" si="2"/>
        <v>120</v>
      </c>
      <c r="C104" s="5" t="str">
        <f t="shared" si="3"/>
        <v>120</v>
      </c>
    </row>
    <row r="105" spans="1:3" x14ac:dyDescent="0.3">
      <c r="A105" s="4" t="s">
        <v>116</v>
      </c>
      <c r="B105" s="3" t="str">
        <f t="shared" si="2"/>
        <v>120</v>
      </c>
      <c r="C105" s="5" t="str">
        <f t="shared" si="3"/>
        <v>120</v>
      </c>
    </row>
    <row r="106" spans="1:3" x14ac:dyDescent="0.3">
      <c r="A106" s="4" t="s">
        <v>117</v>
      </c>
      <c r="B106" s="3" t="str">
        <f t="shared" si="2"/>
        <v>120</v>
      </c>
      <c r="C106" s="5" t="str">
        <f t="shared" si="3"/>
        <v>120</v>
      </c>
    </row>
    <row r="107" spans="1:3" x14ac:dyDescent="0.3">
      <c r="A107" s="4" t="s">
        <v>118</v>
      </c>
      <c r="B107" s="3" t="str">
        <f t="shared" si="2"/>
        <v>120</v>
      </c>
      <c r="C107" s="5" t="str">
        <f t="shared" si="3"/>
        <v>120</v>
      </c>
    </row>
    <row r="108" spans="1:3" x14ac:dyDescent="0.3">
      <c r="A108" s="4" t="s">
        <v>119</v>
      </c>
      <c r="B108" s="3" t="str">
        <f t="shared" si="2"/>
        <v>120</v>
      </c>
      <c r="C108" s="5" t="str">
        <f t="shared" si="3"/>
        <v>120</v>
      </c>
    </row>
    <row r="109" spans="1:3" x14ac:dyDescent="0.3">
      <c r="A109" s="4" t="s">
        <v>120</v>
      </c>
      <c r="B109" s="3" t="str">
        <f t="shared" si="2"/>
        <v>120</v>
      </c>
      <c r="C109" s="5" t="str">
        <f t="shared" si="3"/>
        <v>120</v>
      </c>
    </row>
    <row r="110" spans="1:3" x14ac:dyDescent="0.3">
      <c r="A110" s="4" t="s">
        <v>121</v>
      </c>
      <c r="B110" s="3" t="str">
        <f t="shared" si="2"/>
        <v>120</v>
      </c>
      <c r="C110" s="5" t="str">
        <f t="shared" si="3"/>
        <v>120</v>
      </c>
    </row>
    <row r="111" spans="1:3" x14ac:dyDescent="0.3">
      <c r="A111" s="4" t="s">
        <v>122</v>
      </c>
      <c r="B111" s="3" t="str">
        <f t="shared" si="2"/>
        <v>100</v>
      </c>
      <c r="C111" s="5" t="str">
        <f t="shared" si="3"/>
        <v>100</v>
      </c>
    </row>
    <row r="112" spans="1:3" x14ac:dyDescent="0.3">
      <c r="A112" s="4" t="s">
        <v>123</v>
      </c>
      <c r="B112" s="3" t="str">
        <f t="shared" si="2"/>
        <v>100</v>
      </c>
      <c r="C112" s="5" t="str">
        <f t="shared" si="3"/>
        <v>100</v>
      </c>
    </row>
    <row r="113" spans="1:3" x14ac:dyDescent="0.3">
      <c r="A113" s="4" t="s">
        <v>124</v>
      </c>
      <c r="B113" s="3" t="str">
        <f t="shared" si="2"/>
        <v>100</v>
      </c>
      <c r="C113" s="5" t="str">
        <f t="shared" si="3"/>
        <v>100</v>
      </c>
    </row>
    <row r="114" spans="1:3" x14ac:dyDescent="0.3">
      <c r="A114" s="4" t="s">
        <v>125</v>
      </c>
      <c r="B114" s="3" t="str">
        <f t="shared" si="2"/>
        <v>100</v>
      </c>
      <c r="C114" s="5" t="str">
        <f t="shared" si="3"/>
        <v>100</v>
      </c>
    </row>
    <row r="115" spans="1:3" x14ac:dyDescent="0.3">
      <c r="A115" s="4" t="s">
        <v>126</v>
      </c>
      <c r="B115" s="3" t="str">
        <f t="shared" si="2"/>
        <v>100</v>
      </c>
      <c r="C115" s="5" t="str">
        <f t="shared" si="3"/>
        <v>100</v>
      </c>
    </row>
    <row r="116" spans="1:3" x14ac:dyDescent="0.3">
      <c r="A116" s="4" t="s">
        <v>127</v>
      </c>
      <c r="B116" s="3" t="str">
        <f t="shared" si="2"/>
        <v>100</v>
      </c>
      <c r="C116" s="5" t="str">
        <f t="shared" si="3"/>
        <v>100</v>
      </c>
    </row>
    <row r="117" spans="1:3" x14ac:dyDescent="0.3">
      <c r="A117" s="4" t="s">
        <v>128</v>
      </c>
      <c r="B117" s="3" t="str">
        <f t="shared" si="2"/>
        <v>100</v>
      </c>
      <c r="C117" s="5" t="str">
        <f t="shared" si="3"/>
        <v>100</v>
      </c>
    </row>
    <row r="118" spans="1:3" x14ac:dyDescent="0.3">
      <c r="A118" s="4" t="s">
        <v>129</v>
      </c>
      <c r="B118" s="3" t="str">
        <f t="shared" si="2"/>
        <v>100</v>
      </c>
      <c r="C118" s="5" t="str">
        <f t="shared" si="3"/>
        <v>100</v>
      </c>
    </row>
    <row r="119" spans="1:3" x14ac:dyDescent="0.3">
      <c r="A119" s="4" t="s">
        <v>130</v>
      </c>
      <c r="B119" s="3" t="str">
        <f t="shared" si="2"/>
        <v>100</v>
      </c>
      <c r="C119" s="5" t="str">
        <f t="shared" si="3"/>
        <v>100</v>
      </c>
    </row>
    <row r="120" spans="1:3" x14ac:dyDescent="0.3">
      <c r="A120" s="4" t="s">
        <v>131</v>
      </c>
      <c r="B120" s="3" t="str">
        <f t="shared" si="2"/>
        <v>100</v>
      </c>
      <c r="C120" s="5" t="str">
        <f t="shared" si="3"/>
        <v>100</v>
      </c>
    </row>
    <row r="121" spans="1:3" x14ac:dyDescent="0.3">
      <c r="A121" s="4" t="s">
        <v>132</v>
      </c>
      <c r="B121" s="3" t="str">
        <f t="shared" si="2"/>
        <v>100</v>
      </c>
      <c r="C121" s="5" t="str">
        <f t="shared" si="3"/>
        <v>100</v>
      </c>
    </row>
    <row r="122" spans="1:3" x14ac:dyDescent="0.3">
      <c r="A122" s="4" t="s">
        <v>133</v>
      </c>
      <c r="B122" s="3" t="str">
        <f t="shared" si="2"/>
        <v>100</v>
      </c>
      <c r="C122" s="5" t="str">
        <f t="shared" si="3"/>
        <v>100</v>
      </c>
    </row>
    <row r="123" spans="1:3" x14ac:dyDescent="0.3">
      <c r="A123" s="4" t="s">
        <v>134</v>
      </c>
      <c r="B123" s="3" t="str">
        <f t="shared" si="2"/>
        <v>100</v>
      </c>
      <c r="C123" s="5" t="str">
        <f t="shared" si="3"/>
        <v>100</v>
      </c>
    </row>
    <row r="124" spans="1:3" x14ac:dyDescent="0.3">
      <c r="A124" s="4" t="s">
        <v>135</v>
      </c>
      <c r="B124" s="3" t="str">
        <f t="shared" si="2"/>
        <v>100</v>
      </c>
      <c r="C124" s="5" t="str">
        <f t="shared" si="3"/>
        <v>100</v>
      </c>
    </row>
    <row r="125" spans="1:3" x14ac:dyDescent="0.3">
      <c r="A125" s="4" t="s">
        <v>136</v>
      </c>
      <c r="B125" s="3" t="str">
        <f t="shared" si="2"/>
        <v>100</v>
      </c>
      <c r="C125" s="5" t="str">
        <f t="shared" si="3"/>
        <v>100</v>
      </c>
    </row>
    <row r="126" spans="1:3" x14ac:dyDescent="0.3">
      <c r="A126" s="4" t="s">
        <v>137</v>
      </c>
      <c r="B126" s="3" t="str">
        <f t="shared" si="2"/>
        <v>100</v>
      </c>
      <c r="C126" s="5" t="str">
        <f t="shared" si="3"/>
        <v>100</v>
      </c>
    </row>
    <row r="127" spans="1:3" x14ac:dyDescent="0.3">
      <c r="A127" s="4" t="s">
        <v>138</v>
      </c>
      <c r="B127" s="3" t="str">
        <f t="shared" si="2"/>
        <v>100</v>
      </c>
      <c r="C127" s="5" t="str">
        <f t="shared" si="3"/>
        <v>100</v>
      </c>
    </row>
    <row r="128" spans="1:3" x14ac:dyDescent="0.3">
      <c r="A128" s="4" t="s">
        <v>139</v>
      </c>
      <c r="B128" s="3" t="str">
        <f t="shared" si="2"/>
        <v>100</v>
      </c>
      <c r="C128" s="5" t="str">
        <f t="shared" si="3"/>
        <v>100</v>
      </c>
    </row>
    <row r="129" spans="1:3" x14ac:dyDescent="0.3">
      <c r="A129" s="4" t="s">
        <v>140</v>
      </c>
      <c r="B129" s="3" t="str">
        <f t="shared" si="2"/>
        <v>100</v>
      </c>
      <c r="C129" s="5" t="str">
        <f t="shared" si="3"/>
        <v>100</v>
      </c>
    </row>
    <row r="130" spans="1:3" x14ac:dyDescent="0.3">
      <c r="A130" s="4" t="s">
        <v>141</v>
      </c>
      <c r="B130" s="3" t="str">
        <f t="shared" si="2"/>
        <v>100</v>
      </c>
      <c r="C130" s="5" t="str">
        <f t="shared" si="3"/>
        <v>100</v>
      </c>
    </row>
    <row r="131" spans="1:3" x14ac:dyDescent="0.3">
      <c r="A131" s="4" t="s">
        <v>142</v>
      </c>
      <c r="B131" s="3" t="str">
        <f t="shared" si="2"/>
        <v>100</v>
      </c>
      <c r="C131" s="5" t="str">
        <f t="shared" si="3"/>
        <v>100</v>
      </c>
    </row>
    <row r="132" spans="1:3" x14ac:dyDescent="0.3">
      <c r="A132" s="4" t="s">
        <v>143</v>
      </c>
      <c r="B132" s="3" t="str">
        <f t="shared" ref="B132:B195" si="4">IF(LEFT(A132, 1) = "U", MID(A132, 2, 3), MID(A132, 3, 3))</f>
        <v>100</v>
      </c>
      <c r="C132" s="5" t="str">
        <f t="shared" ref="C132:C195" si="5">B132</f>
        <v>100</v>
      </c>
    </row>
    <row r="133" spans="1:3" x14ac:dyDescent="0.3">
      <c r="A133" s="4" t="s">
        <v>144</v>
      </c>
      <c r="B133" s="3" t="str">
        <f t="shared" si="4"/>
        <v>100</v>
      </c>
      <c r="C133" s="5" t="str">
        <f t="shared" si="5"/>
        <v>100</v>
      </c>
    </row>
    <row r="134" spans="1:3" x14ac:dyDescent="0.3">
      <c r="A134" s="4" t="s">
        <v>145</v>
      </c>
      <c r="B134" s="3" t="str">
        <f t="shared" si="4"/>
        <v>100</v>
      </c>
      <c r="C134" s="5" t="str">
        <f t="shared" si="5"/>
        <v>100</v>
      </c>
    </row>
    <row r="135" spans="1:3" x14ac:dyDescent="0.3">
      <c r="A135" s="4" t="s">
        <v>146</v>
      </c>
      <c r="B135" s="3" t="str">
        <f t="shared" si="4"/>
        <v>100</v>
      </c>
      <c r="C135" s="5" t="str">
        <f t="shared" si="5"/>
        <v>100</v>
      </c>
    </row>
    <row r="136" spans="1:3" x14ac:dyDescent="0.3">
      <c r="A136" s="4" t="s">
        <v>147</v>
      </c>
      <c r="B136" s="3" t="str">
        <f t="shared" si="4"/>
        <v>100</v>
      </c>
      <c r="C136" s="5" t="str">
        <f t="shared" si="5"/>
        <v>100</v>
      </c>
    </row>
    <row r="137" spans="1:3" x14ac:dyDescent="0.3">
      <c r="A137" s="4" t="s">
        <v>148</v>
      </c>
      <c r="B137" s="3" t="str">
        <f t="shared" si="4"/>
        <v>100</v>
      </c>
      <c r="C137" s="5" t="str">
        <f t="shared" si="5"/>
        <v>100</v>
      </c>
    </row>
    <row r="138" spans="1:3" x14ac:dyDescent="0.3">
      <c r="A138" s="4" t="s">
        <v>149</v>
      </c>
      <c r="B138" s="3" t="str">
        <f t="shared" si="4"/>
        <v>100</v>
      </c>
      <c r="C138" s="5" t="str">
        <f t="shared" si="5"/>
        <v>100</v>
      </c>
    </row>
    <row r="139" spans="1:3" x14ac:dyDescent="0.3">
      <c r="A139" s="4" t="s">
        <v>150</v>
      </c>
      <c r="B139" s="3" t="str">
        <f t="shared" si="4"/>
        <v>100</v>
      </c>
      <c r="C139" s="5" t="str">
        <f t="shared" si="5"/>
        <v>100</v>
      </c>
    </row>
    <row r="140" spans="1:3" x14ac:dyDescent="0.3">
      <c r="A140" s="4" t="s">
        <v>151</v>
      </c>
      <c r="B140" s="3" t="str">
        <f t="shared" si="4"/>
        <v>100</v>
      </c>
      <c r="C140" s="5" t="str">
        <f t="shared" si="5"/>
        <v>100</v>
      </c>
    </row>
    <row r="141" spans="1:3" x14ac:dyDescent="0.3">
      <c r="A141" s="4" t="s">
        <v>152</v>
      </c>
      <c r="B141" s="3" t="str">
        <f t="shared" si="4"/>
        <v>100</v>
      </c>
      <c r="C141" s="5" t="str">
        <f t="shared" si="5"/>
        <v>100</v>
      </c>
    </row>
    <row r="142" spans="1:3" x14ac:dyDescent="0.3">
      <c r="A142" s="4" t="s">
        <v>153</v>
      </c>
      <c r="B142" s="3" t="str">
        <f t="shared" si="4"/>
        <v>100</v>
      </c>
      <c r="C142" s="5" t="str">
        <f t="shared" si="5"/>
        <v>100</v>
      </c>
    </row>
    <row r="143" spans="1:3" x14ac:dyDescent="0.3">
      <c r="A143" s="4" t="s">
        <v>154</v>
      </c>
      <c r="B143" s="3" t="str">
        <f t="shared" si="4"/>
        <v>100</v>
      </c>
      <c r="C143" s="5" t="str">
        <f t="shared" si="5"/>
        <v>100</v>
      </c>
    </row>
    <row r="144" spans="1:3" x14ac:dyDescent="0.3">
      <c r="A144" s="4" t="s">
        <v>155</v>
      </c>
      <c r="B144" s="3" t="str">
        <f t="shared" si="4"/>
        <v>100</v>
      </c>
      <c r="C144" s="5" t="str">
        <f t="shared" si="5"/>
        <v>100</v>
      </c>
    </row>
    <row r="145" spans="1:3" x14ac:dyDescent="0.3">
      <c r="A145" s="4" t="s">
        <v>156</v>
      </c>
      <c r="B145" s="3" t="str">
        <f t="shared" si="4"/>
        <v>100</v>
      </c>
      <c r="C145" s="5" t="str">
        <f t="shared" si="5"/>
        <v>100</v>
      </c>
    </row>
    <row r="146" spans="1:3" x14ac:dyDescent="0.3">
      <c r="A146" s="4" t="s">
        <v>157</v>
      </c>
      <c r="B146" s="3" t="str">
        <f t="shared" si="4"/>
        <v>100</v>
      </c>
      <c r="C146" s="5" t="str">
        <f t="shared" si="5"/>
        <v>100</v>
      </c>
    </row>
    <row r="147" spans="1:3" x14ac:dyDescent="0.3">
      <c r="A147" s="4" t="s">
        <v>158</v>
      </c>
      <c r="B147" s="3" t="str">
        <f t="shared" si="4"/>
        <v>100</v>
      </c>
      <c r="C147" s="5" t="str">
        <f t="shared" si="5"/>
        <v>100</v>
      </c>
    </row>
    <row r="148" spans="1:3" x14ac:dyDescent="0.3">
      <c r="A148" s="4" t="s">
        <v>159</v>
      </c>
      <c r="B148" s="3" t="str">
        <f t="shared" si="4"/>
        <v>100</v>
      </c>
      <c r="C148" s="5" t="str">
        <f t="shared" si="5"/>
        <v>100</v>
      </c>
    </row>
    <row r="149" spans="1:3" x14ac:dyDescent="0.3">
      <c r="A149" s="4" t="s">
        <v>160</v>
      </c>
      <c r="B149" s="3" t="str">
        <f t="shared" si="4"/>
        <v>100</v>
      </c>
      <c r="C149" s="5" t="str">
        <f t="shared" si="5"/>
        <v>100</v>
      </c>
    </row>
    <row r="150" spans="1:3" x14ac:dyDescent="0.3">
      <c r="A150" s="4" t="s">
        <v>161</v>
      </c>
      <c r="B150" s="3" t="str">
        <f t="shared" si="4"/>
        <v>100</v>
      </c>
      <c r="C150" s="5" t="str">
        <f t="shared" si="5"/>
        <v>100</v>
      </c>
    </row>
    <row r="151" spans="1:3" x14ac:dyDescent="0.3">
      <c r="A151" s="4" t="s">
        <v>162</v>
      </c>
      <c r="B151" s="3" t="str">
        <f t="shared" si="4"/>
        <v>100</v>
      </c>
      <c r="C151" s="5" t="str">
        <f t="shared" si="5"/>
        <v>100</v>
      </c>
    </row>
    <row r="152" spans="1:3" x14ac:dyDescent="0.3">
      <c r="A152" s="4" t="s">
        <v>163</v>
      </c>
      <c r="B152" s="3" t="str">
        <f t="shared" si="4"/>
        <v>100</v>
      </c>
      <c r="C152" s="5" t="str">
        <f t="shared" si="5"/>
        <v>100</v>
      </c>
    </row>
    <row r="153" spans="1:3" x14ac:dyDescent="0.3">
      <c r="A153" s="4" t="s">
        <v>164</v>
      </c>
      <c r="B153" s="3" t="str">
        <f t="shared" si="4"/>
        <v>100</v>
      </c>
      <c r="C153" s="5" t="str">
        <f t="shared" si="5"/>
        <v>100</v>
      </c>
    </row>
    <row r="154" spans="1:3" x14ac:dyDescent="0.3">
      <c r="A154" s="4" t="s">
        <v>165</v>
      </c>
      <c r="B154" s="3" t="str">
        <f t="shared" si="4"/>
        <v>100</v>
      </c>
      <c r="C154" s="5" t="str">
        <f t="shared" si="5"/>
        <v>100</v>
      </c>
    </row>
    <row r="155" spans="1:3" x14ac:dyDescent="0.3">
      <c r="A155" s="4" t="s">
        <v>166</v>
      </c>
      <c r="B155" s="3" t="str">
        <f t="shared" si="4"/>
        <v>100</v>
      </c>
      <c r="C155" s="5" t="str">
        <f t="shared" si="5"/>
        <v>100</v>
      </c>
    </row>
    <row r="156" spans="1:3" x14ac:dyDescent="0.3">
      <c r="A156" s="4" t="s">
        <v>167</v>
      </c>
      <c r="B156" s="3" t="str">
        <f t="shared" si="4"/>
        <v>100</v>
      </c>
      <c r="C156" s="5" t="str">
        <f t="shared" si="5"/>
        <v>100</v>
      </c>
    </row>
    <row r="157" spans="1:3" x14ac:dyDescent="0.3">
      <c r="A157" s="4" t="s">
        <v>168</v>
      </c>
      <c r="B157" s="3" t="str">
        <f t="shared" si="4"/>
        <v>100</v>
      </c>
      <c r="C157" s="5" t="str">
        <f t="shared" si="5"/>
        <v>100</v>
      </c>
    </row>
    <row r="158" spans="1:3" x14ac:dyDescent="0.3">
      <c r="A158" s="4" t="s">
        <v>169</v>
      </c>
      <c r="B158" s="3" t="str">
        <f t="shared" si="4"/>
        <v>100</v>
      </c>
      <c r="C158" s="5" t="str">
        <f t="shared" si="5"/>
        <v>100</v>
      </c>
    </row>
    <row r="159" spans="1:3" x14ac:dyDescent="0.3">
      <c r="A159" s="4" t="s">
        <v>170</v>
      </c>
      <c r="B159" s="3" t="str">
        <f t="shared" si="4"/>
        <v>100</v>
      </c>
      <c r="C159" s="5" t="str">
        <f t="shared" si="5"/>
        <v>100</v>
      </c>
    </row>
    <row r="160" spans="1:3" x14ac:dyDescent="0.3">
      <c r="A160" s="4" t="s">
        <v>171</v>
      </c>
      <c r="B160" s="3" t="str">
        <f t="shared" si="4"/>
        <v>100</v>
      </c>
      <c r="C160" s="5" t="str">
        <f t="shared" si="5"/>
        <v>100</v>
      </c>
    </row>
    <row r="161" spans="1:3" x14ac:dyDescent="0.3">
      <c r="A161" s="4" t="s">
        <v>172</v>
      </c>
      <c r="B161" s="3" t="str">
        <f t="shared" si="4"/>
        <v>100</v>
      </c>
      <c r="C161" s="5" t="str">
        <f t="shared" si="5"/>
        <v>100</v>
      </c>
    </row>
    <row r="162" spans="1:3" x14ac:dyDescent="0.3">
      <c r="A162" s="4" t="s">
        <v>173</v>
      </c>
      <c r="B162" s="3" t="str">
        <f t="shared" si="4"/>
        <v>100</v>
      </c>
      <c r="C162" s="5" t="str">
        <f t="shared" si="5"/>
        <v>100</v>
      </c>
    </row>
    <row r="163" spans="1:3" x14ac:dyDescent="0.3">
      <c r="A163" s="4" t="s">
        <v>174</v>
      </c>
      <c r="B163" s="3" t="str">
        <f t="shared" si="4"/>
        <v>100</v>
      </c>
      <c r="C163" s="5" t="str">
        <f t="shared" si="5"/>
        <v>100</v>
      </c>
    </row>
    <row r="164" spans="1:3" x14ac:dyDescent="0.3">
      <c r="A164" s="4" t="s">
        <v>175</v>
      </c>
      <c r="B164" s="3" t="str">
        <f t="shared" si="4"/>
        <v>100</v>
      </c>
      <c r="C164" s="5" t="str">
        <f t="shared" si="5"/>
        <v>100</v>
      </c>
    </row>
    <row r="165" spans="1:3" x14ac:dyDescent="0.3">
      <c r="A165" s="4" t="s">
        <v>176</v>
      </c>
      <c r="B165" s="3" t="str">
        <f t="shared" si="4"/>
        <v>100</v>
      </c>
      <c r="C165" s="5" t="str">
        <f t="shared" si="5"/>
        <v>100</v>
      </c>
    </row>
    <row r="166" spans="1:3" x14ac:dyDescent="0.3">
      <c r="A166" s="4" t="s">
        <v>177</v>
      </c>
      <c r="B166" s="3" t="str">
        <f t="shared" si="4"/>
        <v>100</v>
      </c>
      <c r="C166" s="5" t="str">
        <f t="shared" si="5"/>
        <v>100</v>
      </c>
    </row>
    <row r="167" spans="1:3" x14ac:dyDescent="0.3">
      <c r="A167" s="4" t="s">
        <v>178</v>
      </c>
      <c r="B167" s="3" t="str">
        <f t="shared" si="4"/>
        <v>100</v>
      </c>
      <c r="C167" s="5" t="str">
        <f t="shared" si="5"/>
        <v>100</v>
      </c>
    </row>
    <row r="168" spans="1:3" x14ac:dyDescent="0.3">
      <c r="A168" s="4" t="s">
        <v>179</v>
      </c>
      <c r="B168" s="3" t="str">
        <f t="shared" si="4"/>
        <v>100</v>
      </c>
      <c r="C168" s="5" t="str">
        <f t="shared" si="5"/>
        <v>100</v>
      </c>
    </row>
    <row r="169" spans="1:3" x14ac:dyDescent="0.3">
      <c r="A169" s="4" t="s">
        <v>180</v>
      </c>
      <c r="B169" s="3" t="str">
        <f t="shared" si="4"/>
        <v>100</v>
      </c>
      <c r="C169" s="5" t="str">
        <f t="shared" si="5"/>
        <v>100</v>
      </c>
    </row>
    <row r="170" spans="1:3" x14ac:dyDescent="0.3">
      <c r="A170" s="4" t="s">
        <v>181</v>
      </c>
      <c r="B170" s="3" t="str">
        <f t="shared" si="4"/>
        <v>100</v>
      </c>
      <c r="C170" s="5" t="str">
        <f t="shared" si="5"/>
        <v>100</v>
      </c>
    </row>
    <row r="171" spans="1:3" x14ac:dyDescent="0.3">
      <c r="A171" s="4" t="s">
        <v>182</v>
      </c>
      <c r="B171" s="3" t="str">
        <f t="shared" si="4"/>
        <v>100</v>
      </c>
      <c r="C171" s="5" t="str">
        <f t="shared" si="5"/>
        <v>100</v>
      </c>
    </row>
    <row r="172" spans="1:3" x14ac:dyDescent="0.3">
      <c r="A172" s="4" t="s">
        <v>183</v>
      </c>
      <c r="B172" s="3" t="str">
        <f t="shared" si="4"/>
        <v>100</v>
      </c>
      <c r="C172" s="5" t="str">
        <f t="shared" si="5"/>
        <v>100</v>
      </c>
    </row>
    <row r="173" spans="1:3" x14ac:dyDescent="0.3">
      <c r="A173" s="4" t="s">
        <v>184</v>
      </c>
      <c r="B173" s="3" t="str">
        <f t="shared" si="4"/>
        <v>100</v>
      </c>
      <c r="C173" s="5" t="str">
        <f t="shared" si="5"/>
        <v>100</v>
      </c>
    </row>
    <row r="174" spans="1:3" x14ac:dyDescent="0.3">
      <c r="A174" s="4" t="s">
        <v>185</v>
      </c>
      <c r="B174" s="3" t="str">
        <f t="shared" si="4"/>
        <v>100</v>
      </c>
      <c r="C174" s="5" t="str">
        <f t="shared" si="5"/>
        <v>100</v>
      </c>
    </row>
    <row r="175" spans="1:3" x14ac:dyDescent="0.3">
      <c r="A175" s="4" t="s">
        <v>186</v>
      </c>
      <c r="B175" s="3" t="str">
        <f t="shared" si="4"/>
        <v>100</v>
      </c>
      <c r="C175" s="5" t="str">
        <f t="shared" si="5"/>
        <v>100</v>
      </c>
    </row>
    <row r="176" spans="1:3" x14ac:dyDescent="0.3">
      <c r="A176" s="4" t="s">
        <v>187</v>
      </c>
      <c r="B176" s="3" t="str">
        <f t="shared" si="4"/>
        <v>100</v>
      </c>
      <c r="C176" s="5" t="str">
        <f t="shared" si="5"/>
        <v>100</v>
      </c>
    </row>
    <row r="177" spans="1:3" x14ac:dyDescent="0.3">
      <c r="A177" s="4" t="s">
        <v>188</v>
      </c>
      <c r="B177" s="3" t="str">
        <f t="shared" si="4"/>
        <v>100</v>
      </c>
      <c r="C177" s="5" t="str">
        <f t="shared" si="5"/>
        <v>100</v>
      </c>
    </row>
    <row r="178" spans="1:3" x14ac:dyDescent="0.3">
      <c r="A178" s="4" t="s">
        <v>189</v>
      </c>
      <c r="B178" s="3" t="str">
        <f t="shared" si="4"/>
        <v>100</v>
      </c>
      <c r="C178" s="5" t="str">
        <f t="shared" si="5"/>
        <v>100</v>
      </c>
    </row>
    <row r="179" spans="1:3" x14ac:dyDescent="0.3">
      <c r="A179" s="4" t="s">
        <v>190</v>
      </c>
      <c r="B179" s="3" t="str">
        <f t="shared" si="4"/>
        <v>100</v>
      </c>
      <c r="C179" s="5" t="str">
        <f t="shared" si="5"/>
        <v>100</v>
      </c>
    </row>
    <row r="180" spans="1:3" x14ac:dyDescent="0.3">
      <c r="A180" s="4" t="s">
        <v>191</v>
      </c>
      <c r="B180" s="3" t="str">
        <f t="shared" si="4"/>
        <v>100</v>
      </c>
      <c r="C180" s="5" t="str">
        <f t="shared" si="5"/>
        <v>100</v>
      </c>
    </row>
    <row r="181" spans="1:3" x14ac:dyDescent="0.3">
      <c r="A181" s="4" t="s">
        <v>192</v>
      </c>
      <c r="B181" s="3" t="str">
        <f t="shared" si="4"/>
        <v>100</v>
      </c>
      <c r="C181" s="5" t="str">
        <f t="shared" si="5"/>
        <v>100</v>
      </c>
    </row>
    <row r="182" spans="1:3" x14ac:dyDescent="0.3">
      <c r="A182" s="4" t="s">
        <v>193</v>
      </c>
      <c r="B182" s="3" t="str">
        <f t="shared" si="4"/>
        <v>100</v>
      </c>
      <c r="C182" s="5" t="str">
        <f t="shared" si="5"/>
        <v>100</v>
      </c>
    </row>
    <row r="183" spans="1:3" x14ac:dyDescent="0.3">
      <c r="A183" s="4" t="s">
        <v>194</v>
      </c>
      <c r="B183" s="3" t="str">
        <f t="shared" si="4"/>
        <v>100</v>
      </c>
      <c r="C183" s="5" t="str">
        <f t="shared" si="5"/>
        <v>100</v>
      </c>
    </row>
    <row r="184" spans="1:3" x14ac:dyDescent="0.3">
      <c r="A184" s="4" t="s">
        <v>195</v>
      </c>
      <c r="B184" s="3" t="str">
        <f t="shared" si="4"/>
        <v>100</v>
      </c>
      <c r="C184" s="5" t="str">
        <f t="shared" si="5"/>
        <v>100</v>
      </c>
    </row>
    <row r="185" spans="1:3" x14ac:dyDescent="0.3">
      <c r="A185" s="4" t="s">
        <v>196</v>
      </c>
      <c r="B185" s="3" t="str">
        <f t="shared" si="4"/>
        <v>100</v>
      </c>
      <c r="C185" s="5" t="str">
        <f t="shared" si="5"/>
        <v>100</v>
      </c>
    </row>
    <row r="186" spans="1:3" x14ac:dyDescent="0.3">
      <c r="A186" s="4" t="s">
        <v>197</v>
      </c>
      <c r="B186" s="3" t="str">
        <f t="shared" si="4"/>
        <v>100</v>
      </c>
      <c r="C186" s="5" t="str">
        <f t="shared" si="5"/>
        <v>100</v>
      </c>
    </row>
    <row r="187" spans="1:3" x14ac:dyDescent="0.3">
      <c r="A187" s="4" t="s">
        <v>198</v>
      </c>
      <c r="B187" s="3" t="str">
        <f t="shared" si="4"/>
        <v>100</v>
      </c>
      <c r="C187" s="5" t="str">
        <f t="shared" si="5"/>
        <v>100</v>
      </c>
    </row>
    <row r="188" spans="1:3" x14ac:dyDescent="0.3">
      <c r="A188" s="4" t="s">
        <v>199</v>
      </c>
      <c r="B188" s="3" t="str">
        <f t="shared" si="4"/>
        <v>100</v>
      </c>
      <c r="C188" s="5" t="str">
        <f t="shared" si="5"/>
        <v>100</v>
      </c>
    </row>
    <row r="189" spans="1:3" x14ac:dyDescent="0.3">
      <c r="A189" s="4" t="s">
        <v>200</v>
      </c>
      <c r="B189" s="3" t="str">
        <f t="shared" si="4"/>
        <v>100</v>
      </c>
      <c r="C189" s="5" t="str">
        <f t="shared" si="5"/>
        <v>100</v>
      </c>
    </row>
    <row r="190" spans="1:3" x14ac:dyDescent="0.3">
      <c r="A190" s="4" t="s">
        <v>201</v>
      </c>
      <c r="B190" s="3" t="str">
        <f t="shared" si="4"/>
        <v>100</v>
      </c>
      <c r="C190" s="5" t="str">
        <f t="shared" si="5"/>
        <v>100</v>
      </c>
    </row>
    <row r="191" spans="1:3" x14ac:dyDescent="0.3">
      <c r="A191" s="4" t="s">
        <v>202</v>
      </c>
      <c r="B191" s="3" t="str">
        <f t="shared" si="4"/>
        <v>100</v>
      </c>
      <c r="C191" s="5" t="str">
        <f t="shared" si="5"/>
        <v>100</v>
      </c>
    </row>
    <row r="192" spans="1:3" x14ac:dyDescent="0.3">
      <c r="A192" s="4" t="s">
        <v>203</v>
      </c>
      <c r="B192" s="3" t="str">
        <f t="shared" si="4"/>
        <v>100</v>
      </c>
      <c r="C192" s="5" t="str">
        <f t="shared" si="5"/>
        <v>100</v>
      </c>
    </row>
    <row r="193" spans="1:3" x14ac:dyDescent="0.3">
      <c r="A193" s="4" t="s">
        <v>204</v>
      </c>
      <c r="B193" s="3" t="str">
        <f t="shared" si="4"/>
        <v>100</v>
      </c>
      <c r="C193" s="5" t="str">
        <f t="shared" si="5"/>
        <v>100</v>
      </c>
    </row>
    <row r="194" spans="1:3" x14ac:dyDescent="0.3">
      <c r="A194" s="4" t="s">
        <v>205</v>
      </c>
      <c r="B194" s="3" t="str">
        <f t="shared" si="4"/>
        <v>100</v>
      </c>
      <c r="C194" s="5" t="str">
        <f t="shared" si="5"/>
        <v>100</v>
      </c>
    </row>
    <row r="195" spans="1:3" x14ac:dyDescent="0.3">
      <c r="A195" s="4" t="s">
        <v>206</v>
      </c>
      <c r="B195" s="3" t="str">
        <f t="shared" si="4"/>
        <v>100</v>
      </c>
      <c r="C195" s="5" t="str">
        <f t="shared" si="5"/>
        <v>100</v>
      </c>
    </row>
    <row r="196" spans="1:3" x14ac:dyDescent="0.3">
      <c r="A196" s="4" t="s">
        <v>207</v>
      </c>
      <c r="B196" s="3" t="str">
        <f t="shared" ref="B196:B259" si="6">IF(LEFT(A196, 1) = "U", MID(A196, 2, 3), MID(A196, 3, 3))</f>
        <v>100</v>
      </c>
      <c r="C196" s="5" t="str">
        <f t="shared" ref="C196:C259" si="7">B196</f>
        <v>100</v>
      </c>
    </row>
    <row r="197" spans="1:3" x14ac:dyDescent="0.3">
      <c r="A197" s="4" t="s">
        <v>208</v>
      </c>
      <c r="B197" s="3" t="str">
        <f t="shared" si="6"/>
        <v>100</v>
      </c>
      <c r="C197" s="5" t="str">
        <f t="shared" si="7"/>
        <v>100</v>
      </c>
    </row>
    <row r="198" spans="1:3" x14ac:dyDescent="0.3">
      <c r="A198" s="4" t="s">
        <v>209</v>
      </c>
      <c r="B198" s="3" t="str">
        <f t="shared" si="6"/>
        <v>100</v>
      </c>
      <c r="C198" s="5" t="str">
        <f t="shared" si="7"/>
        <v>100</v>
      </c>
    </row>
    <row r="199" spans="1:3" x14ac:dyDescent="0.3">
      <c r="A199" s="4" t="s">
        <v>210</v>
      </c>
      <c r="B199" s="3" t="str">
        <f t="shared" si="6"/>
        <v>100</v>
      </c>
      <c r="C199" s="5" t="str">
        <f t="shared" si="7"/>
        <v>100</v>
      </c>
    </row>
    <row r="200" spans="1:3" x14ac:dyDescent="0.3">
      <c r="A200" s="4" t="s">
        <v>211</v>
      </c>
      <c r="B200" s="3" t="str">
        <f t="shared" si="6"/>
        <v>100</v>
      </c>
      <c r="C200" s="5" t="str">
        <f t="shared" si="7"/>
        <v>100</v>
      </c>
    </row>
    <row r="201" spans="1:3" x14ac:dyDescent="0.3">
      <c r="A201" s="4" t="s">
        <v>212</v>
      </c>
      <c r="B201" s="3" t="str">
        <f t="shared" si="6"/>
        <v>100</v>
      </c>
      <c r="C201" s="5" t="str">
        <f t="shared" si="7"/>
        <v>100</v>
      </c>
    </row>
    <row r="202" spans="1:3" x14ac:dyDescent="0.3">
      <c r="A202" s="4" t="s">
        <v>213</v>
      </c>
      <c r="B202" s="3" t="str">
        <f t="shared" si="6"/>
        <v>100</v>
      </c>
      <c r="C202" s="5" t="str">
        <f t="shared" si="7"/>
        <v>100</v>
      </c>
    </row>
    <row r="203" spans="1:3" x14ac:dyDescent="0.3">
      <c r="A203" s="4" t="s">
        <v>214</v>
      </c>
      <c r="B203" s="3" t="str">
        <f t="shared" si="6"/>
        <v>100</v>
      </c>
      <c r="C203" s="5" t="str">
        <f t="shared" si="7"/>
        <v>100</v>
      </c>
    </row>
    <row r="204" spans="1:3" x14ac:dyDescent="0.3">
      <c r="A204" s="4" t="s">
        <v>215</v>
      </c>
      <c r="B204" s="3" t="str">
        <f t="shared" si="6"/>
        <v>100</v>
      </c>
      <c r="C204" s="5" t="str">
        <f t="shared" si="7"/>
        <v>100</v>
      </c>
    </row>
    <row r="205" spans="1:3" x14ac:dyDescent="0.3">
      <c r="A205" s="4" t="s">
        <v>216</v>
      </c>
      <c r="B205" s="3" t="str">
        <f t="shared" si="6"/>
        <v>100</v>
      </c>
      <c r="C205" s="5" t="str">
        <f t="shared" si="7"/>
        <v>100</v>
      </c>
    </row>
    <row r="206" spans="1:3" x14ac:dyDescent="0.3">
      <c r="A206" s="4" t="s">
        <v>217</v>
      </c>
      <c r="B206" s="3" t="str">
        <f t="shared" si="6"/>
        <v>100</v>
      </c>
      <c r="C206" s="5" t="str">
        <f t="shared" si="7"/>
        <v>100</v>
      </c>
    </row>
    <row r="207" spans="1:3" x14ac:dyDescent="0.3">
      <c r="A207" s="4" t="s">
        <v>218</v>
      </c>
      <c r="B207" s="3" t="str">
        <f t="shared" si="6"/>
        <v>100</v>
      </c>
      <c r="C207" s="5" t="str">
        <f t="shared" si="7"/>
        <v>100</v>
      </c>
    </row>
    <row r="208" spans="1:3" x14ac:dyDescent="0.3">
      <c r="A208" s="4" t="s">
        <v>219</v>
      </c>
      <c r="B208" s="3" t="str">
        <f t="shared" si="6"/>
        <v>100</v>
      </c>
      <c r="C208" s="5" t="str">
        <f t="shared" si="7"/>
        <v>100</v>
      </c>
    </row>
    <row r="209" spans="1:3" x14ac:dyDescent="0.3">
      <c r="A209" s="4" t="s">
        <v>220</v>
      </c>
      <c r="B209" s="3" t="str">
        <f t="shared" si="6"/>
        <v>100</v>
      </c>
      <c r="C209" s="5" t="str">
        <f t="shared" si="7"/>
        <v>100</v>
      </c>
    </row>
    <row r="210" spans="1:3" x14ac:dyDescent="0.3">
      <c r="A210" s="4" t="s">
        <v>221</v>
      </c>
      <c r="B210" s="3" t="str">
        <f t="shared" si="6"/>
        <v>100</v>
      </c>
      <c r="C210" s="5" t="str">
        <f t="shared" si="7"/>
        <v>100</v>
      </c>
    </row>
    <row r="211" spans="1:3" x14ac:dyDescent="0.3">
      <c r="A211" s="4" t="s">
        <v>222</v>
      </c>
      <c r="B211" s="3" t="str">
        <f t="shared" si="6"/>
        <v>100</v>
      </c>
      <c r="C211" s="5" t="str">
        <f t="shared" si="7"/>
        <v>100</v>
      </c>
    </row>
    <row r="212" spans="1:3" x14ac:dyDescent="0.3">
      <c r="A212" s="4" t="s">
        <v>223</v>
      </c>
      <c r="B212" s="3" t="str">
        <f t="shared" si="6"/>
        <v>100</v>
      </c>
      <c r="C212" s="5" t="str">
        <f t="shared" si="7"/>
        <v>100</v>
      </c>
    </row>
    <row r="213" spans="1:3" x14ac:dyDescent="0.3">
      <c r="A213" s="4" t="s">
        <v>224</v>
      </c>
      <c r="B213" s="3" t="str">
        <f t="shared" si="6"/>
        <v>100</v>
      </c>
      <c r="C213" s="5" t="str">
        <f t="shared" si="7"/>
        <v>100</v>
      </c>
    </row>
    <row r="214" spans="1:3" x14ac:dyDescent="0.3">
      <c r="A214" s="4" t="s">
        <v>225</v>
      </c>
      <c r="B214" s="3" t="str">
        <f t="shared" si="6"/>
        <v>100</v>
      </c>
      <c r="C214" s="5" t="str">
        <f t="shared" si="7"/>
        <v>100</v>
      </c>
    </row>
    <row r="215" spans="1:3" x14ac:dyDescent="0.3">
      <c r="A215" s="4" t="s">
        <v>226</v>
      </c>
      <c r="B215" s="3" t="str">
        <f t="shared" si="6"/>
        <v>100</v>
      </c>
      <c r="C215" s="5" t="str">
        <f t="shared" si="7"/>
        <v>100</v>
      </c>
    </row>
    <row r="216" spans="1:3" x14ac:dyDescent="0.3">
      <c r="A216" s="4" t="s">
        <v>227</v>
      </c>
      <c r="B216" s="3" t="str">
        <f t="shared" si="6"/>
        <v>100</v>
      </c>
      <c r="C216" s="5" t="str">
        <f t="shared" si="7"/>
        <v>100</v>
      </c>
    </row>
    <row r="217" spans="1:3" x14ac:dyDescent="0.3">
      <c r="A217" s="4" t="s">
        <v>228</v>
      </c>
      <c r="B217" s="3" t="str">
        <f t="shared" si="6"/>
        <v>100</v>
      </c>
      <c r="C217" s="5" t="str">
        <f t="shared" si="7"/>
        <v>100</v>
      </c>
    </row>
    <row r="218" spans="1:3" x14ac:dyDescent="0.3">
      <c r="A218" s="4" t="s">
        <v>229</v>
      </c>
      <c r="B218" s="3" t="str">
        <f t="shared" si="6"/>
        <v>100</v>
      </c>
      <c r="C218" s="5" t="str">
        <f t="shared" si="7"/>
        <v>100</v>
      </c>
    </row>
    <row r="219" spans="1:3" x14ac:dyDescent="0.3">
      <c r="A219" s="4" t="s">
        <v>230</v>
      </c>
      <c r="B219" s="3" t="str">
        <f t="shared" si="6"/>
        <v>100</v>
      </c>
      <c r="C219" s="5" t="str">
        <f t="shared" si="7"/>
        <v>100</v>
      </c>
    </row>
    <row r="220" spans="1:3" x14ac:dyDescent="0.3">
      <c r="A220" s="4" t="s">
        <v>231</v>
      </c>
      <c r="B220" s="3" t="str">
        <f t="shared" si="6"/>
        <v>100</v>
      </c>
      <c r="C220" s="5" t="str">
        <f t="shared" si="7"/>
        <v>100</v>
      </c>
    </row>
    <row r="221" spans="1:3" x14ac:dyDescent="0.3">
      <c r="A221" s="4" t="s">
        <v>232</v>
      </c>
      <c r="B221" s="3" t="str">
        <f t="shared" si="6"/>
        <v>100</v>
      </c>
      <c r="C221" s="5" t="str">
        <f t="shared" si="7"/>
        <v>100</v>
      </c>
    </row>
    <row r="222" spans="1:3" x14ac:dyDescent="0.3">
      <c r="A222" s="4" t="s">
        <v>233</v>
      </c>
      <c r="B222" s="3" t="str">
        <f t="shared" si="6"/>
        <v>100</v>
      </c>
      <c r="C222" s="5" t="str">
        <f t="shared" si="7"/>
        <v>100</v>
      </c>
    </row>
    <row r="223" spans="1:3" x14ac:dyDescent="0.3">
      <c r="A223" s="4" t="s">
        <v>234</v>
      </c>
      <c r="B223" s="3" t="str">
        <f t="shared" si="6"/>
        <v>100</v>
      </c>
      <c r="C223" s="5" t="str">
        <f t="shared" si="7"/>
        <v>100</v>
      </c>
    </row>
    <row r="224" spans="1:3" x14ac:dyDescent="0.3">
      <c r="A224" s="4" t="s">
        <v>235</v>
      </c>
      <c r="B224" s="3" t="str">
        <f t="shared" si="6"/>
        <v>100</v>
      </c>
      <c r="C224" s="5" t="str">
        <f t="shared" si="7"/>
        <v>100</v>
      </c>
    </row>
    <row r="225" spans="1:3" x14ac:dyDescent="0.3">
      <c r="A225" s="4" t="s">
        <v>236</v>
      </c>
      <c r="B225" s="3" t="str">
        <f t="shared" si="6"/>
        <v>100</v>
      </c>
      <c r="C225" s="5" t="str">
        <f t="shared" si="7"/>
        <v>100</v>
      </c>
    </row>
    <row r="226" spans="1:3" x14ac:dyDescent="0.3">
      <c r="A226" s="4" t="s">
        <v>237</v>
      </c>
      <c r="B226" s="3" t="str">
        <f t="shared" si="6"/>
        <v>100</v>
      </c>
      <c r="C226" s="5" t="str">
        <f t="shared" si="7"/>
        <v>100</v>
      </c>
    </row>
    <row r="227" spans="1:3" x14ac:dyDescent="0.3">
      <c r="A227" s="4" t="s">
        <v>238</v>
      </c>
      <c r="B227" s="3" t="str">
        <f t="shared" si="6"/>
        <v>100</v>
      </c>
      <c r="C227" s="5" t="str">
        <f t="shared" si="7"/>
        <v>100</v>
      </c>
    </row>
    <row r="228" spans="1:3" x14ac:dyDescent="0.3">
      <c r="A228" s="4" t="s">
        <v>239</v>
      </c>
      <c r="B228" s="3" t="str">
        <f t="shared" si="6"/>
        <v>100</v>
      </c>
      <c r="C228" s="5" t="str">
        <f t="shared" si="7"/>
        <v>100</v>
      </c>
    </row>
    <row r="229" spans="1:3" x14ac:dyDescent="0.3">
      <c r="A229" s="4" t="s">
        <v>240</v>
      </c>
      <c r="B229" s="3" t="str">
        <f t="shared" si="6"/>
        <v>100</v>
      </c>
      <c r="C229" s="5" t="str">
        <f t="shared" si="7"/>
        <v>100</v>
      </c>
    </row>
    <row r="230" spans="1:3" x14ac:dyDescent="0.3">
      <c r="A230" s="4" t="s">
        <v>241</v>
      </c>
      <c r="B230" s="3" t="str">
        <f t="shared" si="6"/>
        <v>100</v>
      </c>
      <c r="C230" s="5" t="str">
        <f t="shared" si="7"/>
        <v>100</v>
      </c>
    </row>
    <row r="231" spans="1:3" x14ac:dyDescent="0.3">
      <c r="A231" s="4" t="s">
        <v>242</v>
      </c>
      <c r="B231" s="3" t="str">
        <f t="shared" si="6"/>
        <v>100</v>
      </c>
      <c r="C231" s="5" t="str">
        <f t="shared" si="7"/>
        <v>100</v>
      </c>
    </row>
    <row r="232" spans="1:3" x14ac:dyDescent="0.3">
      <c r="A232" s="4" t="s">
        <v>243</v>
      </c>
      <c r="B232" s="3" t="str">
        <f t="shared" si="6"/>
        <v>100</v>
      </c>
      <c r="C232" s="5" t="str">
        <f t="shared" si="7"/>
        <v>100</v>
      </c>
    </row>
    <row r="233" spans="1:3" x14ac:dyDescent="0.3">
      <c r="A233" s="4" t="s">
        <v>244</v>
      </c>
      <c r="B233" s="3" t="str">
        <f t="shared" si="6"/>
        <v>100</v>
      </c>
      <c r="C233" s="5" t="str">
        <f t="shared" si="7"/>
        <v>100</v>
      </c>
    </row>
    <row r="234" spans="1:3" x14ac:dyDescent="0.3">
      <c r="A234" s="4" t="s">
        <v>245</v>
      </c>
      <c r="B234" s="3" t="str">
        <f t="shared" si="6"/>
        <v>100</v>
      </c>
      <c r="C234" s="5" t="str">
        <f t="shared" si="7"/>
        <v>100</v>
      </c>
    </row>
    <row r="235" spans="1:3" x14ac:dyDescent="0.3">
      <c r="A235" s="4" t="s">
        <v>246</v>
      </c>
      <c r="B235" s="3" t="str">
        <f t="shared" si="6"/>
        <v>100</v>
      </c>
      <c r="C235" s="5" t="str">
        <f t="shared" si="7"/>
        <v>100</v>
      </c>
    </row>
    <row r="236" spans="1:3" x14ac:dyDescent="0.3">
      <c r="A236" s="4" t="s">
        <v>247</v>
      </c>
      <c r="B236" s="3" t="str">
        <f t="shared" si="6"/>
        <v>100</v>
      </c>
      <c r="C236" s="5" t="str">
        <f t="shared" si="7"/>
        <v>100</v>
      </c>
    </row>
    <row r="237" spans="1:3" x14ac:dyDescent="0.3">
      <c r="A237" s="4" t="s">
        <v>248</v>
      </c>
      <c r="B237" s="3" t="str">
        <f t="shared" si="6"/>
        <v>100</v>
      </c>
      <c r="C237" s="5" t="str">
        <f t="shared" si="7"/>
        <v>100</v>
      </c>
    </row>
    <row r="238" spans="1:3" x14ac:dyDescent="0.3">
      <c r="A238" s="4" t="s">
        <v>249</v>
      </c>
      <c r="B238" s="3" t="str">
        <f t="shared" si="6"/>
        <v>100</v>
      </c>
      <c r="C238" s="5" t="str">
        <f t="shared" si="7"/>
        <v>100</v>
      </c>
    </row>
    <row r="239" spans="1:3" x14ac:dyDescent="0.3">
      <c r="A239" s="4" t="s">
        <v>250</v>
      </c>
      <c r="B239" s="3" t="str">
        <f t="shared" si="6"/>
        <v>100</v>
      </c>
      <c r="C239" s="5" t="str">
        <f t="shared" si="7"/>
        <v>100</v>
      </c>
    </row>
    <row r="240" spans="1:3" x14ac:dyDescent="0.3">
      <c r="A240" s="4" t="s">
        <v>251</v>
      </c>
      <c r="B240" s="3" t="str">
        <f t="shared" si="6"/>
        <v>100</v>
      </c>
      <c r="C240" s="5" t="str">
        <f t="shared" si="7"/>
        <v>100</v>
      </c>
    </row>
    <row r="241" spans="1:3" x14ac:dyDescent="0.3">
      <c r="A241" s="4" t="s">
        <v>252</v>
      </c>
      <c r="B241" s="3" t="str">
        <f t="shared" si="6"/>
        <v>100</v>
      </c>
      <c r="C241" s="5" t="str">
        <f t="shared" si="7"/>
        <v>100</v>
      </c>
    </row>
    <row r="242" spans="1:3" x14ac:dyDescent="0.3">
      <c r="A242" s="4" t="s">
        <v>253</v>
      </c>
      <c r="B242" s="3" t="str">
        <f t="shared" si="6"/>
        <v>100</v>
      </c>
      <c r="C242" s="5" t="str">
        <f t="shared" si="7"/>
        <v>100</v>
      </c>
    </row>
    <row r="243" spans="1:3" x14ac:dyDescent="0.3">
      <c r="A243" s="4" t="s">
        <v>254</v>
      </c>
      <c r="B243" s="3" t="str">
        <f t="shared" si="6"/>
        <v>100</v>
      </c>
      <c r="C243" s="5" t="str">
        <f t="shared" si="7"/>
        <v>100</v>
      </c>
    </row>
    <row r="244" spans="1:3" x14ac:dyDescent="0.3">
      <c r="A244" s="4" t="s">
        <v>255</v>
      </c>
      <c r="B244" s="3" t="str">
        <f t="shared" si="6"/>
        <v>100</v>
      </c>
      <c r="C244" s="5" t="str">
        <f t="shared" si="7"/>
        <v>100</v>
      </c>
    </row>
    <row r="245" spans="1:3" x14ac:dyDescent="0.3">
      <c r="A245" s="4" t="s">
        <v>256</v>
      </c>
      <c r="B245" s="3" t="str">
        <f t="shared" si="6"/>
        <v>100</v>
      </c>
      <c r="C245" s="5" t="str">
        <f t="shared" si="7"/>
        <v>100</v>
      </c>
    </row>
    <row r="246" spans="1:3" x14ac:dyDescent="0.3">
      <c r="A246" s="4" t="s">
        <v>257</v>
      </c>
      <c r="B246" s="3" t="str">
        <f t="shared" si="6"/>
        <v>100</v>
      </c>
      <c r="C246" s="5" t="str">
        <f t="shared" si="7"/>
        <v>100</v>
      </c>
    </row>
    <row r="247" spans="1:3" x14ac:dyDescent="0.3">
      <c r="A247" s="4" t="s">
        <v>258</v>
      </c>
      <c r="B247" s="3" t="str">
        <f t="shared" si="6"/>
        <v>100</v>
      </c>
      <c r="C247" s="5" t="str">
        <f t="shared" si="7"/>
        <v>100</v>
      </c>
    </row>
    <row r="248" spans="1:3" x14ac:dyDescent="0.3">
      <c r="A248" s="4" t="s">
        <v>259</v>
      </c>
      <c r="B248" s="3" t="str">
        <f t="shared" si="6"/>
        <v>100</v>
      </c>
      <c r="C248" s="5" t="str">
        <f t="shared" si="7"/>
        <v>100</v>
      </c>
    </row>
    <row r="249" spans="1:3" x14ac:dyDescent="0.3">
      <c r="A249" s="4" t="s">
        <v>260</v>
      </c>
      <c r="B249" s="3" t="str">
        <f t="shared" si="6"/>
        <v>100</v>
      </c>
      <c r="C249" s="5" t="str">
        <f t="shared" si="7"/>
        <v>100</v>
      </c>
    </row>
    <row r="250" spans="1:3" x14ac:dyDescent="0.3">
      <c r="A250" s="4" t="s">
        <v>261</v>
      </c>
      <c r="B250" s="3" t="str">
        <f t="shared" si="6"/>
        <v>100</v>
      </c>
      <c r="C250" s="5" t="str">
        <f t="shared" si="7"/>
        <v>100</v>
      </c>
    </row>
    <row r="251" spans="1:3" x14ac:dyDescent="0.3">
      <c r="A251" s="4" t="s">
        <v>262</v>
      </c>
      <c r="B251" s="3" t="str">
        <f t="shared" si="6"/>
        <v>100</v>
      </c>
      <c r="C251" s="5" t="str">
        <f t="shared" si="7"/>
        <v>100</v>
      </c>
    </row>
    <row r="252" spans="1:3" x14ac:dyDescent="0.3">
      <c r="A252" s="4" t="s">
        <v>263</v>
      </c>
      <c r="B252" s="3" t="str">
        <f t="shared" si="6"/>
        <v>100</v>
      </c>
      <c r="C252" s="5" t="str">
        <f t="shared" si="7"/>
        <v>100</v>
      </c>
    </row>
    <row r="253" spans="1:3" x14ac:dyDescent="0.3">
      <c r="A253" s="4" t="s">
        <v>264</v>
      </c>
      <c r="B253" s="3" t="str">
        <f t="shared" si="6"/>
        <v>100</v>
      </c>
      <c r="C253" s="5" t="str">
        <f t="shared" si="7"/>
        <v>100</v>
      </c>
    </row>
    <row r="254" spans="1:3" x14ac:dyDescent="0.3">
      <c r="A254" s="4" t="s">
        <v>265</v>
      </c>
      <c r="B254" s="3" t="str">
        <f t="shared" si="6"/>
        <v>100</v>
      </c>
      <c r="C254" s="5" t="str">
        <f t="shared" si="7"/>
        <v>100</v>
      </c>
    </row>
    <row r="255" spans="1:3" x14ac:dyDescent="0.3">
      <c r="A255" s="4" t="s">
        <v>266</v>
      </c>
      <c r="B255" s="3" t="str">
        <f t="shared" si="6"/>
        <v>100</v>
      </c>
      <c r="C255" s="5" t="str">
        <f t="shared" si="7"/>
        <v>100</v>
      </c>
    </row>
    <row r="256" spans="1:3" x14ac:dyDescent="0.3">
      <c r="A256" s="4" t="s">
        <v>267</v>
      </c>
      <c r="B256" s="3" t="str">
        <f t="shared" si="6"/>
        <v>100</v>
      </c>
      <c r="C256" s="5" t="str">
        <f t="shared" si="7"/>
        <v>100</v>
      </c>
    </row>
    <row r="257" spans="1:3" x14ac:dyDescent="0.3">
      <c r="A257" s="4" t="s">
        <v>268</v>
      </c>
      <c r="B257" s="3" t="str">
        <f t="shared" si="6"/>
        <v>100</v>
      </c>
      <c r="C257" s="5" t="str">
        <f t="shared" si="7"/>
        <v>100</v>
      </c>
    </row>
    <row r="258" spans="1:3" x14ac:dyDescent="0.3">
      <c r="A258" s="4" t="s">
        <v>269</v>
      </c>
      <c r="B258" s="3" t="str">
        <f t="shared" si="6"/>
        <v>100</v>
      </c>
      <c r="C258" s="5" t="str">
        <f t="shared" si="7"/>
        <v>100</v>
      </c>
    </row>
    <row r="259" spans="1:3" x14ac:dyDescent="0.3">
      <c r="A259" s="4" t="s">
        <v>270</v>
      </c>
      <c r="B259" s="3" t="str">
        <f t="shared" si="6"/>
        <v>100</v>
      </c>
      <c r="C259" s="5" t="str">
        <f t="shared" si="7"/>
        <v>100</v>
      </c>
    </row>
    <row r="260" spans="1:3" x14ac:dyDescent="0.3">
      <c r="A260" s="4" t="s">
        <v>271</v>
      </c>
      <c r="B260" s="3" t="str">
        <f t="shared" ref="B260:B323" si="8">IF(LEFT(A260, 1) = "U", MID(A260, 2, 3), MID(A260, 3, 3))</f>
        <v>100</v>
      </c>
      <c r="C260" s="5" t="str">
        <f t="shared" ref="C260:C323" si="9">B260</f>
        <v>100</v>
      </c>
    </row>
    <row r="261" spans="1:3" x14ac:dyDescent="0.3">
      <c r="A261" s="4" t="s">
        <v>272</v>
      </c>
      <c r="B261" s="3" t="str">
        <f t="shared" si="8"/>
        <v>100</v>
      </c>
      <c r="C261" s="5" t="str">
        <f t="shared" si="9"/>
        <v>100</v>
      </c>
    </row>
    <row r="262" spans="1:3" x14ac:dyDescent="0.3">
      <c r="A262" s="4" t="s">
        <v>273</v>
      </c>
      <c r="B262" s="3" t="str">
        <f t="shared" si="8"/>
        <v>100</v>
      </c>
      <c r="C262" s="5" t="str">
        <f t="shared" si="9"/>
        <v>100</v>
      </c>
    </row>
    <row r="263" spans="1:3" x14ac:dyDescent="0.3">
      <c r="A263" s="4" t="s">
        <v>274</v>
      </c>
      <c r="B263" s="3" t="str">
        <f t="shared" si="8"/>
        <v>100</v>
      </c>
      <c r="C263" s="5" t="str">
        <f t="shared" si="9"/>
        <v>100</v>
      </c>
    </row>
    <row r="264" spans="1:3" x14ac:dyDescent="0.3">
      <c r="A264" s="4" t="s">
        <v>275</v>
      </c>
      <c r="B264" s="3" t="str">
        <f t="shared" si="8"/>
        <v>100</v>
      </c>
      <c r="C264" s="5" t="str">
        <f t="shared" si="9"/>
        <v>100</v>
      </c>
    </row>
    <row r="265" spans="1:3" x14ac:dyDescent="0.3">
      <c r="A265" s="4" t="s">
        <v>276</v>
      </c>
      <c r="B265" s="3" t="str">
        <f t="shared" si="8"/>
        <v>100</v>
      </c>
      <c r="C265" s="5" t="str">
        <f t="shared" si="9"/>
        <v>100</v>
      </c>
    </row>
    <row r="266" spans="1:3" x14ac:dyDescent="0.3">
      <c r="A266" s="4" t="s">
        <v>277</v>
      </c>
      <c r="B266" s="3" t="str">
        <f t="shared" si="8"/>
        <v>100</v>
      </c>
      <c r="C266" s="5" t="str">
        <f t="shared" si="9"/>
        <v>100</v>
      </c>
    </row>
    <row r="267" spans="1:3" x14ac:dyDescent="0.3">
      <c r="A267" s="4" t="s">
        <v>278</v>
      </c>
      <c r="B267" s="3" t="str">
        <f t="shared" si="8"/>
        <v>100</v>
      </c>
      <c r="C267" s="5" t="str">
        <f t="shared" si="9"/>
        <v>100</v>
      </c>
    </row>
    <row r="268" spans="1:3" x14ac:dyDescent="0.3">
      <c r="A268" s="4" t="s">
        <v>279</v>
      </c>
      <c r="B268" s="3" t="str">
        <f t="shared" si="8"/>
        <v>100</v>
      </c>
      <c r="C268" s="5" t="str">
        <f t="shared" si="9"/>
        <v>100</v>
      </c>
    </row>
    <row r="269" spans="1:3" x14ac:dyDescent="0.3">
      <c r="A269" s="4" t="s">
        <v>280</v>
      </c>
      <c r="B269" s="3" t="str">
        <f t="shared" si="8"/>
        <v>100</v>
      </c>
      <c r="C269" s="5" t="str">
        <f t="shared" si="9"/>
        <v>100</v>
      </c>
    </row>
    <row r="270" spans="1:3" x14ac:dyDescent="0.3">
      <c r="A270" s="4" t="s">
        <v>281</v>
      </c>
      <c r="B270" s="3" t="str">
        <f t="shared" si="8"/>
        <v>100</v>
      </c>
      <c r="C270" s="5" t="str">
        <f t="shared" si="9"/>
        <v>100</v>
      </c>
    </row>
    <row r="271" spans="1:3" x14ac:dyDescent="0.3">
      <c r="A271" s="4" t="s">
        <v>282</v>
      </c>
      <c r="B271" s="3" t="str">
        <f t="shared" si="8"/>
        <v>100</v>
      </c>
      <c r="C271" s="5" t="str">
        <f t="shared" si="9"/>
        <v>100</v>
      </c>
    </row>
    <row r="272" spans="1:3" x14ac:dyDescent="0.3">
      <c r="A272" s="4" t="s">
        <v>283</v>
      </c>
      <c r="B272" s="3" t="str">
        <f t="shared" si="8"/>
        <v>100</v>
      </c>
      <c r="C272" s="5" t="str">
        <f t="shared" si="9"/>
        <v>100</v>
      </c>
    </row>
    <row r="273" spans="1:3" x14ac:dyDescent="0.3">
      <c r="A273" s="4" t="s">
        <v>284</v>
      </c>
      <c r="B273" s="3" t="str">
        <f t="shared" si="8"/>
        <v>100</v>
      </c>
      <c r="C273" s="5" t="str">
        <f t="shared" si="9"/>
        <v>100</v>
      </c>
    </row>
    <row r="274" spans="1:3" x14ac:dyDescent="0.3">
      <c r="A274" s="4" t="s">
        <v>285</v>
      </c>
      <c r="B274" s="3" t="str">
        <f t="shared" si="8"/>
        <v>100</v>
      </c>
      <c r="C274" s="5" t="str">
        <f t="shared" si="9"/>
        <v>100</v>
      </c>
    </row>
    <row r="275" spans="1:3" x14ac:dyDescent="0.3">
      <c r="A275" s="4" t="s">
        <v>286</v>
      </c>
      <c r="B275" s="3" t="str">
        <f t="shared" si="8"/>
        <v>120</v>
      </c>
      <c r="C275" s="5" t="str">
        <f t="shared" si="9"/>
        <v>120</v>
      </c>
    </row>
    <row r="276" spans="1:3" x14ac:dyDescent="0.3">
      <c r="A276" s="4" t="s">
        <v>287</v>
      </c>
      <c r="B276" s="3" t="str">
        <f t="shared" si="8"/>
        <v>120</v>
      </c>
      <c r="C276" s="5" t="str">
        <f t="shared" si="9"/>
        <v>120</v>
      </c>
    </row>
    <row r="277" spans="1:3" x14ac:dyDescent="0.3">
      <c r="A277" s="4" t="s">
        <v>288</v>
      </c>
      <c r="B277" s="3" t="str">
        <f t="shared" si="8"/>
        <v>120</v>
      </c>
      <c r="C277" s="5" t="str">
        <f t="shared" si="9"/>
        <v>120</v>
      </c>
    </row>
    <row r="278" spans="1:3" x14ac:dyDescent="0.3">
      <c r="A278" s="4" t="s">
        <v>289</v>
      </c>
      <c r="B278" s="3" t="str">
        <f t="shared" si="8"/>
        <v>120</v>
      </c>
      <c r="C278" s="5" t="str">
        <f t="shared" si="9"/>
        <v>120</v>
      </c>
    </row>
    <row r="279" spans="1:3" x14ac:dyDescent="0.3">
      <c r="A279" s="4" t="s">
        <v>290</v>
      </c>
      <c r="B279" s="3" t="str">
        <f t="shared" si="8"/>
        <v>120</v>
      </c>
      <c r="C279" s="5" t="str">
        <f t="shared" si="9"/>
        <v>120</v>
      </c>
    </row>
    <row r="280" spans="1:3" x14ac:dyDescent="0.3">
      <c r="A280" s="4" t="s">
        <v>291</v>
      </c>
      <c r="B280" s="3" t="str">
        <f t="shared" si="8"/>
        <v>120</v>
      </c>
      <c r="C280" s="5" t="str">
        <f t="shared" si="9"/>
        <v>120</v>
      </c>
    </row>
    <row r="281" spans="1:3" x14ac:dyDescent="0.3">
      <c r="A281" s="4" t="s">
        <v>292</v>
      </c>
      <c r="B281" s="3" t="str">
        <f t="shared" si="8"/>
        <v>120</v>
      </c>
      <c r="C281" s="5" t="str">
        <f t="shared" si="9"/>
        <v>120</v>
      </c>
    </row>
    <row r="282" spans="1:3" x14ac:dyDescent="0.3">
      <c r="A282" s="4" t="s">
        <v>293</v>
      </c>
      <c r="B282" s="3" t="str">
        <f t="shared" si="8"/>
        <v>120</v>
      </c>
      <c r="C282" s="5" t="str">
        <f t="shared" si="9"/>
        <v>120</v>
      </c>
    </row>
    <row r="283" spans="1:3" x14ac:dyDescent="0.3">
      <c r="A283" s="4" t="s">
        <v>294</v>
      </c>
      <c r="B283" s="3" t="str">
        <f t="shared" si="8"/>
        <v>120</v>
      </c>
      <c r="C283" s="5" t="str">
        <f t="shared" si="9"/>
        <v>120</v>
      </c>
    </row>
    <row r="284" spans="1:3" x14ac:dyDescent="0.3">
      <c r="A284" s="4" t="s">
        <v>295</v>
      </c>
      <c r="B284" s="3" t="str">
        <f t="shared" si="8"/>
        <v>120</v>
      </c>
      <c r="C284" s="5" t="str">
        <f t="shared" si="9"/>
        <v>120</v>
      </c>
    </row>
    <row r="285" spans="1:3" x14ac:dyDescent="0.3">
      <c r="A285" s="4" t="s">
        <v>296</v>
      </c>
      <c r="B285" s="3" t="str">
        <f t="shared" si="8"/>
        <v>120</v>
      </c>
      <c r="C285" s="5" t="str">
        <f t="shared" si="9"/>
        <v>120</v>
      </c>
    </row>
    <row r="286" spans="1:3" x14ac:dyDescent="0.3">
      <c r="A286" s="4" t="s">
        <v>297</v>
      </c>
      <c r="B286" s="3" t="str">
        <f t="shared" si="8"/>
        <v>120</v>
      </c>
      <c r="C286" s="5" t="str">
        <f t="shared" si="9"/>
        <v>120</v>
      </c>
    </row>
    <row r="287" spans="1:3" x14ac:dyDescent="0.3">
      <c r="A287" s="4" t="s">
        <v>298</v>
      </c>
      <c r="B287" s="3" t="str">
        <f t="shared" si="8"/>
        <v>120</v>
      </c>
      <c r="C287" s="5" t="str">
        <f t="shared" si="9"/>
        <v>120</v>
      </c>
    </row>
    <row r="288" spans="1:3" x14ac:dyDescent="0.3">
      <c r="A288" s="4" t="s">
        <v>299</v>
      </c>
      <c r="B288" s="3" t="str">
        <f t="shared" si="8"/>
        <v>120</v>
      </c>
      <c r="C288" s="5" t="str">
        <f t="shared" si="9"/>
        <v>120</v>
      </c>
    </row>
    <row r="289" spans="1:3" x14ac:dyDescent="0.3">
      <c r="A289" s="4" t="s">
        <v>300</v>
      </c>
      <c r="B289" s="3" t="str">
        <f t="shared" si="8"/>
        <v>120</v>
      </c>
      <c r="C289" s="5" t="str">
        <f t="shared" si="9"/>
        <v>120</v>
      </c>
    </row>
    <row r="290" spans="1:3" x14ac:dyDescent="0.3">
      <c r="A290" s="4" t="s">
        <v>301</v>
      </c>
      <c r="B290" s="3" t="str">
        <f t="shared" si="8"/>
        <v>120</v>
      </c>
      <c r="C290" s="5" t="str">
        <f t="shared" si="9"/>
        <v>120</v>
      </c>
    </row>
    <row r="291" spans="1:3" x14ac:dyDescent="0.3">
      <c r="A291" s="4" t="s">
        <v>302</v>
      </c>
      <c r="B291" s="3" t="str">
        <f t="shared" si="8"/>
        <v>120</v>
      </c>
      <c r="C291" s="5" t="str">
        <f t="shared" si="9"/>
        <v>120</v>
      </c>
    </row>
    <row r="292" spans="1:3" x14ac:dyDescent="0.3">
      <c r="A292" s="4" t="s">
        <v>303</v>
      </c>
      <c r="B292" s="3" t="str">
        <f t="shared" si="8"/>
        <v>120</v>
      </c>
      <c r="C292" s="5" t="str">
        <f t="shared" si="9"/>
        <v>120</v>
      </c>
    </row>
    <row r="293" spans="1:3" x14ac:dyDescent="0.3">
      <c r="A293" s="4" t="s">
        <v>304</v>
      </c>
      <c r="B293" s="3" t="str">
        <f t="shared" si="8"/>
        <v>120</v>
      </c>
      <c r="C293" s="5" t="str">
        <f t="shared" si="9"/>
        <v>120</v>
      </c>
    </row>
    <row r="294" spans="1:3" x14ac:dyDescent="0.3">
      <c r="A294" s="4" t="s">
        <v>305</v>
      </c>
      <c r="B294" s="3" t="str">
        <f t="shared" si="8"/>
        <v>120</v>
      </c>
      <c r="C294" s="5" t="str">
        <f t="shared" si="9"/>
        <v>120</v>
      </c>
    </row>
    <row r="295" spans="1:3" x14ac:dyDescent="0.3">
      <c r="A295" s="4" t="s">
        <v>306</v>
      </c>
      <c r="B295" s="3" t="str">
        <f t="shared" si="8"/>
        <v>120</v>
      </c>
      <c r="C295" s="5" t="str">
        <f t="shared" si="9"/>
        <v>120</v>
      </c>
    </row>
    <row r="296" spans="1:3" x14ac:dyDescent="0.3">
      <c r="A296" s="4" t="s">
        <v>307</v>
      </c>
      <c r="B296" s="3" t="str">
        <f t="shared" si="8"/>
        <v>120</v>
      </c>
      <c r="C296" s="5" t="str">
        <f t="shared" si="9"/>
        <v>120</v>
      </c>
    </row>
    <row r="297" spans="1:3" x14ac:dyDescent="0.3">
      <c r="A297" s="4" t="s">
        <v>308</v>
      </c>
      <c r="B297" s="3" t="str">
        <f t="shared" si="8"/>
        <v>120</v>
      </c>
      <c r="C297" s="5" t="str">
        <f t="shared" si="9"/>
        <v>120</v>
      </c>
    </row>
    <row r="298" spans="1:3" x14ac:dyDescent="0.3">
      <c r="A298" s="4" t="s">
        <v>309</v>
      </c>
      <c r="B298" s="3" t="str">
        <f t="shared" si="8"/>
        <v>120</v>
      </c>
      <c r="C298" s="5" t="str">
        <f t="shared" si="9"/>
        <v>120</v>
      </c>
    </row>
    <row r="299" spans="1:3" x14ac:dyDescent="0.3">
      <c r="A299" s="4" t="s">
        <v>310</v>
      </c>
      <c r="B299" s="3" t="str">
        <f t="shared" si="8"/>
        <v>120</v>
      </c>
      <c r="C299" s="5" t="str">
        <f t="shared" si="9"/>
        <v>120</v>
      </c>
    </row>
    <row r="300" spans="1:3" x14ac:dyDescent="0.3">
      <c r="A300" s="4" t="s">
        <v>311</v>
      </c>
      <c r="B300" s="3" t="str">
        <f t="shared" si="8"/>
        <v>120</v>
      </c>
      <c r="C300" s="5" t="str">
        <f t="shared" si="9"/>
        <v>120</v>
      </c>
    </row>
    <row r="301" spans="1:3" x14ac:dyDescent="0.3">
      <c r="A301" s="4" t="s">
        <v>312</v>
      </c>
      <c r="B301" s="3" t="str">
        <f t="shared" si="8"/>
        <v>120</v>
      </c>
      <c r="C301" s="5" t="str">
        <f t="shared" si="9"/>
        <v>120</v>
      </c>
    </row>
    <row r="302" spans="1:3" x14ac:dyDescent="0.3">
      <c r="A302" s="4" t="s">
        <v>313</v>
      </c>
      <c r="B302" s="3" t="str">
        <f t="shared" si="8"/>
        <v>120</v>
      </c>
      <c r="C302" s="5" t="str">
        <f t="shared" si="9"/>
        <v>120</v>
      </c>
    </row>
    <row r="303" spans="1:3" x14ac:dyDescent="0.3">
      <c r="A303" s="4" t="s">
        <v>314</v>
      </c>
      <c r="B303" s="3" t="str">
        <f t="shared" si="8"/>
        <v>120</v>
      </c>
      <c r="C303" s="5" t="str">
        <f t="shared" si="9"/>
        <v>120</v>
      </c>
    </row>
    <row r="304" spans="1:3" x14ac:dyDescent="0.3">
      <c r="A304" s="4" t="s">
        <v>315</v>
      </c>
      <c r="B304" s="3" t="str">
        <f t="shared" si="8"/>
        <v>120</v>
      </c>
      <c r="C304" s="5" t="str">
        <f t="shared" si="9"/>
        <v>120</v>
      </c>
    </row>
    <row r="305" spans="1:3" x14ac:dyDescent="0.3">
      <c r="A305" s="4" t="s">
        <v>316</v>
      </c>
      <c r="B305" s="3" t="str">
        <f t="shared" si="8"/>
        <v>120</v>
      </c>
      <c r="C305" s="5" t="str">
        <f t="shared" si="9"/>
        <v>120</v>
      </c>
    </row>
    <row r="306" spans="1:3" x14ac:dyDescent="0.3">
      <c r="A306" s="4" t="s">
        <v>317</v>
      </c>
      <c r="B306" s="3" t="str">
        <f t="shared" si="8"/>
        <v>120</v>
      </c>
      <c r="C306" s="5" t="str">
        <f t="shared" si="9"/>
        <v>120</v>
      </c>
    </row>
    <row r="307" spans="1:3" x14ac:dyDescent="0.3">
      <c r="A307" s="4" t="s">
        <v>318</v>
      </c>
      <c r="B307" s="3" t="str">
        <f t="shared" si="8"/>
        <v>120</v>
      </c>
      <c r="C307" s="5" t="str">
        <f t="shared" si="9"/>
        <v>120</v>
      </c>
    </row>
    <row r="308" spans="1:3" x14ac:dyDescent="0.3">
      <c r="A308" s="4" t="s">
        <v>319</v>
      </c>
      <c r="B308" s="3" t="str">
        <f t="shared" si="8"/>
        <v>120</v>
      </c>
      <c r="C308" s="5" t="str">
        <f t="shared" si="9"/>
        <v>120</v>
      </c>
    </row>
    <row r="309" spans="1:3" x14ac:dyDescent="0.3">
      <c r="A309" s="4" t="s">
        <v>320</v>
      </c>
      <c r="B309" s="3" t="str">
        <f t="shared" si="8"/>
        <v>120</v>
      </c>
      <c r="C309" s="5" t="str">
        <f t="shared" si="9"/>
        <v>120</v>
      </c>
    </row>
    <row r="310" spans="1:3" x14ac:dyDescent="0.3">
      <c r="A310" s="4" t="s">
        <v>321</v>
      </c>
      <c r="B310" s="3" t="str">
        <f t="shared" si="8"/>
        <v>120</v>
      </c>
      <c r="C310" s="5" t="str">
        <f t="shared" si="9"/>
        <v>120</v>
      </c>
    </row>
    <row r="311" spans="1:3" x14ac:dyDescent="0.3">
      <c r="A311" s="4" t="s">
        <v>322</v>
      </c>
      <c r="B311" s="3" t="str">
        <f t="shared" si="8"/>
        <v>120</v>
      </c>
      <c r="C311" s="5" t="str">
        <f t="shared" si="9"/>
        <v>120</v>
      </c>
    </row>
    <row r="312" spans="1:3" x14ac:dyDescent="0.3">
      <c r="A312" s="4" t="s">
        <v>323</v>
      </c>
      <c r="B312" s="3" t="str">
        <f t="shared" si="8"/>
        <v>120</v>
      </c>
      <c r="C312" s="5" t="str">
        <f t="shared" si="9"/>
        <v>120</v>
      </c>
    </row>
    <row r="313" spans="1:3" x14ac:dyDescent="0.3">
      <c r="A313" s="4" t="s">
        <v>324</v>
      </c>
      <c r="B313" s="3" t="str">
        <f t="shared" si="8"/>
        <v>120</v>
      </c>
      <c r="C313" s="5" t="str">
        <f t="shared" si="9"/>
        <v>120</v>
      </c>
    </row>
    <row r="314" spans="1:3" x14ac:dyDescent="0.3">
      <c r="A314" s="4" t="s">
        <v>325</v>
      </c>
      <c r="B314" s="3" t="str">
        <f t="shared" si="8"/>
        <v>120</v>
      </c>
      <c r="C314" s="5" t="str">
        <f t="shared" si="9"/>
        <v>120</v>
      </c>
    </row>
    <row r="315" spans="1:3" x14ac:dyDescent="0.3">
      <c r="A315" s="4" t="s">
        <v>326</v>
      </c>
      <c r="B315" s="3" t="str">
        <f t="shared" si="8"/>
        <v>120</v>
      </c>
      <c r="C315" s="5" t="str">
        <f t="shared" si="9"/>
        <v>120</v>
      </c>
    </row>
    <row r="316" spans="1:3" x14ac:dyDescent="0.3">
      <c r="A316" s="4" t="s">
        <v>327</v>
      </c>
      <c r="B316" s="3" t="str">
        <f t="shared" si="8"/>
        <v>120</v>
      </c>
      <c r="C316" s="5" t="str">
        <f t="shared" si="9"/>
        <v>120</v>
      </c>
    </row>
    <row r="317" spans="1:3" x14ac:dyDescent="0.3">
      <c r="A317" s="4" t="s">
        <v>328</v>
      </c>
      <c r="B317" s="3" t="str">
        <f t="shared" si="8"/>
        <v>120</v>
      </c>
      <c r="C317" s="5" t="str">
        <f t="shared" si="9"/>
        <v>120</v>
      </c>
    </row>
    <row r="318" spans="1:3" x14ac:dyDescent="0.3">
      <c r="A318" s="4" t="s">
        <v>329</v>
      </c>
      <c r="B318" s="3" t="str">
        <f t="shared" si="8"/>
        <v>120</v>
      </c>
      <c r="C318" s="5" t="str">
        <f t="shared" si="9"/>
        <v>120</v>
      </c>
    </row>
    <row r="319" spans="1:3" x14ac:dyDescent="0.3">
      <c r="A319" s="4" t="s">
        <v>330</v>
      </c>
      <c r="B319" s="3" t="str">
        <f t="shared" si="8"/>
        <v>120</v>
      </c>
      <c r="C319" s="5" t="str">
        <f t="shared" si="9"/>
        <v>120</v>
      </c>
    </row>
    <row r="320" spans="1:3" x14ac:dyDescent="0.3">
      <c r="A320" s="4" t="s">
        <v>331</v>
      </c>
      <c r="B320" s="3" t="str">
        <f t="shared" si="8"/>
        <v>120</v>
      </c>
      <c r="C320" s="5" t="str">
        <f t="shared" si="9"/>
        <v>120</v>
      </c>
    </row>
    <row r="321" spans="1:3" x14ac:dyDescent="0.3">
      <c r="A321" s="4" t="s">
        <v>332</v>
      </c>
      <c r="B321" s="3" t="str">
        <f t="shared" si="8"/>
        <v>120</v>
      </c>
      <c r="C321" s="5" t="str">
        <f t="shared" si="9"/>
        <v>120</v>
      </c>
    </row>
    <row r="322" spans="1:3" x14ac:dyDescent="0.3">
      <c r="A322" s="4" t="s">
        <v>333</v>
      </c>
      <c r="B322" s="3" t="str">
        <f t="shared" si="8"/>
        <v>120</v>
      </c>
      <c r="C322" s="5" t="str">
        <f t="shared" si="9"/>
        <v>120</v>
      </c>
    </row>
    <row r="323" spans="1:3" x14ac:dyDescent="0.3">
      <c r="A323" s="4" t="s">
        <v>334</v>
      </c>
      <c r="B323" s="3" t="str">
        <f t="shared" si="8"/>
        <v>120</v>
      </c>
      <c r="C323" s="5" t="str">
        <f t="shared" si="9"/>
        <v>120</v>
      </c>
    </row>
    <row r="324" spans="1:3" x14ac:dyDescent="0.3">
      <c r="A324" s="4" t="s">
        <v>335</v>
      </c>
      <c r="B324" s="3" t="str">
        <f t="shared" ref="B324:B387" si="10">IF(LEFT(A324, 1) = "U", MID(A324, 2, 3), MID(A324, 3, 3))</f>
        <v>120</v>
      </c>
      <c r="C324" s="5" t="str">
        <f t="shared" ref="C324:C387" si="11">B324</f>
        <v>120</v>
      </c>
    </row>
    <row r="325" spans="1:3" x14ac:dyDescent="0.3">
      <c r="A325" s="4" t="s">
        <v>336</v>
      </c>
      <c r="B325" s="3" t="str">
        <f t="shared" si="10"/>
        <v>120</v>
      </c>
      <c r="C325" s="5" t="str">
        <f t="shared" si="11"/>
        <v>120</v>
      </c>
    </row>
    <row r="326" spans="1:3" x14ac:dyDescent="0.3">
      <c r="A326" s="4" t="s">
        <v>337</v>
      </c>
      <c r="B326" s="3" t="str">
        <f t="shared" si="10"/>
        <v>120</v>
      </c>
      <c r="C326" s="5" t="str">
        <f t="shared" si="11"/>
        <v>120</v>
      </c>
    </row>
    <row r="327" spans="1:3" x14ac:dyDescent="0.3">
      <c r="A327" s="4" t="s">
        <v>338</v>
      </c>
      <c r="B327" s="3" t="str">
        <f t="shared" si="10"/>
        <v>120</v>
      </c>
      <c r="C327" s="5" t="str">
        <f t="shared" si="11"/>
        <v>120</v>
      </c>
    </row>
    <row r="328" spans="1:3" x14ac:dyDescent="0.3">
      <c r="A328" s="4" t="s">
        <v>339</v>
      </c>
      <c r="B328" s="3" t="str">
        <f t="shared" si="10"/>
        <v>120</v>
      </c>
      <c r="C328" s="5" t="str">
        <f t="shared" si="11"/>
        <v>120</v>
      </c>
    </row>
    <row r="329" spans="1:3" x14ac:dyDescent="0.3">
      <c r="A329" s="4" t="s">
        <v>340</v>
      </c>
      <c r="B329" s="3" t="str">
        <f t="shared" si="10"/>
        <v>120</v>
      </c>
      <c r="C329" s="5" t="str">
        <f t="shared" si="11"/>
        <v>120</v>
      </c>
    </row>
    <row r="330" spans="1:3" x14ac:dyDescent="0.3">
      <c r="A330" s="4" t="s">
        <v>341</v>
      </c>
      <c r="B330" s="3" t="str">
        <f t="shared" si="10"/>
        <v>120</v>
      </c>
      <c r="C330" s="5" t="str">
        <f t="shared" si="11"/>
        <v>120</v>
      </c>
    </row>
    <row r="331" spans="1:3" x14ac:dyDescent="0.3">
      <c r="A331" s="4" t="s">
        <v>342</v>
      </c>
      <c r="B331" s="3" t="str">
        <f t="shared" si="10"/>
        <v>120</v>
      </c>
      <c r="C331" s="5" t="str">
        <f t="shared" si="11"/>
        <v>120</v>
      </c>
    </row>
    <row r="332" spans="1:3" x14ac:dyDescent="0.3">
      <c r="A332" s="4" t="s">
        <v>343</v>
      </c>
      <c r="B332" s="3" t="str">
        <f t="shared" si="10"/>
        <v>120</v>
      </c>
      <c r="C332" s="5" t="str">
        <f t="shared" si="11"/>
        <v>120</v>
      </c>
    </row>
    <row r="333" spans="1:3" x14ac:dyDescent="0.3">
      <c r="A333" s="4" t="s">
        <v>344</v>
      </c>
      <c r="B333" s="3" t="str">
        <f t="shared" si="10"/>
        <v>120</v>
      </c>
      <c r="C333" s="5" t="str">
        <f t="shared" si="11"/>
        <v>120</v>
      </c>
    </row>
    <row r="334" spans="1:3" x14ac:dyDescent="0.3">
      <c r="A334" s="4" t="s">
        <v>345</v>
      </c>
      <c r="B334" s="3" t="str">
        <f t="shared" si="10"/>
        <v>120</v>
      </c>
      <c r="C334" s="5" t="str">
        <f t="shared" si="11"/>
        <v>120</v>
      </c>
    </row>
    <row r="335" spans="1:3" x14ac:dyDescent="0.3">
      <c r="A335" s="4" t="s">
        <v>346</v>
      </c>
      <c r="B335" s="3" t="str">
        <f t="shared" si="10"/>
        <v>120</v>
      </c>
      <c r="C335" s="5" t="str">
        <f t="shared" si="11"/>
        <v>120</v>
      </c>
    </row>
    <row r="336" spans="1:3" x14ac:dyDescent="0.3">
      <c r="A336" s="4" t="s">
        <v>347</v>
      </c>
      <c r="B336" s="3" t="str">
        <f t="shared" si="10"/>
        <v>120</v>
      </c>
      <c r="C336" s="5" t="str">
        <f t="shared" si="11"/>
        <v>120</v>
      </c>
    </row>
    <row r="337" spans="1:3" x14ac:dyDescent="0.3">
      <c r="A337" s="4" t="s">
        <v>348</v>
      </c>
      <c r="B337" s="3" t="str">
        <f t="shared" si="10"/>
        <v>120</v>
      </c>
      <c r="C337" s="5" t="str">
        <f t="shared" si="11"/>
        <v>120</v>
      </c>
    </row>
    <row r="338" spans="1:3" x14ac:dyDescent="0.3">
      <c r="A338" s="4" t="s">
        <v>349</v>
      </c>
      <c r="B338" s="3" t="str">
        <f t="shared" si="10"/>
        <v>120</v>
      </c>
      <c r="C338" s="5" t="str">
        <f t="shared" si="11"/>
        <v>120</v>
      </c>
    </row>
    <row r="339" spans="1:3" x14ac:dyDescent="0.3">
      <c r="A339" s="4" t="s">
        <v>350</v>
      </c>
      <c r="B339" s="3" t="str">
        <f t="shared" si="10"/>
        <v>120</v>
      </c>
      <c r="C339" s="5" t="str">
        <f t="shared" si="11"/>
        <v>120</v>
      </c>
    </row>
    <row r="340" spans="1:3" x14ac:dyDescent="0.3">
      <c r="A340" s="4" t="s">
        <v>351</v>
      </c>
      <c r="B340" s="3" t="str">
        <f t="shared" si="10"/>
        <v>120</v>
      </c>
      <c r="C340" s="5" t="str">
        <f t="shared" si="11"/>
        <v>120</v>
      </c>
    </row>
    <row r="341" spans="1:3" x14ac:dyDescent="0.3">
      <c r="A341" s="4" t="s">
        <v>352</v>
      </c>
      <c r="B341" s="3" t="str">
        <f t="shared" si="10"/>
        <v>120</v>
      </c>
      <c r="C341" s="5" t="str">
        <f t="shared" si="11"/>
        <v>120</v>
      </c>
    </row>
    <row r="342" spans="1:3" x14ac:dyDescent="0.3">
      <c r="A342" s="4" t="s">
        <v>353</v>
      </c>
      <c r="B342" s="3" t="str">
        <f t="shared" si="10"/>
        <v>120</v>
      </c>
      <c r="C342" s="5" t="str">
        <f t="shared" si="11"/>
        <v>120</v>
      </c>
    </row>
    <row r="343" spans="1:3" x14ac:dyDescent="0.3">
      <c r="A343" s="4" t="s">
        <v>354</v>
      </c>
      <c r="B343" s="3" t="str">
        <f t="shared" si="10"/>
        <v>120</v>
      </c>
      <c r="C343" s="5" t="str">
        <f t="shared" si="11"/>
        <v>120</v>
      </c>
    </row>
    <row r="344" spans="1:3" x14ac:dyDescent="0.3">
      <c r="A344" s="4" t="s">
        <v>355</v>
      </c>
      <c r="B344" s="3" t="str">
        <f t="shared" si="10"/>
        <v>120</v>
      </c>
      <c r="C344" s="5" t="str">
        <f t="shared" si="11"/>
        <v>120</v>
      </c>
    </row>
    <row r="345" spans="1:3" x14ac:dyDescent="0.3">
      <c r="A345" s="4" t="s">
        <v>356</v>
      </c>
      <c r="B345" s="3" t="str">
        <f t="shared" si="10"/>
        <v>120</v>
      </c>
      <c r="C345" s="5" t="str">
        <f t="shared" si="11"/>
        <v>120</v>
      </c>
    </row>
    <row r="346" spans="1:3" x14ac:dyDescent="0.3">
      <c r="A346" s="4" t="s">
        <v>357</v>
      </c>
      <c r="B346" s="3" t="str">
        <f t="shared" si="10"/>
        <v>120</v>
      </c>
      <c r="C346" s="5" t="str">
        <f t="shared" si="11"/>
        <v>120</v>
      </c>
    </row>
    <row r="347" spans="1:3" x14ac:dyDescent="0.3">
      <c r="A347" s="4" t="s">
        <v>358</v>
      </c>
      <c r="B347" s="3" t="str">
        <f t="shared" si="10"/>
        <v>120</v>
      </c>
      <c r="C347" s="5" t="str">
        <f t="shared" si="11"/>
        <v>120</v>
      </c>
    </row>
    <row r="348" spans="1:3" x14ac:dyDescent="0.3">
      <c r="A348" s="4" t="s">
        <v>359</v>
      </c>
      <c r="B348" s="3" t="str">
        <f t="shared" si="10"/>
        <v>120</v>
      </c>
      <c r="C348" s="5" t="str">
        <f t="shared" si="11"/>
        <v>120</v>
      </c>
    </row>
    <row r="349" spans="1:3" x14ac:dyDescent="0.3">
      <c r="A349" s="4" t="s">
        <v>360</v>
      </c>
      <c r="B349" s="3" t="str">
        <f t="shared" si="10"/>
        <v>120</v>
      </c>
      <c r="C349" s="5" t="str">
        <f t="shared" si="11"/>
        <v>120</v>
      </c>
    </row>
    <row r="350" spans="1:3" x14ac:dyDescent="0.3">
      <c r="A350" s="4" t="s">
        <v>361</v>
      </c>
      <c r="B350" s="3" t="str">
        <f t="shared" si="10"/>
        <v>120</v>
      </c>
      <c r="C350" s="5" t="str">
        <f t="shared" si="11"/>
        <v>120</v>
      </c>
    </row>
    <row r="351" spans="1:3" x14ac:dyDescent="0.3">
      <c r="A351" s="4" t="s">
        <v>362</v>
      </c>
      <c r="B351" s="3" t="str">
        <f t="shared" si="10"/>
        <v>120</v>
      </c>
      <c r="C351" s="5" t="str">
        <f t="shared" si="11"/>
        <v>120</v>
      </c>
    </row>
    <row r="352" spans="1:3" x14ac:dyDescent="0.3">
      <c r="A352" s="4" t="s">
        <v>363</v>
      </c>
      <c r="B352" s="3" t="str">
        <f t="shared" si="10"/>
        <v>120</v>
      </c>
      <c r="C352" s="5" t="str">
        <f t="shared" si="11"/>
        <v>120</v>
      </c>
    </row>
    <row r="353" spans="1:3" x14ac:dyDescent="0.3">
      <c r="A353" s="4" t="s">
        <v>364</v>
      </c>
      <c r="B353" s="3" t="str">
        <f t="shared" si="10"/>
        <v>120</v>
      </c>
      <c r="C353" s="5" t="str">
        <f t="shared" si="11"/>
        <v>120</v>
      </c>
    </row>
    <row r="354" spans="1:3" x14ac:dyDescent="0.3">
      <c r="A354" s="4" t="s">
        <v>365</v>
      </c>
      <c r="B354" s="3" t="str">
        <f t="shared" si="10"/>
        <v>120</v>
      </c>
      <c r="C354" s="5" t="str">
        <f t="shared" si="11"/>
        <v>120</v>
      </c>
    </row>
    <row r="355" spans="1:3" x14ac:dyDescent="0.3">
      <c r="A355" s="4" t="s">
        <v>366</v>
      </c>
      <c r="B355" s="3" t="str">
        <f t="shared" si="10"/>
        <v>120</v>
      </c>
      <c r="C355" s="5" t="str">
        <f t="shared" si="11"/>
        <v>120</v>
      </c>
    </row>
    <row r="356" spans="1:3" x14ac:dyDescent="0.3">
      <c r="A356" s="4" t="s">
        <v>367</v>
      </c>
      <c r="B356" s="3" t="str">
        <f t="shared" si="10"/>
        <v>120</v>
      </c>
      <c r="C356" s="5" t="str">
        <f t="shared" si="11"/>
        <v>120</v>
      </c>
    </row>
    <row r="357" spans="1:3" x14ac:dyDescent="0.3">
      <c r="A357" s="4" t="s">
        <v>368</v>
      </c>
      <c r="B357" s="3" t="str">
        <f t="shared" si="10"/>
        <v>120</v>
      </c>
      <c r="C357" s="5" t="str">
        <f t="shared" si="11"/>
        <v>120</v>
      </c>
    </row>
    <row r="358" spans="1:3" x14ac:dyDescent="0.3">
      <c r="A358" s="4" t="s">
        <v>369</v>
      </c>
      <c r="B358" s="3" t="str">
        <f t="shared" si="10"/>
        <v>120</v>
      </c>
      <c r="C358" s="5" t="str">
        <f t="shared" si="11"/>
        <v>120</v>
      </c>
    </row>
    <row r="359" spans="1:3" x14ac:dyDescent="0.3">
      <c r="A359" s="4" t="s">
        <v>370</v>
      </c>
      <c r="B359" s="3" t="str">
        <f t="shared" si="10"/>
        <v>140</v>
      </c>
      <c r="C359" s="5" t="str">
        <f t="shared" si="11"/>
        <v>140</v>
      </c>
    </row>
    <row r="360" spans="1:3" x14ac:dyDescent="0.3">
      <c r="A360" s="4" t="s">
        <v>371</v>
      </c>
      <c r="B360" s="3" t="str">
        <f t="shared" si="10"/>
        <v>140</v>
      </c>
      <c r="C360" s="5" t="str">
        <f t="shared" si="11"/>
        <v>140</v>
      </c>
    </row>
    <row r="361" spans="1:3" x14ac:dyDescent="0.3">
      <c r="A361" s="4" t="s">
        <v>372</v>
      </c>
      <c r="B361" s="3" t="str">
        <f t="shared" si="10"/>
        <v>140</v>
      </c>
      <c r="C361" s="5" t="str">
        <f t="shared" si="11"/>
        <v>140</v>
      </c>
    </row>
    <row r="362" spans="1:3" x14ac:dyDescent="0.3">
      <c r="A362" s="4" t="s">
        <v>373</v>
      </c>
      <c r="B362" s="3" t="str">
        <f t="shared" si="10"/>
        <v>140</v>
      </c>
      <c r="C362" s="5" t="str">
        <f t="shared" si="11"/>
        <v>140</v>
      </c>
    </row>
    <row r="363" spans="1:3" x14ac:dyDescent="0.3">
      <c r="A363" s="4" t="s">
        <v>374</v>
      </c>
      <c r="B363" s="3" t="str">
        <f t="shared" si="10"/>
        <v>140</v>
      </c>
      <c r="C363" s="5" t="str">
        <f t="shared" si="11"/>
        <v>140</v>
      </c>
    </row>
    <row r="364" spans="1:3" x14ac:dyDescent="0.3">
      <c r="A364" s="4" t="s">
        <v>375</v>
      </c>
      <c r="B364" s="3" t="str">
        <f t="shared" si="10"/>
        <v>140</v>
      </c>
      <c r="C364" s="5" t="str">
        <f t="shared" si="11"/>
        <v>140</v>
      </c>
    </row>
    <row r="365" spans="1:3" x14ac:dyDescent="0.3">
      <c r="A365" s="4" t="s">
        <v>376</v>
      </c>
      <c r="B365" s="3" t="str">
        <f t="shared" si="10"/>
        <v>140</v>
      </c>
      <c r="C365" s="5" t="str">
        <f t="shared" si="11"/>
        <v>140</v>
      </c>
    </row>
    <row r="366" spans="1:3" x14ac:dyDescent="0.3">
      <c r="A366" s="4" t="s">
        <v>377</v>
      </c>
      <c r="B366" s="3" t="str">
        <f t="shared" si="10"/>
        <v>140</v>
      </c>
      <c r="C366" s="5" t="str">
        <f t="shared" si="11"/>
        <v>140</v>
      </c>
    </row>
    <row r="367" spans="1:3" x14ac:dyDescent="0.3">
      <c r="A367" s="4" t="s">
        <v>378</v>
      </c>
      <c r="B367" s="3" t="str">
        <f t="shared" si="10"/>
        <v>140</v>
      </c>
      <c r="C367" s="5" t="str">
        <f t="shared" si="11"/>
        <v>140</v>
      </c>
    </row>
    <row r="368" spans="1:3" x14ac:dyDescent="0.3">
      <c r="A368" s="4" t="s">
        <v>379</v>
      </c>
      <c r="B368" s="3" t="str">
        <f t="shared" si="10"/>
        <v>140</v>
      </c>
      <c r="C368" s="5" t="str">
        <f t="shared" si="11"/>
        <v>140</v>
      </c>
    </row>
    <row r="369" spans="1:3" x14ac:dyDescent="0.3">
      <c r="A369" s="4" t="s">
        <v>380</v>
      </c>
      <c r="B369" s="3" t="str">
        <f t="shared" si="10"/>
        <v>140</v>
      </c>
      <c r="C369" s="5" t="str">
        <f t="shared" si="11"/>
        <v>140</v>
      </c>
    </row>
    <row r="370" spans="1:3" x14ac:dyDescent="0.3">
      <c r="A370" s="4" t="s">
        <v>381</v>
      </c>
      <c r="B370" s="3" t="str">
        <f t="shared" si="10"/>
        <v>140</v>
      </c>
      <c r="C370" s="5" t="str">
        <f t="shared" si="11"/>
        <v>140</v>
      </c>
    </row>
    <row r="371" spans="1:3" x14ac:dyDescent="0.3">
      <c r="A371" s="4" t="s">
        <v>382</v>
      </c>
      <c r="B371" s="3" t="str">
        <f t="shared" si="10"/>
        <v>140</v>
      </c>
      <c r="C371" s="5" t="str">
        <f t="shared" si="11"/>
        <v>140</v>
      </c>
    </row>
    <row r="372" spans="1:3" x14ac:dyDescent="0.3">
      <c r="A372" s="4" t="s">
        <v>383</v>
      </c>
      <c r="B372" s="3" t="str">
        <f t="shared" si="10"/>
        <v>140</v>
      </c>
      <c r="C372" s="5" t="str">
        <f t="shared" si="11"/>
        <v>140</v>
      </c>
    </row>
    <row r="373" spans="1:3" x14ac:dyDescent="0.3">
      <c r="A373" s="4" t="s">
        <v>384</v>
      </c>
      <c r="B373" s="3" t="str">
        <f t="shared" si="10"/>
        <v>140</v>
      </c>
      <c r="C373" s="5" t="str">
        <f t="shared" si="11"/>
        <v>140</v>
      </c>
    </row>
    <row r="374" spans="1:3" x14ac:dyDescent="0.3">
      <c r="A374" s="4" t="s">
        <v>385</v>
      </c>
      <c r="B374" s="3" t="str">
        <f t="shared" si="10"/>
        <v>140</v>
      </c>
      <c r="C374" s="5" t="str">
        <f t="shared" si="11"/>
        <v>140</v>
      </c>
    </row>
    <row r="375" spans="1:3" x14ac:dyDescent="0.3">
      <c r="A375" s="4" t="s">
        <v>386</v>
      </c>
      <c r="B375" s="3" t="str">
        <f t="shared" si="10"/>
        <v>140</v>
      </c>
      <c r="C375" s="5" t="str">
        <f t="shared" si="11"/>
        <v>140</v>
      </c>
    </row>
    <row r="376" spans="1:3" x14ac:dyDescent="0.3">
      <c r="A376" s="4" t="s">
        <v>387</v>
      </c>
      <c r="B376" s="3" t="str">
        <f t="shared" si="10"/>
        <v>140</v>
      </c>
      <c r="C376" s="5" t="str">
        <f t="shared" si="11"/>
        <v>140</v>
      </c>
    </row>
    <row r="377" spans="1:3" x14ac:dyDescent="0.3">
      <c r="A377" s="4" t="s">
        <v>388</v>
      </c>
      <c r="B377" s="3" t="str">
        <f t="shared" si="10"/>
        <v>140</v>
      </c>
      <c r="C377" s="5" t="str">
        <f t="shared" si="11"/>
        <v>140</v>
      </c>
    </row>
    <row r="378" spans="1:3" x14ac:dyDescent="0.3">
      <c r="A378" s="4" t="s">
        <v>389</v>
      </c>
      <c r="B378" s="3" t="str">
        <f t="shared" si="10"/>
        <v>140</v>
      </c>
      <c r="C378" s="5" t="str">
        <f t="shared" si="11"/>
        <v>140</v>
      </c>
    </row>
    <row r="379" spans="1:3" x14ac:dyDescent="0.3">
      <c r="A379" s="4" t="s">
        <v>390</v>
      </c>
      <c r="B379" s="3" t="str">
        <f t="shared" si="10"/>
        <v>140</v>
      </c>
      <c r="C379" s="5" t="str">
        <f t="shared" si="11"/>
        <v>140</v>
      </c>
    </row>
    <row r="380" spans="1:3" x14ac:dyDescent="0.3">
      <c r="A380" s="4" t="s">
        <v>391</v>
      </c>
      <c r="B380" s="3" t="str">
        <f t="shared" si="10"/>
        <v>140</v>
      </c>
      <c r="C380" s="5" t="str">
        <f t="shared" si="11"/>
        <v>140</v>
      </c>
    </row>
    <row r="381" spans="1:3" x14ac:dyDescent="0.3">
      <c r="A381" s="4" t="s">
        <v>392</v>
      </c>
      <c r="B381" s="3" t="str">
        <f t="shared" si="10"/>
        <v>140</v>
      </c>
      <c r="C381" s="5" t="str">
        <f t="shared" si="11"/>
        <v>140</v>
      </c>
    </row>
    <row r="382" spans="1:3" x14ac:dyDescent="0.3">
      <c r="A382" s="4" t="s">
        <v>393</v>
      </c>
      <c r="B382" s="3" t="str">
        <f t="shared" si="10"/>
        <v>140</v>
      </c>
      <c r="C382" s="5" t="str">
        <f t="shared" si="11"/>
        <v>140</v>
      </c>
    </row>
    <row r="383" spans="1:3" x14ac:dyDescent="0.3">
      <c r="A383" s="4" t="s">
        <v>394</v>
      </c>
      <c r="B383" s="3" t="str">
        <f t="shared" si="10"/>
        <v>140</v>
      </c>
      <c r="C383" s="5" t="str">
        <f t="shared" si="11"/>
        <v>140</v>
      </c>
    </row>
    <row r="384" spans="1:3" x14ac:dyDescent="0.3">
      <c r="A384" s="4" t="s">
        <v>395</v>
      </c>
      <c r="B384" s="3" t="str">
        <f t="shared" si="10"/>
        <v>140</v>
      </c>
      <c r="C384" s="5" t="str">
        <f t="shared" si="11"/>
        <v>140</v>
      </c>
    </row>
    <row r="385" spans="1:3" x14ac:dyDescent="0.3">
      <c r="A385" s="4" t="s">
        <v>396</v>
      </c>
      <c r="B385" s="3" t="str">
        <f t="shared" si="10"/>
        <v>140</v>
      </c>
      <c r="C385" s="5" t="str">
        <f t="shared" si="11"/>
        <v>140</v>
      </c>
    </row>
    <row r="386" spans="1:3" x14ac:dyDescent="0.3">
      <c r="A386" s="4" t="s">
        <v>397</v>
      </c>
      <c r="B386" s="3" t="str">
        <f t="shared" si="10"/>
        <v>140</v>
      </c>
      <c r="C386" s="5" t="str">
        <f t="shared" si="11"/>
        <v>140</v>
      </c>
    </row>
    <row r="387" spans="1:3" x14ac:dyDescent="0.3">
      <c r="A387" s="4" t="s">
        <v>398</v>
      </c>
      <c r="B387" s="3" t="str">
        <f t="shared" si="10"/>
        <v>140</v>
      </c>
      <c r="C387" s="5" t="str">
        <f t="shared" si="11"/>
        <v>140</v>
      </c>
    </row>
    <row r="388" spans="1:3" x14ac:dyDescent="0.3">
      <c r="A388" s="4" t="s">
        <v>399</v>
      </c>
      <c r="B388" s="3" t="str">
        <f t="shared" ref="B388:B433" si="12">IF(LEFT(A388, 1) = "U", MID(A388, 2, 3), MID(A388, 3, 3))</f>
        <v>140</v>
      </c>
      <c r="C388" s="5" t="str">
        <f t="shared" ref="C388:C433" si="13">B388</f>
        <v>140</v>
      </c>
    </row>
    <row r="389" spans="1:3" x14ac:dyDescent="0.3">
      <c r="A389" s="4" t="s">
        <v>400</v>
      </c>
      <c r="B389" s="3" t="str">
        <f t="shared" si="12"/>
        <v>140</v>
      </c>
      <c r="C389" s="5" t="str">
        <f t="shared" si="13"/>
        <v>140</v>
      </c>
    </row>
    <row r="390" spans="1:3" x14ac:dyDescent="0.3">
      <c r="A390" s="4" t="s">
        <v>401</v>
      </c>
      <c r="B390" s="3" t="str">
        <f t="shared" si="12"/>
        <v>140</v>
      </c>
      <c r="C390" s="5" t="str">
        <f t="shared" si="13"/>
        <v>140</v>
      </c>
    </row>
    <row r="391" spans="1:3" x14ac:dyDescent="0.3">
      <c r="A391" s="4" t="s">
        <v>402</v>
      </c>
      <c r="B391" s="3" t="str">
        <f t="shared" si="12"/>
        <v>140</v>
      </c>
      <c r="C391" s="5" t="str">
        <f t="shared" si="13"/>
        <v>140</v>
      </c>
    </row>
    <row r="392" spans="1:3" x14ac:dyDescent="0.3">
      <c r="A392" s="4" t="s">
        <v>403</v>
      </c>
      <c r="B392" s="3" t="str">
        <f t="shared" si="12"/>
        <v>140</v>
      </c>
      <c r="C392" s="5" t="str">
        <f t="shared" si="13"/>
        <v>140</v>
      </c>
    </row>
    <row r="393" spans="1:3" x14ac:dyDescent="0.3">
      <c r="A393" s="4" t="s">
        <v>404</v>
      </c>
      <c r="B393" s="3" t="str">
        <f t="shared" si="12"/>
        <v>140</v>
      </c>
      <c r="C393" s="5" t="str">
        <f t="shared" si="13"/>
        <v>140</v>
      </c>
    </row>
    <row r="394" spans="1:3" x14ac:dyDescent="0.3">
      <c r="A394" s="4" t="s">
        <v>405</v>
      </c>
      <c r="B394" s="3" t="str">
        <f t="shared" si="12"/>
        <v>140</v>
      </c>
      <c r="C394" s="5" t="str">
        <f t="shared" si="13"/>
        <v>140</v>
      </c>
    </row>
    <row r="395" spans="1:3" x14ac:dyDescent="0.3">
      <c r="A395" s="4" t="s">
        <v>406</v>
      </c>
      <c r="B395" s="3" t="str">
        <f t="shared" si="12"/>
        <v>140</v>
      </c>
      <c r="C395" s="5" t="str">
        <f t="shared" si="13"/>
        <v>140</v>
      </c>
    </row>
    <row r="396" spans="1:3" x14ac:dyDescent="0.3">
      <c r="A396" s="4" t="s">
        <v>407</v>
      </c>
      <c r="B396" s="3" t="str">
        <f t="shared" si="12"/>
        <v>140</v>
      </c>
      <c r="C396" s="5" t="str">
        <f t="shared" si="13"/>
        <v>140</v>
      </c>
    </row>
    <row r="397" spans="1:3" x14ac:dyDescent="0.3">
      <c r="A397" s="4" t="s">
        <v>408</v>
      </c>
      <c r="B397" s="3" t="str">
        <f t="shared" si="12"/>
        <v>140</v>
      </c>
      <c r="C397" s="5" t="str">
        <f t="shared" si="13"/>
        <v>140</v>
      </c>
    </row>
    <row r="398" spans="1:3" x14ac:dyDescent="0.3">
      <c r="A398" s="4" t="s">
        <v>409</v>
      </c>
      <c r="B398" s="3" t="str">
        <f t="shared" si="12"/>
        <v>140</v>
      </c>
      <c r="C398" s="5" t="str">
        <f t="shared" si="13"/>
        <v>140</v>
      </c>
    </row>
    <row r="399" spans="1:3" x14ac:dyDescent="0.3">
      <c r="A399" s="4" t="s">
        <v>410</v>
      </c>
      <c r="B399" s="3" t="str">
        <f t="shared" si="12"/>
        <v>140</v>
      </c>
      <c r="C399" s="5" t="str">
        <f t="shared" si="13"/>
        <v>140</v>
      </c>
    </row>
    <row r="400" spans="1:3" x14ac:dyDescent="0.3">
      <c r="A400" s="4" t="s">
        <v>411</v>
      </c>
      <c r="B400" s="3" t="str">
        <f t="shared" si="12"/>
        <v>140</v>
      </c>
      <c r="C400" s="5" t="str">
        <f t="shared" si="13"/>
        <v>140</v>
      </c>
    </row>
    <row r="401" spans="1:3" x14ac:dyDescent="0.3">
      <c r="A401" s="4" t="s">
        <v>412</v>
      </c>
      <c r="B401" s="3" t="str">
        <f t="shared" si="12"/>
        <v>140</v>
      </c>
      <c r="C401" s="5" t="str">
        <f t="shared" si="13"/>
        <v>140</v>
      </c>
    </row>
    <row r="402" spans="1:3" x14ac:dyDescent="0.3">
      <c r="A402" s="4" t="s">
        <v>413</v>
      </c>
      <c r="B402" s="3" t="str">
        <f t="shared" si="12"/>
        <v>140</v>
      </c>
      <c r="C402" s="5" t="str">
        <f t="shared" si="13"/>
        <v>140</v>
      </c>
    </row>
    <row r="403" spans="1:3" x14ac:dyDescent="0.3">
      <c r="A403" s="4" t="s">
        <v>414</v>
      </c>
      <c r="B403" s="3" t="str">
        <f t="shared" si="12"/>
        <v>140</v>
      </c>
      <c r="C403" s="5" t="str">
        <f t="shared" si="13"/>
        <v>140</v>
      </c>
    </row>
    <row r="404" spans="1:3" x14ac:dyDescent="0.3">
      <c r="A404" s="4" t="s">
        <v>415</v>
      </c>
      <c r="B404" s="3" t="str">
        <f t="shared" si="12"/>
        <v>140</v>
      </c>
      <c r="C404" s="5" t="str">
        <f t="shared" si="13"/>
        <v>140</v>
      </c>
    </row>
    <row r="405" spans="1:3" x14ac:dyDescent="0.3">
      <c r="A405" s="4" t="s">
        <v>416</v>
      </c>
      <c r="B405" s="3" t="str">
        <f t="shared" si="12"/>
        <v>140</v>
      </c>
      <c r="C405" s="5" t="str">
        <f t="shared" si="13"/>
        <v>140</v>
      </c>
    </row>
    <row r="406" spans="1:3" x14ac:dyDescent="0.3">
      <c r="A406" s="4" t="s">
        <v>417</v>
      </c>
      <c r="B406" s="3" t="str">
        <f t="shared" si="12"/>
        <v>140</v>
      </c>
      <c r="C406" s="5" t="str">
        <f t="shared" si="13"/>
        <v>140</v>
      </c>
    </row>
    <row r="407" spans="1:3" x14ac:dyDescent="0.3">
      <c r="A407" s="4" t="s">
        <v>418</v>
      </c>
      <c r="B407" s="3" t="str">
        <f t="shared" si="12"/>
        <v>140</v>
      </c>
      <c r="C407" s="5" t="str">
        <f t="shared" si="13"/>
        <v>140</v>
      </c>
    </row>
    <row r="408" spans="1:3" x14ac:dyDescent="0.3">
      <c r="A408" s="4" t="s">
        <v>419</v>
      </c>
      <c r="B408" s="3" t="str">
        <f t="shared" si="12"/>
        <v>140</v>
      </c>
      <c r="C408" s="5" t="str">
        <f t="shared" si="13"/>
        <v>140</v>
      </c>
    </row>
    <row r="409" spans="1:3" x14ac:dyDescent="0.3">
      <c r="A409" s="4" t="s">
        <v>420</v>
      </c>
      <c r="B409" s="3" t="str">
        <f t="shared" si="12"/>
        <v>140</v>
      </c>
      <c r="C409" s="5" t="str">
        <f t="shared" si="13"/>
        <v>140</v>
      </c>
    </row>
    <row r="410" spans="1:3" x14ac:dyDescent="0.3">
      <c r="A410" s="4" t="s">
        <v>421</v>
      </c>
      <c r="B410" s="3" t="str">
        <f t="shared" si="12"/>
        <v>140</v>
      </c>
      <c r="C410" s="5" t="str">
        <f t="shared" si="13"/>
        <v>140</v>
      </c>
    </row>
    <row r="411" spans="1:3" x14ac:dyDescent="0.3">
      <c r="A411" s="4" t="s">
        <v>422</v>
      </c>
      <c r="B411" s="3" t="str">
        <f t="shared" si="12"/>
        <v>140</v>
      </c>
      <c r="C411" s="5" t="str">
        <f t="shared" si="13"/>
        <v>140</v>
      </c>
    </row>
    <row r="412" spans="1:3" x14ac:dyDescent="0.3">
      <c r="A412" s="4" t="s">
        <v>423</v>
      </c>
      <c r="B412" s="3" t="str">
        <f t="shared" si="12"/>
        <v>140</v>
      </c>
      <c r="C412" s="5" t="str">
        <f t="shared" si="13"/>
        <v>140</v>
      </c>
    </row>
    <row r="413" spans="1:3" x14ac:dyDescent="0.3">
      <c r="A413" s="4" t="s">
        <v>424</v>
      </c>
      <c r="B413" s="3" t="str">
        <f t="shared" si="12"/>
        <v>140</v>
      </c>
      <c r="C413" s="5" t="str">
        <f t="shared" si="13"/>
        <v>140</v>
      </c>
    </row>
    <row r="414" spans="1:3" x14ac:dyDescent="0.3">
      <c r="A414" s="4" t="s">
        <v>425</v>
      </c>
      <c r="B414" s="3" t="str">
        <f t="shared" si="12"/>
        <v>140</v>
      </c>
      <c r="C414" s="5" t="str">
        <f t="shared" si="13"/>
        <v>140</v>
      </c>
    </row>
    <row r="415" spans="1:3" x14ac:dyDescent="0.3">
      <c r="A415" s="4" t="s">
        <v>426</v>
      </c>
      <c r="B415" s="3" t="str">
        <f t="shared" si="12"/>
        <v>140</v>
      </c>
      <c r="C415" s="5" t="str">
        <f t="shared" si="13"/>
        <v>140</v>
      </c>
    </row>
    <row r="416" spans="1:3" x14ac:dyDescent="0.3">
      <c r="A416" s="4" t="s">
        <v>427</v>
      </c>
      <c r="B416" s="3" t="str">
        <f t="shared" si="12"/>
        <v>140</v>
      </c>
      <c r="C416" s="5" t="str">
        <f t="shared" si="13"/>
        <v>140</v>
      </c>
    </row>
    <row r="417" spans="1:3" x14ac:dyDescent="0.3">
      <c r="A417" s="4" t="s">
        <v>428</v>
      </c>
      <c r="B417" s="3" t="str">
        <f t="shared" si="12"/>
        <v>140</v>
      </c>
      <c r="C417" s="5" t="str">
        <f t="shared" si="13"/>
        <v>140</v>
      </c>
    </row>
    <row r="418" spans="1:3" x14ac:dyDescent="0.3">
      <c r="A418" s="4" t="s">
        <v>429</v>
      </c>
      <c r="B418" s="3" t="str">
        <f t="shared" si="12"/>
        <v>140</v>
      </c>
      <c r="C418" s="5" t="str">
        <f t="shared" si="13"/>
        <v>140</v>
      </c>
    </row>
    <row r="419" spans="1:3" x14ac:dyDescent="0.3">
      <c r="A419" s="4" t="s">
        <v>430</v>
      </c>
      <c r="B419" s="3" t="str">
        <f t="shared" si="12"/>
        <v>140</v>
      </c>
      <c r="C419" s="5" t="str">
        <f t="shared" si="13"/>
        <v>140</v>
      </c>
    </row>
    <row r="420" spans="1:3" x14ac:dyDescent="0.3">
      <c r="A420" s="4" t="s">
        <v>431</v>
      </c>
      <c r="B420" s="3" t="str">
        <f t="shared" si="12"/>
        <v>140</v>
      </c>
      <c r="C420" s="5" t="str">
        <f t="shared" si="13"/>
        <v>140</v>
      </c>
    </row>
    <row r="421" spans="1:3" x14ac:dyDescent="0.3">
      <c r="A421" s="4" t="s">
        <v>432</v>
      </c>
      <c r="B421" s="3" t="str">
        <f t="shared" si="12"/>
        <v>140</v>
      </c>
      <c r="C421" s="5" t="str">
        <f t="shared" si="13"/>
        <v>140</v>
      </c>
    </row>
    <row r="422" spans="1:3" x14ac:dyDescent="0.3">
      <c r="A422" s="4" t="s">
        <v>433</v>
      </c>
      <c r="B422" s="3" t="str">
        <f t="shared" si="12"/>
        <v>140</v>
      </c>
      <c r="C422" s="5" t="str">
        <f t="shared" si="13"/>
        <v>140</v>
      </c>
    </row>
    <row r="423" spans="1:3" x14ac:dyDescent="0.3">
      <c r="A423" s="4" t="s">
        <v>434</v>
      </c>
      <c r="B423" s="3" t="str">
        <f t="shared" si="12"/>
        <v>140</v>
      </c>
      <c r="C423" s="5" t="str">
        <f t="shared" si="13"/>
        <v>140</v>
      </c>
    </row>
    <row r="424" spans="1:3" x14ac:dyDescent="0.3">
      <c r="A424" s="4" t="s">
        <v>435</v>
      </c>
      <c r="B424" s="3" t="str">
        <f t="shared" si="12"/>
        <v>140</v>
      </c>
      <c r="C424" s="5" t="str">
        <f t="shared" si="13"/>
        <v>140</v>
      </c>
    </row>
    <row r="425" spans="1:3" x14ac:dyDescent="0.3">
      <c r="A425" s="4" t="s">
        <v>436</v>
      </c>
      <c r="B425" s="3" t="str">
        <f t="shared" si="12"/>
        <v>140</v>
      </c>
      <c r="C425" s="5" t="str">
        <f t="shared" si="13"/>
        <v>140</v>
      </c>
    </row>
    <row r="426" spans="1:3" x14ac:dyDescent="0.3">
      <c r="A426" s="4" t="s">
        <v>437</v>
      </c>
      <c r="B426" s="3" t="str">
        <f t="shared" si="12"/>
        <v>140</v>
      </c>
      <c r="C426" s="5" t="str">
        <f t="shared" si="13"/>
        <v>140</v>
      </c>
    </row>
    <row r="427" spans="1:3" x14ac:dyDescent="0.3">
      <c r="A427" s="4" t="s">
        <v>438</v>
      </c>
      <c r="B427" s="3" t="str">
        <f t="shared" si="12"/>
        <v>140</v>
      </c>
      <c r="C427" s="5" t="str">
        <f t="shared" si="13"/>
        <v>140</v>
      </c>
    </row>
    <row r="428" spans="1:3" x14ac:dyDescent="0.3">
      <c r="A428" s="4" t="s">
        <v>439</v>
      </c>
      <c r="B428" s="3" t="str">
        <f t="shared" si="12"/>
        <v>140</v>
      </c>
      <c r="C428" s="5" t="str">
        <f t="shared" si="13"/>
        <v>140</v>
      </c>
    </row>
    <row r="429" spans="1:3" x14ac:dyDescent="0.3">
      <c r="A429" s="4" t="s">
        <v>440</v>
      </c>
      <c r="B429" s="3" t="str">
        <f t="shared" si="12"/>
        <v>140</v>
      </c>
      <c r="C429" s="5" t="str">
        <f t="shared" si="13"/>
        <v>140</v>
      </c>
    </row>
    <row r="430" spans="1:3" x14ac:dyDescent="0.3">
      <c r="A430" s="4" t="s">
        <v>441</v>
      </c>
      <c r="B430" s="3" t="str">
        <f t="shared" si="12"/>
        <v>140</v>
      </c>
      <c r="C430" s="5" t="str">
        <f t="shared" si="13"/>
        <v>140</v>
      </c>
    </row>
    <row r="431" spans="1:3" x14ac:dyDescent="0.3">
      <c r="A431" s="4" t="s">
        <v>442</v>
      </c>
      <c r="B431" s="3" t="str">
        <f t="shared" si="12"/>
        <v>140</v>
      </c>
      <c r="C431" s="5" t="str">
        <f t="shared" si="13"/>
        <v>140</v>
      </c>
    </row>
    <row r="432" spans="1:3" x14ac:dyDescent="0.3">
      <c r="A432" s="4" t="s">
        <v>443</v>
      </c>
      <c r="B432" s="3" t="str">
        <f t="shared" si="12"/>
        <v>140</v>
      </c>
      <c r="C432" s="5" t="str">
        <f t="shared" si="13"/>
        <v>140</v>
      </c>
    </row>
    <row r="433" spans="1:3" ht="14.5" thickBot="1" x14ac:dyDescent="0.35">
      <c r="A433" s="8" t="s">
        <v>444</v>
      </c>
      <c r="B433" s="6" t="str">
        <f t="shared" si="12"/>
        <v>140</v>
      </c>
      <c r="C433" s="7" t="str">
        <f t="shared" si="13"/>
        <v>140</v>
      </c>
    </row>
    <row r="434" spans="1:3" ht="15" thickTop="1" thickBot="1" x14ac:dyDescent="0.35">
      <c r="A434" s="8" t="s">
        <v>635</v>
      </c>
      <c r="B434" s="6" t="str">
        <f t="shared" ref="B434" si="14">IF(LEFT(A434, 1) = "U", MID(A434, 2, 3), MID(A434, 3, 3))</f>
        <v>150</v>
      </c>
      <c r="C434" s="7" t="str">
        <f t="shared" ref="C434" si="15">B434</f>
        <v>150</v>
      </c>
    </row>
    <row r="435" spans="1:3" ht="14.5" thickTop="1" x14ac:dyDescent="0.3"/>
  </sheetData>
  <mergeCells count="1">
    <mergeCell ref="A1:C1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GA-有MotorGap</vt:lpstr>
      <vt:lpstr>规格表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2023-01-07T13:51:19Z</dcterms:modified>
</cp:coreProperties>
</file>