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00-Code\PVSolution\CADToolBox\CADToolBox.Resource\Template\"/>
    </mc:Choice>
  </mc:AlternateContent>
  <xr:revisionPtr revIDLastSave="0" documentId="13_ncr:1_{B9B9C960-0CCD-462B-9ACD-898ABFBF4ADD}" xr6:coauthVersionLast="47" xr6:coauthVersionMax="47" xr10:uidLastSave="{00000000-0000-0000-0000-000000000000}"/>
  <bookViews>
    <workbookView xWindow="-110" yWindow="-110" windowWidth="38620" windowHeight="21100" activeTab="4" xr2:uid="{00000000-000D-0000-FFFF-FFFF00000000}"/>
  </bookViews>
  <sheets>
    <sheet name="立柱截面汇总" sheetId="1" r:id="rId1"/>
    <sheet name="主梁截面汇总" sheetId="7" r:id="rId2"/>
    <sheet name="热轧H型钢" sheetId="2" r:id="rId3"/>
    <sheet name="高频焊H型钢" sheetId="3" r:id="rId4"/>
    <sheet name="美标W型钢" sheetId="4" r:id="rId5"/>
    <sheet name="圆钢管" sheetId="5" r:id="rId6"/>
    <sheet name="热轧槽钢" sheetId="6" r:id="rId7"/>
    <sheet name="热轧角钢" sheetId="8" r:id="rId8"/>
  </sheets>
  <functionGroups builtInGroupCount="19"/>
  <definedNames>
    <definedName name="_xlnm._FilterDatabase" localSheetId="5" hidden="1">圆钢管!$E$1:$E$292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8" l="1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3" i="8"/>
  <c r="K54" i="8"/>
  <c r="K55" i="8"/>
  <c r="K56" i="8"/>
  <c r="K57" i="8"/>
  <c r="K58" i="8"/>
  <c r="K59" i="8"/>
  <c r="K60" i="8"/>
  <c r="K61" i="8"/>
  <c r="K62" i="8"/>
  <c r="K63" i="8"/>
  <c r="K64" i="8"/>
  <c r="K65" i="8"/>
  <c r="K66" i="8"/>
  <c r="K67" i="8"/>
  <c r="K68" i="8"/>
  <c r="K69" i="8"/>
  <c r="K70" i="8"/>
  <c r="K71" i="8"/>
  <c r="K72" i="8"/>
  <c r="K73" i="8"/>
  <c r="K74" i="8"/>
  <c r="K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4" i="8"/>
  <c r="F117" i="8"/>
  <c r="C117" i="8"/>
  <c r="F116" i="8"/>
  <c r="C116" i="8"/>
  <c r="F115" i="8"/>
  <c r="C115" i="8"/>
  <c r="F114" i="8"/>
  <c r="C114" i="8"/>
  <c r="F113" i="8"/>
  <c r="C113" i="8"/>
  <c r="F112" i="8"/>
  <c r="C112" i="8"/>
  <c r="F111" i="8"/>
  <c r="C111" i="8"/>
  <c r="F110" i="8"/>
  <c r="C110" i="8"/>
  <c r="F109" i="8"/>
  <c r="C109" i="8"/>
  <c r="F108" i="8"/>
  <c r="C108" i="8"/>
  <c r="F107" i="8"/>
  <c r="C107" i="8"/>
  <c r="F106" i="8"/>
  <c r="C106" i="8"/>
  <c r="F105" i="8"/>
  <c r="C105" i="8"/>
  <c r="F104" i="8"/>
  <c r="C104" i="8"/>
  <c r="F103" i="8"/>
  <c r="C103" i="8"/>
  <c r="F102" i="8"/>
  <c r="C102" i="8"/>
  <c r="F101" i="8"/>
  <c r="C101" i="8"/>
  <c r="F100" i="8"/>
  <c r="C100" i="8"/>
  <c r="F99" i="8"/>
  <c r="C99" i="8"/>
  <c r="F98" i="8"/>
  <c r="C98" i="8"/>
  <c r="F97" i="8"/>
  <c r="C97" i="8"/>
  <c r="F96" i="8"/>
  <c r="C96" i="8"/>
  <c r="F95" i="8"/>
  <c r="C95" i="8"/>
  <c r="F94" i="8"/>
  <c r="C94" i="8"/>
  <c r="F93" i="8"/>
  <c r="C93" i="8"/>
  <c r="F92" i="8"/>
  <c r="C92" i="8"/>
  <c r="F91" i="8"/>
  <c r="C91" i="8"/>
  <c r="F90" i="8"/>
  <c r="C90" i="8"/>
  <c r="F89" i="8"/>
  <c r="C89" i="8"/>
  <c r="F88" i="8"/>
  <c r="C88" i="8"/>
  <c r="F87" i="8"/>
  <c r="C87" i="8"/>
  <c r="F86" i="8"/>
  <c r="C86" i="8"/>
  <c r="F85" i="8"/>
  <c r="C85" i="8"/>
  <c r="F84" i="8"/>
  <c r="C84" i="8"/>
  <c r="F83" i="8"/>
  <c r="C83" i="8"/>
  <c r="F82" i="8"/>
  <c r="C82" i="8"/>
  <c r="F81" i="8"/>
  <c r="C81" i="8"/>
  <c r="F80" i="8"/>
  <c r="C80" i="8"/>
  <c r="F79" i="8"/>
  <c r="C79" i="8"/>
  <c r="F78" i="8"/>
  <c r="C78" i="8"/>
  <c r="F77" i="8"/>
  <c r="C77" i="8"/>
  <c r="F76" i="8"/>
  <c r="C76" i="8"/>
  <c r="F75" i="8"/>
  <c r="C75" i="8"/>
  <c r="F74" i="8"/>
  <c r="C74" i="8"/>
  <c r="F73" i="8"/>
  <c r="C73" i="8"/>
  <c r="F72" i="8"/>
  <c r="C72" i="8"/>
  <c r="F71" i="8"/>
  <c r="C71" i="8"/>
  <c r="F70" i="8"/>
  <c r="C70" i="8"/>
  <c r="F69" i="8"/>
  <c r="C69" i="8"/>
  <c r="F68" i="8"/>
  <c r="C68" i="8"/>
  <c r="F67" i="8"/>
  <c r="C67" i="8"/>
  <c r="F66" i="8"/>
  <c r="C66" i="8"/>
  <c r="F65" i="8"/>
  <c r="C65" i="8"/>
  <c r="F64" i="8"/>
  <c r="C64" i="8"/>
  <c r="F63" i="8"/>
  <c r="C63" i="8"/>
  <c r="F62" i="8"/>
  <c r="C62" i="8"/>
  <c r="F61" i="8"/>
  <c r="C61" i="8"/>
  <c r="F60" i="8"/>
  <c r="C60" i="8"/>
  <c r="F59" i="8"/>
  <c r="C59" i="8"/>
  <c r="F58" i="8"/>
  <c r="C58" i="8"/>
  <c r="F57" i="8"/>
  <c r="C57" i="8"/>
  <c r="F56" i="8"/>
  <c r="C56" i="8"/>
  <c r="F55" i="8"/>
  <c r="C55" i="8"/>
  <c r="F54" i="8"/>
  <c r="C54" i="8"/>
  <c r="F53" i="8"/>
  <c r="C53" i="8"/>
  <c r="F52" i="8"/>
  <c r="C52" i="8"/>
  <c r="F51" i="8"/>
  <c r="C51" i="8"/>
  <c r="F50" i="8"/>
  <c r="C50" i="8"/>
  <c r="F49" i="8"/>
  <c r="C49" i="8"/>
  <c r="F48" i="8"/>
  <c r="C48" i="8"/>
  <c r="F47" i="8"/>
  <c r="C47" i="8"/>
  <c r="F46" i="8"/>
  <c r="C46" i="8"/>
  <c r="F45" i="8"/>
  <c r="C45" i="8"/>
  <c r="F44" i="8"/>
  <c r="C44" i="8"/>
  <c r="F43" i="8"/>
  <c r="C43" i="8"/>
  <c r="F42" i="8"/>
  <c r="C42" i="8"/>
  <c r="F41" i="8"/>
  <c r="C41" i="8"/>
  <c r="F40" i="8"/>
  <c r="C40" i="8"/>
  <c r="F39" i="8"/>
  <c r="C39" i="8"/>
  <c r="F38" i="8"/>
  <c r="C38" i="8"/>
  <c r="F37" i="8"/>
  <c r="C37" i="8"/>
  <c r="F36" i="8"/>
  <c r="C36" i="8"/>
  <c r="F35" i="8"/>
  <c r="C35" i="8"/>
  <c r="F34" i="8"/>
  <c r="C34" i="8"/>
  <c r="F33" i="8"/>
  <c r="C33" i="8"/>
  <c r="F32" i="8"/>
  <c r="C32" i="8"/>
  <c r="F31" i="8"/>
  <c r="C31" i="8"/>
  <c r="F30" i="8"/>
  <c r="C30" i="8"/>
  <c r="F29" i="8"/>
  <c r="C29" i="8"/>
  <c r="F28" i="8"/>
  <c r="C28" i="8"/>
  <c r="F27" i="8"/>
  <c r="C27" i="8"/>
  <c r="F26" i="8"/>
  <c r="C26" i="8"/>
  <c r="F25" i="8"/>
  <c r="C25" i="8"/>
  <c r="F24" i="8"/>
  <c r="C24" i="8"/>
  <c r="F23" i="8"/>
  <c r="C23" i="8"/>
  <c r="F22" i="8"/>
  <c r="C22" i="8"/>
  <c r="F21" i="8"/>
  <c r="C21" i="8"/>
  <c r="F20" i="8"/>
  <c r="C20" i="8"/>
  <c r="F19" i="8"/>
  <c r="C19" i="8"/>
  <c r="F18" i="8"/>
  <c r="C18" i="8"/>
  <c r="F17" i="8"/>
  <c r="C17" i="8"/>
  <c r="F16" i="8"/>
  <c r="C16" i="8"/>
  <c r="F15" i="8"/>
  <c r="C15" i="8"/>
  <c r="F14" i="8"/>
  <c r="C14" i="8"/>
  <c r="F13" i="8"/>
  <c r="C13" i="8"/>
  <c r="F12" i="8"/>
  <c r="C12" i="8"/>
  <c r="F11" i="8"/>
  <c r="C11" i="8"/>
  <c r="F10" i="8"/>
  <c r="C10" i="8"/>
  <c r="F9" i="8"/>
  <c r="C9" i="8"/>
  <c r="F8" i="8"/>
  <c r="C8" i="8"/>
  <c r="F7" i="8"/>
  <c r="C7" i="8"/>
  <c r="F6" i="8"/>
  <c r="C6" i="8"/>
  <c r="F5" i="8"/>
  <c r="C5" i="8"/>
  <c r="F4" i="8"/>
  <c r="C4" i="8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A29" i="7" l="1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3" i="7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3" i="5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3" i="3"/>
  <c r="G3" i="2" a="1"/>
  <c r="G14" i="2" a="1"/>
  <c r="G58" i="2" a="1"/>
  <c r="G19" i="2" a="1"/>
  <c r="G42" i="2" a="1"/>
  <c r="F70" i="2" a="1"/>
  <c r="F47" i="2" a="1"/>
  <c r="F18" i="2" a="1"/>
  <c r="F73" i="2" a="1"/>
  <c r="F77" i="2" a="1"/>
  <c r="G69" i="2" a="1"/>
  <c r="F15" i="2" a="1"/>
  <c r="F62" i="2" a="1"/>
  <c r="G76" i="2" a="1"/>
  <c r="F3" i="2" a="1"/>
  <c r="F59" i="2" a="1"/>
  <c r="G77" i="2" a="1"/>
  <c r="F43" i="2" a="1"/>
  <c r="G24" i="2" a="1"/>
  <c r="G39" i="2" a="1"/>
  <c r="G28" i="2" a="1"/>
  <c r="G11" i="2" a="1"/>
  <c r="G53" i="2" a="1"/>
  <c r="F31" i="2" a="1"/>
  <c r="F67" i="2" a="1"/>
  <c r="F48" i="2" a="1"/>
  <c r="F14" i="2" a="1"/>
  <c r="F51" i="2" a="1"/>
  <c r="F54" i="2" a="1"/>
  <c r="G44" i="2" a="1"/>
  <c r="G68" i="2" a="1"/>
  <c r="G23" i="2" a="1"/>
  <c r="F22" i="2" a="1"/>
  <c r="F49" i="2" a="1"/>
  <c r="F32" i="2" a="1"/>
  <c r="G10" i="2" a="1"/>
  <c r="G67" i="2" a="1"/>
  <c r="F17" i="2" a="1"/>
  <c r="G8" i="2" a="1"/>
  <c r="F20" i="2" a="1"/>
  <c r="G34" i="2" a="1"/>
  <c r="G49" i="2" a="1"/>
  <c r="G48" i="2" a="1"/>
  <c r="G12" i="2" a="1"/>
  <c r="F5" i="2" a="1"/>
  <c r="F19" i="2" a="1"/>
  <c r="F38" i="2" a="1"/>
  <c r="G54" i="2" a="1"/>
  <c r="G79" i="2" a="1"/>
  <c r="G78" i="2" a="1"/>
  <c r="G35" i="2" a="1"/>
  <c r="F25" i="2" a="1"/>
  <c r="F52" i="2" a="1"/>
  <c r="F58" i="2" a="1"/>
  <c r="F79" i="2" a="1"/>
  <c r="F44" i="2" a="1"/>
  <c r="G59" i="2" a="1"/>
  <c r="F45" i="2" a="1"/>
  <c r="F9" i="2" a="1"/>
  <c r="F60" i="2" a="1"/>
  <c r="F86" i="2" a="1"/>
  <c r="F24" i="2" a="1"/>
  <c r="G17" i="2" a="1"/>
  <c r="F10" i="2" a="1"/>
  <c r="F12" i="2" a="1"/>
  <c r="G40" i="2" a="1"/>
  <c r="G51" i="2" a="1"/>
  <c r="G57" i="2" a="1"/>
  <c r="G83" i="2" a="1"/>
  <c r="G55" i="2" a="1"/>
  <c r="F8" i="2" a="1"/>
  <c r="G64" i="2" a="1"/>
  <c r="G20" i="2" a="1"/>
  <c r="G29" i="2" a="1"/>
  <c r="G9" i="2" a="1"/>
  <c r="F35" i="2" a="1"/>
  <c r="F82" i="2" a="1"/>
  <c r="F78" i="2" a="1"/>
  <c r="F40" i="2" a="1"/>
  <c r="G60" i="2" a="1"/>
  <c r="G30" i="2" a="1"/>
  <c r="F23" i="2" a="1"/>
  <c r="F16" i="2" a="1"/>
  <c r="F74" i="2" a="1"/>
  <c r="G61" i="2" a="1"/>
  <c r="F57" i="2" a="1"/>
  <c r="G37" i="2" a="1"/>
  <c r="F13" i="2" a="1"/>
  <c r="F66" i="2" a="1"/>
  <c r="G62" i="2" a="1"/>
  <c r="G86" i="2" a="1"/>
  <c r="G4" i="2" a="1"/>
  <c r="F37" i="2" a="1"/>
  <c r="G74" i="2" a="1"/>
  <c r="G84" i="2" a="1"/>
  <c r="G41" i="2" a="1"/>
  <c r="G50" i="2" a="1"/>
  <c r="G70" i="2" a="1"/>
  <c r="F55" i="2" a="1"/>
  <c r="F63" i="2" a="1"/>
  <c r="F39" i="2" a="1"/>
  <c r="F71" i="2" a="1"/>
  <c r="G81" i="2" a="1"/>
  <c r="F85" i="2" a="1"/>
  <c r="G13" i="2" a="1"/>
  <c r="F27" i="2" a="1"/>
  <c r="G27" i="2" a="1"/>
  <c r="F81" i="2" a="1"/>
  <c r="F53" i="2" a="1"/>
  <c r="F34" i="2" a="1"/>
  <c r="F72" i="2" a="1"/>
  <c r="G5" i="2" a="1"/>
  <c r="G71" i="2" a="1"/>
  <c r="G80" i="2" a="1"/>
  <c r="G31" i="2" a="1"/>
  <c r="F65" i="2" a="1"/>
  <c r="F4" i="2" a="1"/>
  <c r="F69" i="2" a="1"/>
  <c r="F11" i="2" a="1"/>
  <c r="G73" i="2" a="1"/>
  <c r="F6" i="2" a="1"/>
  <c r="G52" i="2" a="1"/>
  <c r="G75" i="2" a="1"/>
  <c r="G72" i="2" a="1"/>
  <c r="F28" i="2" a="1"/>
  <c r="F68" i="2" a="1"/>
  <c r="F76" i="2" a="1"/>
  <c r="F64" i="2" a="1"/>
  <c r="G15" i="2" a="1"/>
  <c r="G32" i="2" a="1"/>
  <c r="G21" i="2" a="1"/>
  <c r="G22" i="2" a="1"/>
  <c r="F75" i="2" a="1"/>
  <c r="F84" i="2" a="1"/>
  <c r="F30" i="2" a="1"/>
  <c r="F33" i="2" a="1"/>
  <c r="G82" i="2" a="1"/>
  <c r="F50" i="2" a="1"/>
  <c r="F83" i="2" a="1"/>
  <c r="G85" i="2" a="1"/>
  <c r="F80" i="2" a="1"/>
  <c r="F36" i="2" a="1"/>
  <c r="G38" i="2" a="1"/>
  <c r="F21" i="2" a="1"/>
  <c r="G43" i="2" a="1"/>
  <c r="G47" i="2" a="1"/>
  <c r="F29" i="2" a="1"/>
  <c r="G33" i="2" a="1"/>
  <c r="G25" i="2" a="1"/>
  <c r="G6" i="2" a="1"/>
  <c r="G16" i="2" a="1"/>
  <c r="G26" i="2" a="1"/>
  <c r="G7" i="2" a="1"/>
  <c r="G63" i="2" a="1"/>
  <c r="G65" i="2" a="1"/>
  <c r="F7" i="2" a="1"/>
  <c r="F26" i="2" a="1"/>
  <c r="F41" i="2" a="1"/>
  <c r="F61" i="2" a="1"/>
  <c r="F46" i="2" a="1"/>
  <c r="F56" i="2" a="1"/>
  <c r="G45" i="2" a="1"/>
  <c r="F42" i="2" a="1"/>
  <c r="G36" i="2" a="1"/>
  <c r="G46" i="2" a="1"/>
  <c r="G56" i="2" a="1"/>
  <c r="G66" i="2" a="1"/>
  <c r="G18" i="2" a="1"/>
  <c r="G18" i="2" l="1"/>
  <c r="G3" i="2"/>
  <c r="F3" i="2"/>
  <c r="G53" i="2"/>
  <c r="G42" i="2"/>
  <c r="G25" i="2"/>
  <c r="G83" i="2"/>
  <c r="G10" i="2"/>
  <c r="G45" i="2"/>
  <c r="G43" i="2"/>
  <c r="G72" i="2"/>
  <c r="G61" i="2"/>
  <c r="G65" i="2"/>
  <c r="G13" i="2"/>
  <c r="G82" i="2"/>
  <c r="G22" i="2"/>
  <c r="G31" i="2"/>
  <c r="G70" i="2"/>
  <c r="G30" i="2"/>
  <c r="G9" i="2"/>
  <c r="G35" i="2"/>
  <c r="G23" i="2"/>
  <c r="G12" i="2"/>
  <c r="G11" i="2"/>
  <c r="G19" i="2"/>
  <c r="G55" i="2"/>
  <c r="G33" i="2"/>
  <c r="G62" i="2"/>
  <c r="G51" i="2"/>
  <c r="G40" i="2"/>
  <c r="G38" i="2"/>
  <c r="G75" i="2"/>
  <c r="G63" i="2"/>
  <c r="G52" i="2"/>
  <c r="G81" i="2"/>
  <c r="G21" i="2"/>
  <c r="G80" i="2"/>
  <c r="G50" i="2"/>
  <c r="G59" i="2"/>
  <c r="G29" i="2"/>
  <c r="G78" i="2"/>
  <c r="G68" i="2"/>
  <c r="G48" i="2"/>
  <c r="G28" i="2"/>
  <c r="G77" i="2"/>
  <c r="G67" i="2"/>
  <c r="G57" i="2"/>
  <c r="G47" i="2"/>
  <c r="G37" i="2"/>
  <c r="G27" i="2"/>
  <c r="G17" i="2"/>
  <c r="G7" i="2"/>
  <c r="G85" i="2"/>
  <c r="G73" i="2"/>
  <c r="G32" i="2"/>
  <c r="G71" i="2"/>
  <c r="G41" i="2"/>
  <c r="G60" i="2"/>
  <c r="G20" i="2"/>
  <c r="G79" i="2"/>
  <c r="G69" i="2"/>
  <c r="G49" i="2"/>
  <c r="G39" i="2"/>
  <c r="G58" i="2"/>
  <c r="G8" i="2"/>
  <c r="G86" i="2"/>
  <c r="G76" i="2"/>
  <c r="G66" i="2"/>
  <c r="G56" i="2"/>
  <c r="G46" i="2"/>
  <c r="G36" i="2"/>
  <c r="G26" i="2"/>
  <c r="G16" i="2"/>
  <c r="G6" i="2"/>
  <c r="G15" i="2"/>
  <c r="G5" i="2"/>
  <c r="G84" i="2"/>
  <c r="G74" i="2"/>
  <c r="G64" i="2"/>
  <c r="G54" i="2"/>
  <c r="G44" i="2"/>
  <c r="G34" i="2"/>
  <c r="G24" i="2"/>
  <c r="G14" i="2"/>
  <c r="G4" i="2"/>
  <c r="F44" i="2"/>
  <c r="F62" i="2"/>
  <c r="F54" i="2"/>
  <c r="F14" i="2"/>
  <c r="F73" i="2"/>
  <c r="F43" i="2"/>
  <c r="F72" i="2"/>
  <c r="F42" i="2"/>
  <c r="F32" i="2"/>
  <c r="F81" i="2"/>
  <c r="F21" i="2"/>
  <c r="F10" i="2"/>
  <c r="K10" i="2" s="1"/>
  <c r="F74" i="2"/>
  <c r="F24" i="2"/>
  <c r="K24" i="2" s="1"/>
  <c r="F83" i="2"/>
  <c r="F33" i="2"/>
  <c r="F11" i="2"/>
  <c r="F71" i="2"/>
  <c r="F60" i="2"/>
  <c r="F40" i="2"/>
  <c r="F79" i="2"/>
  <c r="F49" i="2"/>
  <c r="K49" i="2" s="1"/>
  <c r="F19" i="2"/>
  <c r="F48" i="2"/>
  <c r="F18" i="2"/>
  <c r="F8" i="2"/>
  <c r="F64" i="2"/>
  <c r="F34" i="2"/>
  <c r="F53" i="2"/>
  <c r="F13" i="2"/>
  <c r="F12" i="2"/>
  <c r="F61" i="2"/>
  <c r="K61" i="2" s="1"/>
  <c r="F41" i="2"/>
  <c r="F80" i="2"/>
  <c r="K80" i="2" s="1"/>
  <c r="F50" i="2"/>
  <c r="F30" i="2"/>
  <c r="F69" i="2"/>
  <c r="F39" i="2"/>
  <c r="F9" i="2"/>
  <c r="F78" i="2"/>
  <c r="F58" i="2"/>
  <c r="F38" i="2"/>
  <c r="F77" i="2"/>
  <c r="F67" i="2"/>
  <c r="F47" i="2"/>
  <c r="F37" i="2"/>
  <c r="F17" i="2"/>
  <c r="F76" i="2"/>
  <c r="F66" i="2"/>
  <c r="F56" i="2"/>
  <c r="F46" i="2"/>
  <c r="F36" i="2"/>
  <c r="K36" i="2" s="1"/>
  <c r="F26" i="2"/>
  <c r="F16" i="2"/>
  <c r="K16" i="2" s="1"/>
  <c r="F6" i="2"/>
  <c r="F84" i="2"/>
  <c r="F4" i="2"/>
  <c r="F63" i="2"/>
  <c r="F23" i="2"/>
  <c r="F82" i="2"/>
  <c r="F52" i="2"/>
  <c r="F22" i="2"/>
  <c r="F51" i="2"/>
  <c r="F31" i="2"/>
  <c r="F70" i="2"/>
  <c r="F20" i="2"/>
  <c r="F59" i="2"/>
  <c r="F29" i="2"/>
  <c r="F68" i="2"/>
  <c r="F28" i="2"/>
  <c r="F57" i="2"/>
  <c r="F27" i="2"/>
  <c r="K27" i="2" s="1"/>
  <c r="F7" i="2"/>
  <c r="F86" i="2"/>
  <c r="K86" i="2" s="1"/>
  <c r="F85" i="2"/>
  <c r="F75" i="2"/>
  <c r="F65" i="2"/>
  <c r="F55" i="2"/>
  <c r="F45" i="2"/>
  <c r="F35" i="2"/>
  <c r="F25" i="2"/>
  <c r="F15" i="2"/>
  <c r="F5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3" i="2"/>
  <c r="K38" i="2" l="1"/>
  <c r="K85" i="2"/>
  <c r="K6" i="2"/>
  <c r="K50" i="2"/>
  <c r="K83" i="2"/>
  <c r="K7" i="2"/>
  <c r="K26" i="2"/>
  <c r="K41" i="2"/>
  <c r="K74" i="2"/>
  <c r="K57" i="2"/>
  <c r="K46" i="2"/>
  <c r="K12" i="2"/>
  <c r="K21" i="2"/>
  <c r="K28" i="2"/>
  <c r="K56" i="2"/>
  <c r="K13" i="2"/>
  <c r="K81" i="2"/>
  <c r="K68" i="2"/>
  <c r="K66" i="2"/>
  <c r="K53" i="2"/>
  <c r="K32" i="2"/>
  <c r="K29" i="2"/>
  <c r="K76" i="2"/>
  <c r="K34" i="2"/>
  <c r="K42" i="2"/>
  <c r="K59" i="2"/>
  <c r="K17" i="2"/>
  <c r="K64" i="2"/>
  <c r="K72" i="2"/>
  <c r="K20" i="2"/>
  <c r="K37" i="2"/>
  <c r="K8" i="2"/>
  <c r="K43" i="2"/>
  <c r="K70" i="2"/>
  <c r="K47" i="2"/>
  <c r="K18" i="2"/>
  <c r="K73" i="2"/>
  <c r="K31" i="2"/>
  <c r="K67" i="2"/>
  <c r="K48" i="2"/>
  <c r="K14" i="2"/>
  <c r="K5" i="2"/>
  <c r="K51" i="2"/>
  <c r="K77" i="2"/>
  <c r="K19" i="2"/>
  <c r="K54" i="2"/>
  <c r="K15" i="2"/>
  <c r="K25" i="2"/>
  <c r="K52" i="2"/>
  <c r="K58" i="2"/>
  <c r="K79" i="2"/>
  <c r="K44" i="2"/>
  <c r="K22" i="2"/>
  <c r="K35" i="2"/>
  <c r="K82" i="2"/>
  <c r="K78" i="2"/>
  <c r="K40" i="2"/>
  <c r="K45" i="2"/>
  <c r="K23" i="2"/>
  <c r="K9" i="2"/>
  <c r="K60" i="2"/>
  <c r="K62" i="2"/>
  <c r="K55" i="2"/>
  <c r="K63" i="2"/>
  <c r="K39" i="2"/>
  <c r="K71" i="2"/>
  <c r="K65" i="2"/>
  <c r="K4" i="2"/>
  <c r="K69" i="2"/>
  <c r="K11" i="2"/>
  <c r="K3" i="2"/>
  <c r="K75" i="2"/>
  <c r="K84" i="2"/>
  <c r="K30" i="2"/>
  <c r="K3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<sst xmlns="http://schemas.openxmlformats.org/spreadsheetml/2006/main" count="1335" uniqueCount="985">
  <si>
    <t>W8x10</t>
    <phoneticPr fontId="1" type="noConversion"/>
  </si>
  <si>
    <t>W6x7</t>
    <phoneticPr fontId="1" type="noConversion"/>
  </si>
  <si>
    <t>W6x9</t>
    <phoneticPr fontId="1" type="noConversion"/>
  </si>
  <si>
    <t>W8x8</t>
    <phoneticPr fontId="1" type="noConversion"/>
  </si>
  <si>
    <t>W6x8.5</t>
    <phoneticPr fontId="1" type="noConversion"/>
  </si>
  <si>
    <t>W6x12</t>
    <phoneticPr fontId="1" type="noConversion"/>
  </si>
  <si>
    <t>W6x15</t>
    <phoneticPr fontId="1" type="noConversion"/>
  </si>
  <si>
    <t>W6x20</t>
    <phoneticPr fontId="1" type="noConversion"/>
  </si>
  <si>
    <t>W8x9</t>
    <phoneticPr fontId="1" type="noConversion"/>
  </si>
  <si>
    <t>W8x13</t>
    <phoneticPr fontId="1" type="noConversion"/>
  </si>
  <si>
    <t>W8x15</t>
    <phoneticPr fontId="1" type="noConversion"/>
  </si>
  <si>
    <t>W8x18</t>
    <phoneticPr fontId="1" type="noConversion"/>
  </si>
  <si>
    <t>W8x21</t>
    <phoneticPr fontId="1" type="noConversion"/>
  </si>
  <si>
    <t>W6x25</t>
    <phoneticPr fontId="1" type="noConversion"/>
  </si>
  <si>
    <t>H</t>
    <phoneticPr fontId="1" type="noConversion"/>
  </si>
  <si>
    <t>HM</t>
  </si>
  <si>
    <t>t2</t>
  </si>
  <si>
    <t>r</t>
  </si>
  <si>
    <t>HN</t>
  </si>
  <si>
    <t>HP</t>
  </si>
  <si>
    <t>t1</t>
    <phoneticPr fontId="1" type="noConversion"/>
  </si>
  <si>
    <t>125x125</t>
  </si>
  <si>
    <t>175x175</t>
  </si>
  <si>
    <t>200x200</t>
  </si>
  <si>
    <t>400x400</t>
  </si>
  <si>
    <t>#388x402</t>
  </si>
  <si>
    <t>#394x398</t>
  </si>
  <si>
    <t>#400x408</t>
  </si>
  <si>
    <t>250x175</t>
  </si>
  <si>
    <t>244x175</t>
  </si>
  <si>
    <t>#594x302</t>
  </si>
  <si>
    <t>200x100</t>
  </si>
  <si>
    <t>248x124</t>
  </si>
  <si>
    <t>298x149</t>
  </si>
  <si>
    <t>300x175</t>
  </si>
  <si>
    <t>400x200</t>
  </si>
  <si>
    <t>450x200</t>
  </si>
  <si>
    <t>#500x150</t>
  </si>
  <si>
    <t>700x300</t>
  </si>
  <si>
    <t>244x252</t>
  </si>
  <si>
    <t>250x255</t>
  </si>
  <si>
    <t>344x354</t>
  </si>
  <si>
    <t>388x402</t>
  </si>
  <si>
    <t>394x405</t>
  </si>
  <si>
    <t>400x408</t>
  </si>
  <si>
    <t>414x405</t>
  </si>
  <si>
    <t>428x407</t>
  </si>
  <si>
    <t>*502x465</t>
  </si>
  <si>
    <t>*502x470</t>
  </si>
  <si>
    <t>HW</t>
    <phoneticPr fontId="1" type="noConversion"/>
  </si>
  <si>
    <t>HxB</t>
    <phoneticPr fontId="1" type="noConversion"/>
  </si>
  <si>
    <t>100x100</t>
    <phoneticPr fontId="1" type="noConversion"/>
  </si>
  <si>
    <t>250x250</t>
    <phoneticPr fontId="1" type="noConversion"/>
  </si>
  <si>
    <r>
      <rPr>
        <sz val="12"/>
        <color indexed="63"/>
        <rFont val="宋体"/>
        <family val="3"/>
        <charset val="134"/>
      </rPr>
      <t>类别</t>
    </r>
  </si>
  <si>
    <t>350x350</t>
    <phoneticPr fontId="1" type="noConversion"/>
  </si>
  <si>
    <t>200x200</t>
    <phoneticPr fontId="1" type="noConversion"/>
  </si>
  <si>
    <t>150x100</t>
    <phoneticPr fontId="1" type="noConversion"/>
  </si>
  <si>
    <t>300x200</t>
    <phoneticPr fontId="1" type="noConversion"/>
  </si>
  <si>
    <t>350x250</t>
    <phoneticPr fontId="1" type="noConversion"/>
  </si>
  <si>
    <t>400x300</t>
    <phoneticPr fontId="1" type="noConversion"/>
  </si>
  <si>
    <t>450x300</t>
    <phoneticPr fontId="1" type="noConversion"/>
  </si>
  <si>
    <t>600x300</t>
    <phoneticPr fontId="1" type="noConversion"/>
  </si>
  <si>
    <t>100x50</t>
    <phoneticPr fontId="1" type="noConversion"/>
  </si>
  <si>
    <t>125x60</t>
    <phoneticPr fontId="1" type="noConversion"/>
  </si>
  <si>
    <t>150x75</t>
    <phoneticPr fontId="1" type="noConversion"/>
  </si>
  <si>
    <t>175x90</t>
    <phoneticPr fontId="1" type="noConversion"/>
  </si>
  <si>
    <t>250x125</t>
    <phoneticPr fontId="1" type="noConversion"/>
  </si>
  <si>
    <t>350x175</t>
    <phoneticPr fontId="1" type="noConversion"/>
  </si>
  <si>
    <t>#400x150</t>
    <phoneticPr fontId="1" type="noConversion"/>
  </si>
  <si>
    <t>450x200</t>
    <phoneticPr fontId="1" type="noConversion"/>
  </si>
  <si>
    <t>148x100</t>
    <phoneticPr fontId="1" type="noConversion"/>
  </si>
  <si>
    <t>400x200</t>
    <phoneticPr fontId="1" type="noConversion"/>
  </si>
  <si>
    <t>#450x150</t>
    <phoneticPr fontId="1" type="noConversion"/>
  </si>
  <si>
    <t>700x300</t>
    <phoneticPr fontId="1" type="noConversion"/>
  </si>
  <si>
    <t>*800x300</t>
    <phoneticPr fontId="1" type="noConversion"/>
  </si>
  <si>
    <t>*900x300</t>
    <phoneticPr fontId="1" type="noConversion"/>
  </si>
  <si>
    <t>300x300</t>
    <phoneticPr fontId="1" type="noConversion"/>
  </si>
  <si>
    <t>*500x500</t>
    <phoneticPr fontId="1" type="noConversion"/>
  </si>
  <si>
    <t>294x200</t>
    <phoneticPr fontId="1" type="noConversion"/>
  </si>
  <si>
    <t>390x300</t>
    <phoneticPr fontId="1" type="noConversion"/>
  </si>
  <si>
    <t>440x300</t>
    <phoneticPr fontId="1" type="noConversion"/>
  </si>
  <si>
    <t>482x300</t>
    <phoneticPr fontId="1" type="noConversion"/>
  </si>
  <si>
    <t>488x300</t>
    <phoneticPr fontId="1" type="noConversion"/>
  </si>
  <si>
    <t>582x300</t>
    <phoneticPr fontId="1" type="noConversion"/>
  </si>
  <si>
    <t>588x300</t>
    <phoneticPr fontId="1" type="noConversion"/>
  </si>
  <si>
    <t>198x99</t>
    <phoneticPr fontId="1" type="noConversion"/>
  </si>
  <si>
    <t>#506x201</t>
    <phoneticPr fontId="1" type="noConversion"/>
  </si>
  <si>
    <t>*792x300</t>
    <phoneticPr fontId="1" type="noConversion"/>
  </si>
  <si>
    <t>*890x299</t>
    <phoneticPr fontId="1" type="noConversion"/>
  </si>
  <si>
    <t>*912x302</t>
    <phoneticPr fontId="1" type="noConversion"/>
  </si>
  <si>
    <t>*492x465</t>
    <phoneticPr fontId="1" type="noConversion"/>
  </si>
  <si>
    <r>
      <rPr>
        <b/>
        <sz val="12"/>
        <color indexed="63"/>
        <rFont val="宋体"/>
        <family val="3"/>
        <charset val="134"/>
      </rPr>
      <t>截面尺寸</t>
    </r>
  </si>
  <si>
    <t>B</t>
    <phoneticPr fontId="1" type="noConversion"/>
  </si>
  <si>
    <r>
      <rPr>
        <b/>
        <sz val="12"/>
        <color rgb="FF333333"/>
        <rFont val="宋体"/>
        <family val="3"/>
        <charset val="134"/>
      </rPr>
      <t>型号</t>
    </r>
    <r>
      <rPr>
        <b/>
        <sz val="12"/>
        <color rgb="FF333333"/>
        <rFont val="Times New Roman"/>
        <family val="1"/>
        <charset val="204"/>
      </rPr>
      <t xml:space="preserve"> (</t>
    </r>
    <r>
      <rPr>
        <b/>
        <sz val="12"/>
        <color rgb="FF333333"/>
        <rFont val="宋体"/>
        <family val="3"/>
        <charset val="134"/>
      </rPr>
      <t>高</t>
    </r>
    <r>
      <rPr>
        <b/>
        <sz val="12"/>
        <color rgb="FF333333"/>
        <rFont val="Times New Roman"/>
        <family val="1"/>
        <charset val="204"/>
      </rPr>
      <t>x</t>
    </r>
    <r>
      <rPr>
        <b/>
        <sz val="12"/>
        <color rgb="FF333333"/>
        <rFont val="宋体"/>
        <family val="3"/>
        <charset val="134"/>
      </rPr>
      <t>宽</t>
    </r>
    <r>
      <rPr>
        <b/>
        <sz val="12"/>
        <color rgb="FF333333"/>
        <rFont val="Times New Roman"/>
        <family val="1"/>
        <charset val="204"/>
      </rPr>
      <t>)</t>
    </r>
    <phoneticPr fontId="1" type="noConversion"/>
  </si>
  <si>
    <r>
      <rPr>
        <b/>
        <sz val="12"/>
        <color rgb="FF333333"/>
        <rFont val="宋体"/>
        <family val="3"/>
        <charset val="134"/>
      </rPr>
      <t>前缀</t>
    </r>
    <phoneticPr fontId="1" type="noConversion"/>
  </si>
  <si>
    <r>
      <t>100x100</t>
    </r>
    <r>
      <rPr>
        <sz val="12"/>
        <color rgb="FF333333"/>
        <rFont val="Times New Roman"/>
        <family val="1"/>
        <charset val="204"/>
      </rPr>
      <t>#</t>
    </r>
    <phoneticPr fontId="1" type="noConversion"/>
  </si>
  <si>
    <r>
      <t>1</t>
    </r>
    <r>
      <rPr>
        <sz val="12"/>
        <color rgb="FF333333"/>
        <rFont val="Times New Roman"/>
        <family val="1"/>
        <charset val="204"/>
      </rPr>
      <t>50</t>
    </r>
    <r>
      <rPr>
        <sz val="12"/>
        <color indexed="63"/>
        <rFont val="Times New Roman"/>
        <family val="1"/>
        <charset val="204"/>
      </rPr>
      <t>x1</t>
    </r>
    <r>
      <rPr>
        <sz val="12"/>
        <color rgb="FF333333"/>
        <rFont val="Times New Roman"/>
        <family val="1"/>
        <charset val="204"/>
      </rPr>
      <t>50</t>
    </r>
    <phoneticPr fontId="1" type="noConversion"/>
  </si>
  <si>
    <t>#200x204</t>
    <phoneticPr fontId="1" type="noConversion"/>
  </si>
  <si>
    <r>
      <t>#2</t>
    </r>
    <r>
      <rPr>
        <sz val="12"/>
        <color rgb="FF333333"/>
        <rFont val="Times New Roman"/>
        <family val="1"/>
        <charset val="204"/>
      </rPr>
      <t>5</t>
    </r>
    <r>
      <rPr>
        <sz val="12"/>
        <color indexed="63"/>
        <rFont val="Times New Roman"/>
        <family val="1"/>
        <charset val="204"/>
      </rPr>
      <t>0x255</t>
    </r>
    <phoneticPr fontId="1" type="noConversion"/>
  </si>
  <si>
    <t>#294x302</t>
    <phoneticPr fontId="1" type="noConversion"/>
  </si>
  <si>
    <t>300x305</t>
    <phoneticPr fontId="1" type="noConversion"/>
  </si>
  <si>
    <t>#344x348</t>
    <phoneticPr fontId="1" type="noConversion"/>
  </si>
  <si>
    <t>#414x405</t>
    <phoneticPr fontId="1" type="noConversion"/>
  </si>
  <si>
    <t>#428x407</t>
    <phoneticPr fontId="1" type="noConversion"/>
  </si>
  <si>
    <t>*458x417</t>
    <phoneticPr fontId="1" type="noConversion"/>
  </si>
  <si>
    <t>*498x432</t>
    <phoneticPr fontId="1" type="noConversion"/>
  </si>
  <si>
    <t>200x150</t>
    <phoneticPr fontId="1" type="noConversion"/>
  </si>
  <si>
    <r>
      <t>194x1</t>
    </r>
    <r>
      <rPr>
        <sz val="12"/>
        <color rgb="FF333333"/>
        <rFont val="Times New Roman"/>
        <family val="1"/>
        <charset val="204"/>
      </rPr>
      <t>50</t>
    </r>
    <phoneticPr fontId="1" type="noConversion"/>
  </si>
  <si>
    <r>
      <t>340x2</t>
    </r>
    <r>
      <rPr>
        <sz val="12"/>
        <color rgb="FF333333"/>
        <rFont val="Times New Roman"/>
        <family val="1"/>
        <charset val="204"/>
      </rPr>
      <t>50</t>
    </r>
    <phoneticPr fontId="1" type="noConversion"/>
  </si>
  <si>
    <t>500x300</t>
    <phoneticPr fontId="1" type="noConversion"/>
  </si>
  <si>
    <r>
      <t>100x</t>
    </r>
    <r>
      <rPr>
        <sz val="12"/>
        <color rgb="FF333333"/>
        <rFont val="Times New Roman"/>
        <family val="1"/>
        <charset val="204"/>
      </rPr>
      <t>50</t>
    </r>
    <phoneticPr fontId="1" type="noConversion"/>
  </si>
  <si>
    <r>
      <t>175x</t>
    </r>
    <r>
      <rPr>
        <sz val="12"/>
        <color rgb="FF333333"/>
        <rFont val="Times New Roman"/>
        <family val="1"/>
        <charset val="204"/>
      </rPr>
      <t>90</t>
    </r>
    <phoneticPr fontId="1" type="noConversion"/>
  </si>
  <si>
    <t>200x100</t>
    <phoneticPr fontId="1" type="noConversion"/>
  </si>
  <si>
    <r>
      <t>2</t>
    </r>
    <r>
      <rPr>
        <sz val="12"/>
        <color rgb="FF333333"/>
        <rFont val="Times New Roman"/>
        <family val="1"/>
        <charset val="204"/>
      </rPr>
      <t>50</t>
    </r>
    <r>
      <rPr>
        <sz val="12"/>
        <color indexed="63"/>
        <rFont val="Times New Roman"/>
        <family val="1"/>
        <charset val="204"/>
      </rPr>
      <t>x125</t>
    </r>
    <phoneticPr fontId="1" type="noConversion"/>
  </si>
  <si>
    <t>300x150</t>
    <phoneticPr fontId="1" type="noConversion"/>
  </si>
  <si>
    <r>
      <t>300x1</t>
    </r>
    <r>
      <rPr>
        <sz val="12"/>
        <color rgb="FF333333"/>
        <rFont val="Times New Roman"/>
        <family val="1"/>
        <charset val="204"/>
      </rPr>
      <t>50</t>
    </r>
    <phoneticPr fontId="1" type="noConversion"/>
  </si>
  <si>
    <r>
      <t>346</t>
    </r>
    <r>
      <rPr>
        <sz val="12"/>
        <color rgb="FF333333"/>
        <rFont val="Times New Roman"/>
        <family val="1"/>
        <charset val="204"/>
      </rPr>
      <t>x</t>
    </r>
    <r>
      <rPr>
        <sz val="12"/>
        <color indexed="63"/>
        <rFont val="Times New Roman"/>
        <family val="1"/>
        <charset val="204"/>
      </rPr>
      <t>174</t>
    </r>
    <phoneticPr fontId="1" type="noConversion"/>
  </si>
  <si>
    <r>
      <t>#400x1</t>
    </r>
    <r>
      <rPr>
        <sz val="12"/>
        <color rgb="FF333333"/>
        <rFont val="Times New Roman"/>
        <family val="1"/>
        <charset val="204"/>
      </rPr>
      <t>50</t>
    </r>
    <phoneticPr fontId="1" type="noConversion"/>
  </si>
  <si>
    <r>
      <t>396</t>
    </r>
    <r>
      <rPr>
        <sz val="12"/>
        <color rgb="FF333333"/>
        <rFont val="Times New Roman"/>
        <family val="1"/>
        <charset val="204"/>
      </rPr>
      <t>x</t>
    </r>
    <r>
      <rPr>
        <sz val="12"/>
        <color indexed="63"/>
        <rFont val="Times New Roman"/>
        <family val="1"/>
        <charset val="204"/>
      </rPr>
      <t>199</t>
    </r>
    <phoneticPr fontId="1" type="noConversion"/>
  </si>
  <si>
    <r>
      <t>#4</t>
    </r>
    <r>
      <rPr>
        <sz val="12"/>
        <color rgb="FF333333"/>
        <rFont val="Times New Roman"/>
        <family val="1"/>
        <charset val="204"/>
      </rPr>
      <t>50x150</t>
    </r>
    <phoneticPr fontId="1" type="noConversion"/>
  </si>
  <si>
    <r>
      <t>446</t>
    </r>
    <r>
      <rPr>
        <sz val="12"/>
        <color rgb="FF333333"/>
        <rFont val="Times New Roman"/>
        <family val="1"/>
        <charset val="204"/>
      </rPr>
      <t>x</t>
    </r>
    <r>
      <rPr>
        <sz val="12"/>
        <color indexed="63"/>
        <rFont val="Times New Roman"/>
        <family val="1"/>
        <charset val="204"/>
      </rPr>
      <t>199</t>
    </r>
    <phoneticPr fontId="1" type="noConversion"/>
  </si>
  <si>
    <r>
      <t>#500x1</t>
    </r>
    <r>
      <rPr>
        <sz val="12"/>
        <color rgb="FF333333"/>
        <rFont val="Times New Roman"/>
        <family val="1"/>
        <charset val="204"/>
      </rPr>
      <t>50</t>
    </r>
    <phoneticPr fontId="1" type="noConversion"/>
  </si>
  <si>
    <t>500x200</t>
    <phoneticPr fontId="1" type="noConversion"/>
  </si>
  <si>
    <r>
      <t>496</t>
    </r>
    <r>
      <rPr>
        <sz val="12"/>
        <color rgb="FF333333"/>
        <rFont val="Times New Roman"/>
        <family val="1"/>
        <charset val="204"/>
      </rPr>
      <t>x</t>
    </r>
    <r>
      <rPr>
        <sz val="12"/>
        <color indexed="63"/>
        <rFont val="Times New Roman"/>
        <family val="1"/>
        <charset val="204"/>
      </rPr>
      <t>199</t>
    </r>
    <phoneticPr fontId="1" type="noConversion"/>
  </si>
  <si>
    <r>
      <rPr>
        <sz val="12"/>
        <color rgb="FF333333"/>
        <rFont val="Times New Roman"/>
        <family val="1"/>
        <charset val="204"/>
      </rPr>
      <t>5</t>
    </r>
    <r>
      <rPr>
        <sz val="12"/>
        <color indexed="63"/>
        <rFont val="Times New Roman"/>
        <family val="1"/>
        <charset val="204"/>
      </rPr>
      <t>00x200</t>
    </r>
    <phoneticPr fontId="1" type="noConversion"/>
  </si>
  <si>
    <t>600x200</t>
    <phoneticPr fontId="1" type="noConversion"/>
  </si>
  <si>
    <r>
      <t>596</t>
    </r>
    <r>
      <rPr>
        <sz val="12"/>
        <color rgb="FF333333"/>
        <rFont val="Times New Roman"/>
        <family val="1"/>
        <charset val="204"/>
      </rPr>
      <t>x</t>
    </r>
    <r>
      <rPr>
        <sz val="12"/>
        <color indexed="63"/>
        <rFont val="Times New Roman"/>
        <family val="1"/>
        <charset val="204"/>
      </rPr>
      <t>199</t>
    </r>
    <phoneticPr fontId="1" type="noConversion"/>
  </si>
  <si>
    <r>
      <rPr>
        <sz val="12"/>
        <color rgb="FF333333"/>
        <rFont val="Times New Roman"/>
        <family val="1"/>
        <charset val="204"/>
      </rPr>
      <t>6</t>
    </r>
    <r>
      <rPr>
        <sz val="12"/>
        <color indexed="63"/>
        <rFont val="Times New Roman"/>
        <family val="1"/>
        <charset val="204"/>
      </rPr>
      <t>00x200</t>
    </r>
    <phoneticPr fontId="1" type="noConversion"/>
  </si>
  <si>
    <t>#606x201</t>
    <phoneticPr fontId="1" type="noConversion"/>
  </si>
  <si>
    <r>
      <t>#692</t>
    </r>
    <r>
      <rPr>
        <sz val="12"/>
        <color rgb="FF333333"/>
        <rFont val="Times New Roman"/>
        <family val="1"/>
        <charset val="204"/>
      </rPr>
      <t>x300</t>
    </r>
    <phoneticPr fontId="1" type="noConversion"/>
  </si>
  <si>
    <t>200x204</t>
    <phoneticPr fontId="1" type="noConversion"/>
  </si>
  <si>
    <r>
      <t>294x</t>
    </r>
    <r>
      <rPr>
        <sz val="12"/>
        <color rgb="FF333333"/>
        <rFont val="Times New Roman"/>
        <family val="1"/>
        <charset val="204"/>
      </rPr>
      <t>302</t>
    </r>
    <phoneticPr fontId="1" type="noConversion"/>
  </si>
  <si>
    <r>
      <t>300x</t>
    </r>
    <r>
      <rPr>
        <sz val="12"/>
        <color rgb="FF333333"/>
        <rFont val="Times New Roman"/>
        <family val="1"/>
        <charset val="204"/>
      </rPr>
      <t>300</t>
    </r>
    <phoneticPr fontId="1" type="noConversion"/>
  </si>
  <si>
    <r>
      <t>300x</t>
    </r>
    <r>
      <rPr>
        <sz val="12"/>
        <color rgb="FF333333"/>
        <rFont val="Times New Roman"/>
        <family val="1"/>
        <charset val="204"/>
      </rPr>
      <t>305</t>
    </r>
    <phoneticPr fontId="1" type="noConversion"/>
  </si>
  <si>
    <r>
      <t>338</t>
    </r>
    <r>
      <rPr>
        <sz val="12"/>
        <color rgb="FF333333"/>
        <rFont val="Times New Roman"/>
        <family val="1"/>
        <charset val="204"/>
      </rPr>
      <t>x</t>
    </r>
    <r>
      <rPr>
        <sz val="12"/>
        <color indexed="63"/>
        <rFont val="Times New Roman"/>
        <family val="1"/>
        <charset val="204"/>
      </rPr>
      <t>351</t>
    </r>
    <phoneticPr fontId="1" type="noConversion"/>
  </si>
  <si>
    <r>
      <t>3</t>
    </r>
    <r>
      <rPr>
        <sz val="12"/>
        <color rgb="FF333333"/>
        <rFont val="Times New Roman"/>
        <family val="1"/>
        <charset val="204"/>
      </rPr>
      <t>5</t>
    </r>
    <r>
      <rPr>
        <sz val="12"/>
        <color indexed="63"/>
        <rFont val="Times New Roman"/>
        <family val="1"/>
        <charset val="204"/>
      </rPr>
      <t>0x3</t>
    </r>
    <r>
      <rPr>
        <sz val="12"/>
        <color rgb="FF333333"/>
        <rFont val="Times New Roman"/>
        <family val="1"/>
        <charset val="204"/>
      </rPr>
      <t>5</t>
    </r>
    <r>
      <rPr>
        <sz val="12"/>
        <color indexed="63"/>
        <rFont val="Times New Roman"/>
        <family val="1"/>
        <charset val="204"/>
      </rPr>
      <t>0</t>
    </r>
    <phoneticPr fontId="1" type="noConversion"/>
  </si>
  <si>
    <r>
      <t>3</t>
    </r>
    <r>
      <rPr>
        <sz val="12"/>
        <color rgb="FF333333"/>
        <rFont val="Times New Roman"/>
        <family val="1"/>
        <charset val="204"/>
      </rPr>
      <t>50</t>
    </r>
    <r>
      <rPr>
        <sz val="12"/>
        <color indexed="63"/>
        <rFont val="Times New Roman"/>
        <family val="1"/>
        <charset val="204"/>
      </rPr>
      <t>x357</t>
    </r>
    <phoneticPr fontId="1" type="noConversion"/>
  </si>
  <si>
    <t>HW394x398x11x18</t>
  </si>
  <si>
    <t>HW498x432x45x70</t>
  </si>
  <si>
    <t>HM148x100x6x9</t>
  </si>
  <si>
    <t>HM194x150x6x9</t>
  </si>
  <si>
    <t>HM244x175x7x11</t>
  </si>
  <si>
    <t>HM294x200x8x12</t>
  </si>
  <si>
    <t>HM340x250x9x14</t>
  </si>
  <si>
    <t>HM390x300x10x16</t>
  </si>
  <si>
    <t>HM440x300x11x18</t>
  </si>
  <si>
    <t>HM482x300x11x15</t>
  </si>
  <si>
    <t>HM488x300x11x18</t>
  </si>
  <si>
    <t>HM582x300x12x17</t>
  </si>
  <si>
    <t>HM594x302x14x23</t>
  </si>
  <si>
    <t>HN100x50x5x7</t>
  </si>
  <si>
    <t>HN125x60x6x8</t>
  </si>
  <si>
    <t>HN150x75x5x7</t>
  </si>
  <si>
    <t>HN175x90x5x8</t>
  </si>
  <si>
    <t>HN198x99x4.5x7</t>
  </si>
  <si>
    <t>HN200x100x5.5x8</t>
  </si>
  <si>
    <t>HN248x124x5x8</t>
  </si>
  <si>
    <t>HN250x125x6x9</t>
  </si>
  <si>
    <t>HN298x149x5.5x8</t>
  </si>
  <si>
    <t>HN300x150x6.5x9</t>
  </si>
  <si>
    <t>HN346x174x6x9</t>
  </si>
  <si>
    <t>HN400x150x8x13</t>
  </si>
  <si>
    <t>HN396x199x7x11</t>
  </si>
  <si>
    <t>HN446x199x8x12</t>
  </si>
  <si>
    <t>HN496x199x9x14</t>
  </si>
  <si>
    <t>HN506x201x11x19</t>
  </si>
  <si>
    <t>HN596x199x10x15</t>
  </si>
  <si>
    <t>HN692x300x13x20</t>
  </si>
  <si>
    <t>HN912x302x18x34</t>
  </si>
  <si>
    <t>100</t>
  </si>
  <si>
    <t>125</t>
  </si>
  <si>
    <t>150</t>
  </si>
  <si>
    <t>175</t>
  </si>
  <si>
    <t>200</t>
  </si>
  <si>
    <t>204</t>
  </si>
  <si>
    <t>250</t>
  </si>
  <si>
    <t>255</t>
  </si>
  <si>
    <t>294</t>
  </si>
  <si>
    <t>302</t>
  </si>
  <si>
    <t>300</t>
  </si>
  <si>
    <t>305</t>
  </si>
  <si>
    <t>344</t>
  </si>
  <si>
    <t>348</t>
  </si>
  <si>
    <t>350</t>
  </si>
  <si>
    <t>388</t>
  </si>
  <si>
    <t>402</t>
  </si>
  <si>
    <t>394</t>
  </si>
  <si>
    <t>398</t>
  </si>
  <si>
    <t>400</t>
  </si>
  <si>
    <t>408</t>
  </si>
  <si>
    <t>414</t>
  </si>
  <si>
    <t>405</t>
  </si>
  <si>
    <t>428</t>
  </si>
  <si>
    <t>407</t>
  </si>
  <si>
    <t>458</t>
  </si>
  <si>
    <t>417</t>
  </si>
  <si>
    <t>498</t>
  </si>
  <si>
    <t>432</t>
  </si>
  <si>
    <t>148</t>
  </si>
  <si>
    <t>194</t>
  </si>
  <si>
    <t>244</t>
  </si>
  <si>
    <t>340</t>
  </si>
  <si>
    <t>390</t>
  </si>
  <si>
    <t>440</t>
  </si>
  <si>
    <t>482</t>
  </si>
  <si>
    <t>488</t>
  </si>
  <si>
    <t>582</t>
  </si>
  <si>
    <t>588</t>
  </si>
  <si>
    <t>594</t>
  </si>
  <si>
    <t>50</t>
  </si>
  <si>
    <t>60</t>
  </si>
  <si>
    <t>75</t>
  </si>
  <si>
    <t>90</t>
  </si>
  <si>
    <t>198</t>
  </si>
  <si>
    <t>99</t>
  </si>
  <si>
    <t>248</t>
  </si>
  <si>
    <t>124</t>
  </si>
  <si>
    <t>298</t>
  </si>
  <si>
    <t>149</t>
  </si>
  <si>
    <t>346</t>
  </si>
  <si>
    <t>174</t>
  </si>
  <si>
    <t>396</t>
  </si>
  <si>
    <t>199</t>
  </si>
  <si>
    <t>450</t>
  </si>
  <si>
    <t>446</t>
  </si>
  <si>
    <t>500</t>
  </si>
  <si>
    <t>496</t>
  </si>
  <si>
    <t>506</t>
  </si>
  <si>
    <t>201</t>
  </si>
  <si>
    <t>596</t>
  </si>
  <si>
    <t>600</t>
  </si>
  <si>
    <t>606</t>
  </si>
  <si>
    <t>692</t>
  </si>
  <si>
    <t>700</t>
  </si>
  <si>
    <t>792</t>
  </si>
  <si>
    <t>800</t>
  </si>
  <si>
    <t>890</t>
  </si>
  <si>
    <t>299</t>
  </si>
  <si>
    <t>900</t>
  </si>
  <si>
    <t>912</t>
  </si>
  <si>
    <t>序号</t>
    <phoneticPr fontId="1" type="noConversion"/>
  </si>
  <si>
    <r>
      <rPr>
        <sz val="11"/>
        <color theme="1"/>
        <rFont val="宋体"/>
        <family val="3"/>
        <charset val="134"/>
      </rPr>
      <t>截面类型</t>
    </r>
    <phoneticPr fontId="1" type="noConversion"/>
  </si>
  <si>
    <r>
      <rPr>
        <sz val="11"/>
        <color theme="1"/>
        <rFont val="宋体"/>
        <family val="3"/>
        <charset val="134"/>
      </rPr>
      <t>截面规格</t>
    </r>
    <phoneticPr fontId="1" type="noConversion"/>
  </si>
  <si>
    <r>
      <rPr>
        <sz val="11"/>
        <color theme="1"/>
        <rFont val="宋体"/>
        <family val="3"/>
        <charset val="134"/>
      </rPr>
      <t>腹板高</t>
    </r>
    <r>
      <rPr>
        <sz val="11"/>
        <color theme="1"/>
        <rFont val="Times New Roman"/>
        <family val="1"/>
        <charset val="204"/>
      </rPr>
      <t xml:space="preserve"> (mm)</t>
    </r>
    <phoneticPr fontId="1" type="noConversion"/>
  </si>
  <si>
    <r>
      <rPr>
        <sz val="11"/>
        <color theme="1"/>
        <rFont val="宋体"/>
        <family val="3"/>
        <charset val="134"/>
      </rPr>
      <t>翼板高</t>
    </r>
    <r>
      <rPr>
        <sz val="11"/>
        <color theme="1"/>
        <rFont val="Times New Roman"/>
        <family val="1"/>
        <charset val="204"/>
      </rPr>
      <t xml:space="preserve"> (mm)</t>
    </r>
    <phoneticPr fontId="1" type="noConversion"/>
  </si>
  <si>
    <r>
      <rPr>
        <sz val="11"/>
        <color theme="1"/>
        <rFont val="宋体"/>
        <family val="3"/>
        <charset val="134"/>
      </rPr>
      <t>腹板厚度</t>
    </r>
    <r>
      <rPr>
        <sz val="11"/>
        <color theme="1"/>
        <rFont val="Times New Roman"/>
        <family val="1"/>
        <charset val="204"/>
      </rPr>
      <t>(mm)</t>
    </r>
    <phoneticPr fontId="1" type="noConversion"/>
  </si>
  <si>
    <r>
      <rPr>
        <sz val="11"/>
        <color theme="1"/>
        <rFont val="宋体"/>
        <family val="3"/>
        <charset val="134"/>
      </rPr>
      <t>翼板厚度</t>
    </r>
    <r>
      <rPr>
        <sz val="11"/>
        <color theme="1"/>
        <rFont val="Times New Roman"/>
        <family val="1"/>
        <charset val="204"/>
      </rPr>
      <t xml:space="preserve"> (mm)</t>
    </r>
    <phoneticPr fontId="1" type="noConversion"/>
  </si>
  <si>
    <r>
      <t>W</t>
    </r>
    <r>
      <rPr>
        <sz val="11"/>
        <color theme="1"/>
        <rFont val="宋体"/>
        <family val="3"/>
        <charset val="134"/>
      </rPr>
      <t>型钢</t>
    </r>
    <phoneticPr fontId="1" type="noConversion"/>
  </si>
  <si>
    <t>全名</t>
    <phoneticPr fontId="1" type="noConversion"/>
  </si>
  <si>
    <t>tw</t>
    <phoneticPr fontId="1" type="noConversion"/>
  </si>
  <si>
    <t>tf</t>
    <phoneticPr fontId="1" type="noConversion"/>
  </si>
  <si>
    <r>
      <rPr>
        <sz val="11"/>
        <color theme="1"/>
        <rFont val="宋体"/>
        <family val="3"/>
        <charset val="134"/>
      </rPr>
      <t>序号</t>
    </r>
    <phoneticPr fontId="1" type="noConversion"/>
  </si>
  <si>
    <r>
      <rPr>
        <sz val="11"/>
        <color theme="1"/>
        <rFont val="宋体"/>
        <family val="3"/>
        <charset val="134"/>
      </rPr>
      <t>截面尺寸</t>
    </r>
    <phoneticPr fontId="1" type="noConversion"/>
  </si>
  <si>
    <r>
      <rPr>
        <sz val="11"/>
        <color theme="1"/>
        <rFont val="宋体"/>
        <family val="3"/>
        <charset val="134"/>
      </rPr>
      <t>全名</t>
    </r>
    <phoneticPr fontId="1" type="noConversion"/>
  </si>
  <si>
    <t>H100x50x2.3x3.2</t>
  </si>
  <si>
    <t>H100x50x3.2x4.5</t>
  </si>
  <si>
    <t>H100x100x4.5x6</t>
  </si>
  <si>
    <t>H100x100x6x8</t>
  </si>
  <si>
    <t>H120x120x3.2x4.5</t>
  </si>
  <si>
    <t>H120x120x4.5x6</t>
  </si>
  <si>
    <t>H150x75x3.2x4.5</t>
  </si>
  <si>
    <t>H150x75x4.5x6</t>
  </si>
  <si>
    <t>H150x100x3.2x4.5</t>
  </si>
  <si>
    <t>H150x100x4.5x6</t>
  </si>
  <si>
    <t>H150x150x4.5x6</t>
  </si>
  <si>
    <t>H150x150x6x8</t>
  </si>
  <si>
    <t>H200x100x3x3</t>
  </si>
  <si>
    <t>H200x100x3.2x4.5</t>
  </si>
  <si>
    <t>H200x100x4.5x6</t>
  </si>
  <si>
    <t>H200x100x6x8</t>
  </si>
  <si>
    <t>H200x150x3.2x4.5</t>
  </si>
  <si>
    <t>H200x150x4.5x6</t>
  </si>
  <si>
    <t>H200x150x6x8</t>
  </si>
  <si>
    <t>H200x200x6x8</t>
  </si>
  <si>
    <t>H200x125x3x3</t>
  </si>
  <si>
    <t>H200x125x3.2x4.5</t>
  </si>
  <si>
    <r>
      <rPr>
        <sz val="11"/>
        <color theme="1"/>
        <rFont val="宋体"/>
        <family val="3"/>
        <charset val="134"/>
      </rPr>
      <t>外径</t>
    </r>
    <phoneticPr fontId="1" type="noConversion"/>
  </si>
  <si>
    <r>
      <rPr>
        <sz val="11"/>
        <color theme="1"/>
        <rFont val="宋体"/>
        <family val="3"/>
        <charset val="134"/>
      </rPr>
      <t>壁厚</t>
    </r>
    <phoneticPr fontId="1" type="noConversion"/>
  </si>
  <si>
    <r>
      <rPr>
        <sz val="11"/>
        <color theme="1"/>
        <rFont val="宋体"/>
        <family val="3"/>
        <charset val="134"/>
      </rPr>
      <t>无缝</t>
    </r>
    <phoneticPr fontId="1" type="noConversion"/>
  </si>
  <si>
    <r>
      <rPr>
        <sz val="11"/>
        <color theme="1"/>
        <rFont val="宋体"/>
        <family val="3"/>
        <charset val="134"/>
      </rPr>
      <t>焊接</t>
    </r>
    <phoneticPr fontId="1" type="noConversion"/>
  </si>
  <si>
    <t>φ38x2.5</t>
  </si>
  <si>
    <t>φ38x3.0</t>
  </si>
  <si>
    <t>φ38x3.5</t>
  </si>
  <si>
    <t>φ42x2.5</t>
  </si>
  <si>
    <t>φ42x3.0</t>
  </si>
  <si>
    <t>φ42x3.5</t>
  </si>
  <si>
    <t>φ42x4.0</t>
  </si>
  <si>
    <t>φ45x2.5</t>
  </si>
  <si>
    <t>φ45x3.0</t>
  </si>
  <si>
    <t>φ45x3.5</t>
  </si>
  <si>
    <t>φ45x4.0</t>
  </si>
  <si>
    <t>φ50x2.5</t>
  </si>
  <si>
    <t>φ50x3.0</t>
  </si>
  <si>
    <t>φ50x3.5</t>
  </si>
  <si>
    <t>φ50x4.0</t>
  </si>
  <si>
    <t>φ50x4.5</t>
  </si>
  <si>
    <t>φ50x5.0</t>
  </si>
  <si>
    <t>φ54x3.0</t>
  </si>
  <si>
    <t>φ54x3.5</t>
  </si>
  <si>
    <t>φ54x4.0</t>
  </si>
  <si>
    <t>φ54x4.5</t>
  </si>
  <si>
    <t>φ54x5.0</t>
  </si>
  <si>
    <t>φ57x3.0</t>
  </si>
  <si>
    <t>φ57x3.5</t>
  </si>
  <si>
    <t>φ57x4.0</t>
  </si>
  <si>
    <t>φ57x4.5</t>
  </si>
  <si>
    <t>φ57x5.0</t>
  </si>
  <si>
    <t>φ57x5.5</t>
  </si>
  <si>
    <t>φ60x3.0</t>
  </si>
  <si>
    <t>φ60x3.5</t>
  </si>
  <si>
    <t>φ60x4.0</t>
  </si>
  <si>
    <t>φ60x4.5</t>
  </si>
  <si>
    <t>φ60x5.0</t>
  </si>
  <si>
    <t>φ60x5.5</t>
  </si>
  <si>
    <t>φ60x6.0</t>
  </si>
  <si>
    <t>φ63.5x3.0</t>
  </si>
  <si>
    <t>φ63.5x3.5</t>
  </si>
  <si>
    <t>φ63.5x4.0</t>
  </si>
  <si>
    <t>φ63.5x4.5</t>
  </si>
  <si>
    <t>φ63.5x5.0</t>
  </si>
  <si>
    <t>φ63.5x5.5</t>
  </si>
  <si>
    <t>φ63.5x6.0</t>
  </si>
  <si>
    <t>φ68x3.0</t>
  </si>
  <si>
    <t>φ68x3.5</t>
  </si>
  <si>
    <t>φ68x4.0</t>
  </si>
  <si>
    <t>φ68x4.5</t>
  </si>
  <si>
    <t>φ68x5.0</t>
  </si>
  <si>
    <t>φ68x5.5</t>
  </si>
  <si>
    <t>φ68x6.0</t>
  </si>
  <si>
    <t>φ70x3.0</t>
  </si>
  <si>
    <t>φ70x3.5</t>
  </si>
  <si>
    <t>φ70x4.0</t>
  </si>
  <si>
    <t>φ70x4.5</t>
  </si>
  <si>
    <t>φ70x5.0</t>
  </si>
  <si>
    <t>φ70x5.5</t>
  </si>
  <si>
    <t>φ70x6.0</t>
  </si>
  <si>
    <t>φ70x6.5</t>
  </si>
  <si>
    <t>φ70x7.0</t>
  </si>
  <si>
    <t>φ73x3.0</t>
  </si>
  <si>
    <t>φ73x3.5</t>
  </si>
  <si>
    <t>φ73x4.0</t>
  </si>
  <si>
    <t>φ73x4.5</t>
  </si>
  <si>
    <t>φ73x5.0</t>
  </si>
  <si>
    <t>φ73x5.5</t>
  </si>
  <si>
    <t>φ73x6.0</t>
  </si>
  <si>
    <t>φ73x7.0</t>
  </si>
  <si>
    <t>φ76x3.0</t>
  </si>
  <si>
    <t>φ76x3.5</t>
  </si>
  <si>
    <t>φ76x4.0</t>
  </si>
  <si>
    <t>φ76x4.5</t>
  </si>
  <si>
    <t>φ76x5.0</t>
  </si>
  <si>
    <t>φ76x5.5</t>
  </si>
  <si>
    <t>φ76x6.0</t>
  </si>
  <si>
    <t>φ76x7.0</t>
  </si>
  <si>
    <t>φ83x3.5</t>
  </si>
  <si>
    <t>φ83x4.0</t>
  </si>
  <si>
    <t>φ83x4.5</t>
  </si>
  <si>
    <t>φ83x5.0</t>
  </si>
  <si>
    <t>φ83x5.5</t>
  </si>
  <si>
    <t>φ83x6.0</t>
  </si>
  <si>
    <t>φ83x7.0</t>
  </si>
  <si>
    <t>φ83x8.0</t>
  </si>
  <si>
    <t>φ89x3.5</t>
  </si>
  <si>
    <t>φ89x4.0</t>
  </si>
  <si>
    <t>φ89x4.5</t>
  </si>
  <si>
    <t>φ89x5.0</t>
  </si>
  <si>
    <t>φ89x5.5</t>
  </si>
  <si>
    <t>φ89x6.0</t>
  </si>
  <si>
    <t>φ89x7.0</t>
  </si>
  <si>
    <t>φ89x8.0</t>
  </si>
  <si>
    <t>φ95x3.5</t>
  </si>
  <si>
    <t>φ95x4.0</t>
  </si>
  <si>
    <t>φ95x4.5</t>
  </si>
  <si>
    <t>φ95x5.0</t>
  </si>
  <si>
    <t>φ95x5.5</t>
  </si>
  <si>
    <t>φ95x6.0</t>
  </si>
  <si>
    <t>φ95x7.0</t>
  </si>
  <si>
    <t>φ95x8.0</t>
  </si>
  <si>
    <t>φ102x3.5</t>
  </si>
  <si>
    <t>φ102x4.0</t>
  </si>
  <si>
    <t>φ102x4.5</t>
  </si>
  <si>
    <t>φ102x5.0</t>
  </si>
  <si>
    <t>φ102x5.5</t>
  </si>
  <si>
    <t>φ102x6.0</t>
  </si>
  <si>
    <t>φ102x7.0</t>
  </si>
  <si>
    <t>φ102x8.0</t>
  </si>
  <si>
    <t>φ102x10.0</t>
  </si>
  <si>
    <t>φ108x4.0</t>
  </si>
  <si>
    <t>φ108x4.5</t>
  </si>
  <si>
    <t>φ108x5.0</t>
  </si>
  <si>
    <t>φ108x5.5</t>
  </si>
  <si>
    <t>φ108x6.0</t>
  </si>
  <si>
    <t>φ108x7.0</t>
  </si>
  <si>
    <t>φ108x8.0</t>
  </si>
  <si>
    <t>φ108x10.0</t>
  </si>
  <si>
    <t>φ114x4.0</t>
  </si>
  <si>
    <t>φ114x4.5</t>
  </si>
  <si>
    <t>φ114x5.0</t>
  </si>
  <si>
    <t>φ114x5.5</t>
  </si>
  <si>
    <t>φ114x6.0</t>
  </si>
  <si>
    <t>φ114x7.0</t>
  </si>
  <si>
    <t>φ114x8.0</t>
  </si>
  <si>
    <t>φ114x10.0</t>
  </si>
  <si>
    <t>φ121x4.0</t>
  </si>
  <si>
    <t>φ121x4.5</t>
  </si>
  <si>
    <t>φ121x5.0</t>
  </si>
  <si>
    <t>φ121x5.5</t>
  </si>
  <si>
    <t>φ121x6.0</t>
  </si>
  <si>
    <t>φ121x7.0</t>
  </si>
  <si>
    <t>φ121x8.0</t>
  </si>
  <si>
    <t>φ121x10.0</t>
  </si>
  <si>
    <t>φ127x4.0</t>
  </si>
  <si>
    <t>φ127x4.5</t>
  </si>
  <si>
    <t>φ127x5.0</t>
  </si>
  <si>
    <t>φ127x5.5</t>
  </si>
  <si>
    <t>φ127x6.0</t>
  </si>
  <si>
    <t>φ127x7.0</t>
  </si>
  <si>
    <t>φ127x8.0</t>
  </si>
  <si>
    <t>φ127x10.0</t>
  </si>
  <si>
    <t>φ127x12.0</t>
  </si>
  <si>
    <t>φ133x4.0</t>
  </si>
  <si>
    <t>φ133x4.5</t>
  </si>
  <si>
    <t>φ133x5.0</t>
  </si>
  <si>
    <t>φ133x5.5</t>
  </si>
  <si>
    <t>φ133x6.0</t>
  </si>
  <si>
    <t>φ133x7.0</t>
  </si>
  <si>
    <t>φ133x8.0</t>
  </si>
  <si>
    <t>φ133x10.0</t>
  </si>
  <si>
    <t>φ133x12.0</t>
  </si>
  <si>
    <t>φ140x4.5</t>
  </si>
  <si>
    <t>φ140x5.0</t>
  </si>
  <si>
    <t>φ140x5.5</t>
  </si>
  <si>
    <t>φ140x6.0</t>
  </si>
  <si>
    <t>φ140x7.0</t>
  </si>
  <si>
    <t>φ140x8.0</t>
  </si>
  <si>
    <t>φ140x10.0</t>
  </si>
  <si>
    <t>φ140x12.0</t>
  </si>
  <si>
    <t>φ140x14.0</t>
  </si>
  <si>
    <t>φ146x5.0</t>
  </si>
  <si>
    <t>φ146x5.5</t>
  </si>
  <si>
    <t>φ146x6.0</t>
  </si>
  <si>
    <t>φ146x7.0</t>
  </si>
  <si>
    <t>φ146x8.0</t>
  </si>
  <si>
    <t>φ146x10.0</t>
  </si>
  <si>
    <t>φ146x12.0</t>
  </si>
  <si>
    <t>φ146x14.0</t>
  </si>
  <si>
    <t>φ152x5.0</t>
  </si>
  <si>
    <t>φ152x5.5</t>
  </si>
  <si>
    <t>φ152x6.0</t>
  </si>
  <si>
    <t>φ152x7.0</t>
  </si>
  <si>
    <t>φ152x8.0</t>
  </si>
  <si>
    <t>φ152x10.0</t>
  </si>
  <si>
    <t>φ152x12.0</t>
  </si>
  <si>
    <t>φ152x14.0</t>
  </si>
  <si>
    <t>φ159x5.0</t>
  </si>
  <si>
    <t>φ159x6.0</t>
  </si>
  <si>
    <t>φ159x7.0</t>
  </si>
  <si>
    <t>φ159x8.0</t>
  </si>
  <si>
    <t>φ159x10.0</t>
  </si>
  <si>
    <t>φ159x12.0</t>
  </si>
  <si>
    <t>φ159x14.0</t>
  </si>
  <si>
    <t>φ168x5.0</t>
  </si>
  <si>
    <t>φ168x6.0</t>
  </si>
  <si>
    <t>φ168x7.0</t>
  </si>
  <si>
    <t>φ168x8.0</t>
  </si>
  <si>
    <t>φ168x10.0</t>
  </si>
  <si>
    <t>φ168x12.0</t>
  </si>
  <si>
    <t>φ168x14.0</t>
  </si>
  <si>
    <t>φ168x16.0</t>
  </si>
  <si>
    <t>φ180x5.0</t>
  </si>
  <si>
    <t>φ180x6.0</t>
  </si>
  <si>
    <t>φ180x7.0</t>
  </si>
  <si>
    <t>φ180x8.0</t>
  </si>
  <si>
    <t>φ180x10.0</t>
  </si>
  <si>
    <t>φ180x12.0</t>
  </si>
  <si>
    <t>φ180x14.0</t>
  </si>
  <si>
    <t>φ180x16.0</t>
  </si>
  <si>
    <t>φ194x5.0</t>
  </si>
  <si>
    <t>φ194x6.0</t>
  </si>
  <si>
    <t>φ194x7.0</t>
  </si>
  <si>
    <t>φ194x8.0</t>
  </si>
  <si>
    <t>φ194x10.0</t>
  </si>
  <si>
    <t>φ194x12.0</t>
  </si>
  <si>
    <t>φ194x14.0</t>
  </si>
  <si>
    <t>φ194x16.0</t>
  </si>
  <si>
    <t>φ194x18.0</t>
  </si>
  <si>
    <t>φ203x6.0</t>
  </si>
  <si>
    <t>φ203x8.0</t>
  </si>
  <si>
    <t>φ203x10.0</t>
  </si>
  <si>
    <t>φ203x12.0</t>
  </si>
  <si>
    <t>φ203x14.0</t>
  </si>
  <si>
    <t>φ203x16.0</t>
  </si>
  <si>
    <t>φ203x18.0</t>
  </si>
  <si>
    <t>φ219x6.0</t>
  </si>
  <si>
    <t>φ219x8.0</t>
  </si>
  <si>
    <t>φ219x10.0</t>
  </si>
  <si>
    <t>φ219x12.0</t>
  </si>
  <si>
    <t>φ219x14.0</t>
  </si>
  <si>
    <t>φ219x16.0</t>
  </si>
  <si>
    <t>φ219x18.0</t>
  </si>
  <si>
    <t>φ219x20.0</t>
  </si>
  <si>
    <t>φ245x7.0</t>
  </si>
  <si>
    <t>φ245x8.0</t>
  </si>
  <si>
    <t>φ245x10.0</t>
  </si>
  <si>
    <t>φ245x12.0</t>
  </si>
  <si>
    <t>φ245x14.0</t>
  </si>
  <si>
    <t>φ245x16.0</t>
  </si>
  <si>
    <t>φ245x18.0</t>
  </si>
  <si>
    <t>φ245x20.0</t>
  </si>
  <si>
    <t>φ273x8.0</t>
  </si>
  <si>
    <t>φ273x10.0</t>
  </si>
  <si>
    <t>φ273x12.0</t>
  </si>
  <si>
    <t>φ273x14.0</t>
  </si>
  <si>
    <t>φ273x16.0</t>
  </si>
  <si>
    <t>φ273x18.0</t>
  </si>
  <si>
    <t>φ273x20.0</t>
  </si>
  <si>
    <t>φ299x8.0</t>
  </si>
  <si>
    <t>φ299x10.0</t>
  </si>
  <si>
    <t>φ299x12.0</t>
  </si>
  <si>
    <t>φ299x14.0</t>
  </si>
  <si>
    <t>φ299x16.0</t>
  </si>
  <si>
    <t>φ299x18.0</t>
  </si>
  <si>
    <t>φ299x20.0</t>
  </si>
  <si>
    <t>φ30x2.0</t>
  </si>
  <si>
    <t>φ30x2.5</t>
  </si>
  <si>
    <t>φ34x2.0</t>
  </si>
  <si>
    <t>φ34x2.5</t>
  </si>
  <si>
    <t>φ38x2.0</t>
  </si>
  <si>
    <t>φ40x2.0</t>
  </si>
  <si>
    <t>φ40x2.5</t>
  </si>
  <si>
    <t>φ42x2.0</t>
  </si>
  <si>
    <t>φ45x2.0</t>
  </si>
  <si>
    <t>φ51x2.0</t>
  </si>
  <si>
    <t>φ51x2.5</t>
  </si>
  <si>
    <t>φ51x3.0</t>
  </si>
  <si>
    <t>φ51x3.5</t>
  </si>
  <si>
    <t>φ54x2.0</t>
  </si>
  <si>
    <t>φ54x2.5</t>
  </si>
  <si>
    <t>φ57x2.0</t>
  </si>
  <si>
    <t>φ57x2.5</t>
  </si>
  <si>
    <t>φ60x2.0</t>
  </si>
  <si>
    <t>φ60x2.5</t>
  </si>
  <si>
    <t>φ63.5x2.0</t>
  </si>
  <si>
    <t>φ63.5x2.5</t>
  </si>
  <si>
    <t>φ70x2.0</t>
  </si>
  <si>
    <t>φ70x2.5</t>
  </si>
  <si>
    <t>φ76x2.0</t>
  </si>
  <si>
    <t>φ76x2.5</t>
  </si>
  <si>
    <t>φ83x2.0</t>
  </si>
  <si>
    <t>φ83x2.5</t>
  </si>
  <si>
    <t>φ83x3.0</t>
  </si>
  <si>
    <t>φ89x2.0</t>
  </si>
  <si>
    <t>φ89x2.5</t>
  </si>
  <si>
    <t>φ89x3.0</t>
  </si>
  <si>
    <t>φ95x2.0</t>
  </si>
  <si>
    <t>φ95x2.5</t>
  </si>
  <si>
    <t>φ95x3.0</t>
  </si>
  <si>
    <t>φ102x2.0</t>
  </si>
  <si>
    <t>φ102x2.5</t>
  </si>
  <si>
    <t>φ102x3.0</t>
  </si>
  <si>
    <t>φ108x3.0</t>
  </si>
  <si>
    <t>φ108x3.5</t>
  </si>
  <si>
    <t>φ114x3.0</t>
  </si>
  <si>
    <t>φ114x3.5</t>
  </si>
  <si>
    <t>φ121x3.0</t>
  </si>
  <si>
    <t>φ121x3.5</t>
  </si>
  <si>
    <t>φ127x3.0</t>
  </si>
  <si>
    <t>φ127x3.5</t>
  </si>
  <si>
    <t>φ140x4.0</t>
  </si>
  <si>
    <t>焊接钢管</t>
    <phoneticPr fontId="1" type="noConversion"/>
  </si>
  <si>
    <r>
      <t>W</t>
    </r>
    <r>
      <rPr>
        <b/>
        <sz val="18"/>
        <color theme="1"/>
        <rFont val="宋体"/>
        <family val="3"/>
        <charset val="134"/>
      </rPr>
      <t>型钢</t>
    </r>
    <phoneticPr fontId="1" type="noConversion"/>
  </si>
  <si>
    <r>
      <rPr>
        <b/>
        <sz val="18"/>
        <color theme="1"/>
        <rFont val="宋体"/>
        <family val="3"/>
        <charset val="134"/>
      </rPr>
      <t>热轧</t>
    </r>
    <r>
      <rPr>
        <b/>
        <sz val="18"/>
        <color theme="1"/>
        <rFont val="Times New Roman"/>
        <family val="1"/>
        <charset val="204"/>
      </rPr>
      <t>H</t>
    </r>
    <r>
      <rPr>
        <b/>
        <sz val="18"/>
        <color theme="1"/>
        <rFont val="宋体"/>
        <family val="3"/>
        <charset val="134"/>
      </rPr>
      <t>型钢</t>
    </r>
    <phoneticPr fontId="1" type="noConversion"/>
  </si>
  <si>
    <r>
      <rPr>
        <b/>
        <sz val="18"/>
        <color theme="1"/>
        <rFont val="宋体"/>
        <family val="3"/>
        <charset val="134"/>
      </rPr>
      <t>高频焊</t>
    </r>
    <r>
      <rPr>
        <b/>
        <sz val="18"/>
        <color theme="1"/>
        <rFont val="Times New Roman"/>
        <family val="1"/>
        <charset val="204"/>
      </rPr>
      <t>H</t>
    </r>
    <r>
      <rPr>
        <b/>
        <sz val="18"/>
        <color theme="1"/>
        <rFont val="宋体"/>
        <family val="3"/>
        <charset val="134"/>
      </rPr>
      <t>型钢</t>
    </r>
    <phoneticPr fontId="1" type="noConversion"/>
  </si>
  <si>
    <r>
      <rPr>
        <b/>
        <sz val="18"/>
        <color theme="1"/>
        <rFont val="宋体"/>
        <family val="3"/>
        <charset val="134"/>
      </rPr>
      <t>无缝钢管</t>
    </r>
    <phoneticPr fontId="1" type="noConversion"/>
  </si>
  <si>
    <t>Name</t>
    <phoneticPr fontId="1" type="noConversion"/>
  </si>
  <si>
    <t>D</t>
    <phoneticPr fontId="1" type="noConversion"/>
  </si>
  <si>
    <t>t</t>
    <phoneticPr fontId="1" type="noConversion"/>
  </si>
  <si>
    <t>方管</t>
    <phoneticPr fontId="1" type="noConversion"/>
  </si>
  <si>
    <t>规格</t>
    <phoneticPr fontId="1" type="noConversion"/>
  </si>
  <si>
    <t>h</t>
  </si>
  <si>
    <t>b</t>
  </si>
  <si>
    <t>d</t>
  </si>
  <si>
    <t>t</t>
  </si>
  <si>
    <t>r</t>
    <phoneticPr fontId="1" type="noConversion"/>
  </si>
  <si>
    <t>C5#</t>
  </si>
  <si>
    <t>C6.3#</t>
  </si>
  <si>
    <t>C6.5#</t>
  </si>
  <si>
    <t>C8#</t>
  </si>
  <si>
    <t>C10#</t>
  </si>
  <si>
    <t>C12#</t>
  </si>
  <si>
    <t>C12.6#</t>
  </si>
  <si>
    <t>C14a#</t>
  </si>
  <si>
    <t>C14b#</t>
  </si>
  <si>
    <t>C16a#</t>
  </si>
  <si>
    <t>C16b#</t>
  </si>
  <si>
    <t>C18a#</t>
  </si>
  <si>
    <t>C18b#</t>
  </si>
  <si>
    <t>C20a#</t>
  </si>
  <si>
    <t>C20b#</t>
  </si>
  <si>
    <t>C22a#</t>
  </si>
  <si>
    <t>C22b#</t>
  </si>
  <si>
    <t>C24a#</t>
  </si>
  <si>
    <t>C24b#</t>
  </si>
  <si>
    <t>C24c#</t>
  </si>
  <si>
    <t>C25a#</t>
  </si>
  <si>
    <t>C25b#</t>
  </si>
  <si>
    <t>C25c#</t>
  </si>
  <si>
    <t>C27a#</t>
  </si>
  <si>
    <t>C27b#</t>
  </si>
  <si>
    <t>C27c#</t>
  </si>
  <si>
    <t>C28a#</t>
  </si>
  <si>
    <t>C28b#</t>
  </si>
  <si>
    <t>C28c#</t>
  </si>
  <si>
    <t>C30a#</t>
  </si>
  <si>
    <t>C30b#</t>
  </si>
  <si>
    <t>C30c#</t>
  </si>
  <si>
    <t>C32a#</t>
  </si>
  <si>
    <t>C32b#</t>
  </si>
  <si>
    <t>C32c#</t>
  </si>
  <si>
    <t>C36a#</t>
  </si>
  <si>
    <t>C36b#</t>
  </si>
  <si>
    <t>C36c#</t>
  </si>
  <si>
    <t>C40a#</t>
  </si>
  <si>
    <t>C40b#</t>
  </si>
  <si>
    <t>C40c#</t>
  </si>
  <si>
    <r>
      <rPr>
        <b/>
        <sz val="12"/>
        <color theme="1"/>
        <rFont val="黑体"/>
        <family val="3"/>
        <charset val="134"/>
      </rPr>
      <t>热轧槽钢</t>
    </r>
    <phoneticPr fontId="1" type="noConversion"/>
  </si>
  <si>
    <r>
      <rPr>
        <sz val="12"/>
        <color indexed="63"/>
        <rFont val="宋体"/>
        <family val="3"/>
        <charset val="134"/>
      </rPr>
      <t>型号</t>
    </r>
  </si>
  <si>
    <r>
      <rPr>
        <sz val="12"/>
        <color rgb="FF333333"/>
        <rFont val="宋体"/>
        <family val="1"/>
        <charset val="134"/>
      </rPr>
      <t>规格</t>
    </r>
    <phoneticPr fontId="1" type="noConversion"/>
  </si>
  <si>
    <r>
      <rPr>
        <sz val="12"/>
        <color indexed="63"/>
        <rFont val="宋体"/>
        <family val="3"/>
        <charset val="134"/>
      </rPr>
      <t>截面尺寸／</t>
    </r>
    <r>
      <rPr>
        <sz val="12"/>
        <color indexed="63"/>
        <rFont val="Times New Roman"/>
        <family val="1"/>
      </rPr>
      <t>mm</t>
    </r>
    <phoneticPr fontId="1" type="noConversion"/>
  </si>
  <si>
    <r>
      <rPr>
        <sz val="12"/>
        <color indexed="63"/>
        <rFont val="宋体"/>
        <family val="3"/>
        <charset val="134"/>
      </rPr>
      <t xml:space="preserve">截面面积
</t>
    </r>
    <r>
      <rPr>
        <sz val="12"/>
        <color indexed="63"/>
        <rFont val="Times New Roman"/>
        <family val="1"/>
      </rPr>
      <t>(</t>
    </r>
    <r>
      <rPr>
        <sz val="12"/>
        <color rgb="FF333333"/>
        <rFont val="Times New Roman"/>
        <family val="1"/>
      </rPr>
      <t>cm</t>
    </r>
    <r>
      <rPr>
        <vertAlign val="superscript"/>
        <sz val="12"/>
        <color rgb="FF333333"/>
        <rFont val="Times New Roman"/>
        <family val="1"/>
      </rPr>
      <t>2</t>
    </r>
    <r>
      <rPr>
        <sz val="12"/>
        <color indexed="63"/>
        <rFont val="Times New Roman"/>
        <family val="1"/>
      </rPr>
      <t>)</t>
    </r>
    <phoneticPr fontId="1" type="noConversion"/>
  </si>
  <si>
    <r>
      <rPr>
        <sz val="12"/>
        <color indexed="63"/>
        <rFont val="宋体"/>
        <family val="3"/>
        <charset val="134"/>
      </rPr>
      <t xml:space="preserve">理论重量
</t>
    </r>
    <r>
      <rPr>
        <sz val="12"/>
        <color indexed="63"/>
        <rFont val="Times New Roman"/>
        <family val="1"/>
      </rPr>
      <t>(kg/m)</t>
    </r>
    <phoneticPr fontId="1" type="noConversion"/>
  </si>
  <si>
    <r>
      <rPr>
        <sz val="12"/>
        <color indexed="63"/>
        <rFont val="宋体"/>
        <family val="3"/>
        <charset val="134"/>
      </rPr>
      <t>惯性矩</t>
    </r>
    <r>
      <rPr>
        <sz val="12"/>
        <color indexed="63"/>
        <rFont val="Times New Roman"/>
        <family val="1"/>
      </rPr>
      <t>/cm</t>
    </r>
    <phoneticPr fontId="1" type="noConversion"/>
  </si>
  <si>
    <r>
      <rPr>
        <sz val="12"/>
        <color indexed="63"/>
        <rFont val="宋体"/>
        <family val="3"/>
        <charset val="134"/>
      </rPr>
      <t>惯性半径</t>
    </r>
    <r>
      <rPr>
        <sz val="12"/>
        <color indexed="63"/>
        <rFont val="Times New Roman"/>
        <family val="1"/>
      </rPr>
      <t>/cm</t>
    </r>
    <phoneticPr fontId="1" type="noConversion"/>
  </si>
  <si>
    <r>
      <rPr>
        <sz val="12"/>
        <color indexed="63"/>
        <rFont val="宋体"/>
        <family val="3"/>
        <charset val="134"/>
      </rPr>
      <t>截面模数</t>
    </r>
    <r>
      <rPr>
        <sz val="12"/>
        <color indexed="63"/>
        <rFont val="Times New Roman"/>
        <family val="1"/>
      </rPr>
      <t>/cm</t>
    </r>
    <r>
      <rPr>
        <vertAlign val="superscript"/>
        <sz val="12"/>
        <color rgb="FF333333"/>
        <rFont val="Times New Roman"/>
        <family val="1"/>
      </rPr>
      <t>3</t>
    </r>
    <phoneticPr fontId="1" type="noConversion"/>
  </si>
  <si>
    <r>
      <rPr>
        <sz val="12"/>
        <color indexed="63"/>
        <rFont val="宋体"/>
        <family val="3"/>
        <charset val="134"/>
      </rPr>
      <t>重心距离／</t>
    </r>
    <r>
      <rPr>
        <sz val="12"/>
        <color indexed="63"/>
        <rFont val="Times New Roman"/>
        <family val="1"/>
      </rPr>
      <t>cm</t>
    </r>
    <phoneticPr fontId="1" type="noConversion"/>
  </si>
  <si>
    <r>
      <t>r</t>
    </r>
    <r>
      <rPr>
        <i/>
        <vertAlign val="subscript"/>
        <sz val="12"/>
        <color rgb="FF000000"/>
        <rFont val="Times New Roman"/>
        <family val="1"/>
      </rPr>
      <t>1</t>
    </r>
    <phoneticPr fontId="1" type="noConversion"/>
  </si>
  <si>
    <r>
      <t>I</t>
    </r>
    <r>
      <rPr>
        <i/>
        <vertAlign val="subscript"/>
        <sz val="12"/>
        <color rgb="FF000000"/>
        <rFont val="Times New Roman"/>
        <family val="1"/>
      </rPr>
      <t>x</t>
    </r>
    <phoneticPr fontId="1" type="noConversion"/>
  </si>
  <si>
    <r>
      <t>I</t>
    </r>
    <r>
      <rPr>
        <i/>
        <vertAlign val="subscript"/>
        <sz val="12"/>
        <color rgb="FF333333"/>
        <rFont val="Times New Roman"/>
        <family val="1"/>
      </rPr>
      <t>y</t>
    </r>
    <phoneticPr fontId="1" type="noConversion"/>
  </si>
  <si>
    <r>
      <t>I</t>
    </r>
    <r>
      <rPr>
        <i/>
        <vertAlign val="subscript"/>
        <sz val="12"/>
        <color rgb="FF333333"/>
        <rFont val="Times New Roman"/>
        <family val="1"/>
      </rPr>
      <t>y1</t>
    </r>
    <phoneticPr fontId="1" type="noConversion"/>
  </si>
  <si>
    <r>
      <t>i</t>
    </r>
    <r>
      <rPr>
        <i/>
        <vertAlign val="subscript"/>
        <sz val="12"/>
        <color rgb="FF333333"/>
        <rFont val="Times New Roman"/>
        <family val="1"/>
      </rPr>
      <t>x</t>
    </r>
    <phoneticPr fontId="1" type="noConversion"/>
  </si>
  <si>
    <r>
      <t>i</t>
    </r>
    <r>
      <rPr>
        <i/>
        <vertAlign val="subscript"/>
        <sz val="12"/>
        <color rgb="FF333333"/>
        <rFont val="Times New Roman"/>
        <family val="1"/>
      </rPr>
      <t>y</t>
    </r>
    <phoneticPr fontId="1" type="noConversion"/>
  </si>
  <si>
    <r>
      <t>W</t>
    </r>
    <r>
      <rPr>
        <i/>
        <vertAlign val="subscript"/>
        <sz val="12"/>
        <color rgb="FF333333"/>
        <rFont val="Times New Roman"/>
        <family val="1"/>
      </rPr>
      <t>x</t>
    </r>
    <phoneticPr fontId="1" type="noConversion"/>
  </si>
  <si>
    <r>
      <t>W</t>
    </r>
    <r>
      <rPr>
        <i/>
        <vertAlign val="subscript"/>
        <sz val="12"/>
        <color rgb="FF000000"/>
        <rFont val="Times New Roman"/>
        <family val="1"/>
      </rPr>
      <t>y</t>
    </r>
    <phoneticPr fontId="1" type="noConversion"/>
  </si>
  <si>
    <r>
      <t>Z</t>
    </r>
    <r>
      <rPr>
        <i/>
        <vertAlign val="subscript"/>
        <sz val="12"/>
        <color rgb="FF333333"/>
        <rFont val="Times New Roman"/>
        <family val="1"/>
      </rPr>
      <t>0</t>
    </r>
    <phoneticPr fontId="1" type="noConversion"/>
  </si>
  <si>
    <t>热轧等边角钢</t>
    <phoneticPr fontId="1" type="noConversion"/>
  </si>
  <si>
    <r>
      <rPr>
        <sz val="11"/>
        <color theme="1"/>
        <rFont val="宋体"/>
        <family val="1"/>
        <charset val="134"/>
      </rPr>
      <t>型号</t>
    </r>
    <phoneticPr fontId="1" type="noConversion"/>
  </si>
  <si>
    <r>
      <rPr>
        <sz val="11"/>
        <color theme="1"/>
        <rFont val="宋体"/>
        <family val="1"/>
        <charset val="134"/>
      </rPr>
      <t>截面尺寸</t>
    </r>
    <r>
      <rPr>
        <sz val="11"/>
        <color theme="1"/>
        <rFont val="Times New Roman"/>
        <family val="1"/>
      </rPr>
      <t>/mm</t>
    </r>
    <phoneticPr fontId="1" type="noConversion"/>
  </si>
  <si>
    <r>
      <rPr>
        <sz val="11"/>
        <color theme="1"/>
        <rFont val="宋体"/>
        <family val="1"/>
        <charset val="134"/>
      </rPr>
      <t>截面面积</t>
    </r>
    <phoneticPr fontId="1" type="noConversion"/>
  </si>
  <si>
    <r>
      <rPr>
        <sz val="11"/>
        <color theme="1"/>
        <rFont val="宋体"/>
        <family val="1"/>
        <charset val="134"/>
      </rPr>
      <t>理论重量</t>
    </r>
    <phoneticPr fontId="1" type="noConversion"/>
  </si>
  <si>
    <r>
      <rPr>
        <sz val="11"/>
        <color theme="1"/>
        <rFont val="宋体"/>
        <family val="1"/>
        <charset val="134"/>
      </rPr>
      <t>外表面积</t>
    </r>
    <phoneticPr fontId="1" type="noConversion"/>
  </si>
  <si>
    <t>b</t>
    <phoneticPr fontId="1" type="noConversion"/>
  </si>
  <si>
    <t>d</t>
    <phoneticPr fontId="1" type="noConversion"/>
  </si>
  <si>
    <r>
      <t>r</t>
    </r>
    <r>
      <rPr>
        <i/>
        <vertAlign val="subscript"/>
        <sz val="11"/>
        <color theme="1"/>
        <rFont val="Times New Roman"/>
        <family val="1"/>
      </rPr>
      <t>1</t>
    </r>
    <phoneticPr fontId="1" type="noConversion"/>
  </si>
  <si>
    <r>
      <t>cm</t>
    </r>
    <r>
      <rPr>
        <vertAlign val="superscript"/>
        <sz val="11"/>
        <color theme="1"/>
        <rFont val="Times New Roman"/>
        <family val="1"/>
      </rPr>
      <t>2</t>
    </r>
    <phoneticPr fontId="1" type="noConversion"/>
  </si>
  <si>
    <t>kg/m</t>
    <phoneticPr fontId="1" type="noConversion"/>
  </si>
  <si>
    <r>
      <t>m</t>
    </r>
    <r>
      <rPr>
        <vertAlign val="super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>/m</t>
    </r>
    <phoneticPr fontId="1" type="noConversion"/>
  </si>
  <si>
    <t>o.293</t>
  </si>
  <si>
    <t>29.625</t>
  </si>
  <si>
    <t>o.709</t>
  </si>
  <si>
    <t>o.708</t>
  </si>
  <si>
    <t>o.788</t>
  </si>
  <si>
    <t>o.787</t>
  </si>
  <si>
    <t>o.785</t>
  </si>
  <si>
    <t>72.751</t>
  </si>
  <si>
    <t>78.902</t>
  </si>
  <si>
    <t>0.9&amp;5</t>
  </si>
  <si>
    <t>124.154</t>
  </si>
  <si>
    <t>热轧不等边角钢</t>
    <phoneticPr fontId="1" type="noConversion"/>
  </si>
  <si>
    <r>
      <rPr>
        <sz val="11"/>
        <color theme="1"/>
        <rFont val="等线"/>
        <family val="3"/>
        <charset val="134"/>
      </rPr>
      <t>型号</t>
    </r>
    <phoneticPr fontId="1" type="noConversion"/>
  </si>
  <si>
    <r>
      <rPr>
        <sz val="11"/>
        <color theme="1"/>
        <rFont val="等线"/>
        <family val="3"/>
        <charset val="134"/>
      </rPr>
      <t>截面尺寸</t>
    </r>
    <r>
      <rPr>
        <sz val="11"/>
        <color theme="1"/>
        <rFont val="Times New Roman"/>
        <family val="1"/>
      </rPr>
      <t>/mm</t>
    </r>
    <phoneticPr fontId="1" type="noConversion"/>
  </si>
  <si>
    <r>
      <rPr>
        <sz val="11"/>
        <color theme="1"/>
        <rFont val="等线"/>
        <family val="3"/>
        <charset val="134"/>
      </rPr>
      <t>截面面积</t>
    </r>
    <phoneticPr fontId="1" type="noConversion"/>
  </si>
  <si>
    <r>
      <rPr>
        <sz val="11"/>
        <color theme="1"/>
        <rFont val="等线"/>
        <family val="3"/>
        <charset val="134"/>
      </rPr>
      <t>理论重量</t>
    </r>
    <phoneticPr fontId="1" type="noConversion"/>
  </si>
  <si>
    <r>
      <rPr>
        <sz val="11"/>
        <color theme="1"/>
        <rFont val="等线"/>
        <family val="3"/>
        <charset val="134"/>
      </rPr>
      <t>外表面积</t>
    </r>
    <phoneticPr fontId="1" type="noConversion"/>
  </si>
  <si>
    <t>2.5/1.6</t>
    <phoneticPr fontId="1" type="noConversion"/>
  </si>
  <si>
    <t>3.2/2</t>
  </si>
  <si>
    <t>4/2.5</t>
    <phoneticPr fontId="1" type="noConversion"/>
  </si>
  <si>
    <t>4/2.5</t>
  </si>
  <si>
    <t>4.5/2.8</t>
    <phoneticPr fontId="1" type="noConversion"/>
  </si>
  <si>
    <t>5/3.2</t>
  </si>
  <si>
    <t>5.6/3.6</t>
    <phoneticPr fontId="1" type="noConversion"/>
  </si>
  <si>
    <t>6.3/4</t>
    <phoneticPr fontId="1" type="noConversion"/>
  </si>
  <si>
    <t>7/4.5</t>
  </si>
  <si>
    <t>7.5/5</t>
  </si>
  <si>
    <t>8/5</t>
  </si>
  <si>
    <t>9/5.6</t>
  </si>
  <si>
    <t>10/6.3</t>
  </si>
  <si>
    <t>10/8</t>
    <phoneticPr fontId="1" type="noConversion"/>
  </si>
  <si>
    <t>11/7</t>
    <phoneticPr fontId="1" type="noConversion"/>
  </si>
  <si>
    <t>12.5/8</t>
    <phoneticPr fontId="1" type="noConversion"/>
  </si>
  <si>
    <t>14/9</t>
    <phoneticPr fontId="1" type="noConversion"/>
  </si>
  <si>
    <t>15/9</t>
    <phoneticPr fontId="1" type="noConversion"/>
  </si>
  <si>
    <t>16/10</t>
  </si>
  <si>
    <t>18/11</t>
  </si>
  <si>
    <t>20/12.5</t>
    <phoneticPr fontId="1" type="noConversion"/>
  </si>
  <si>
    <t>r1</t>
  </si>
  <si>
    <t>H</t>
    <phoneticPr fontId="1" type="noConversion"/>
  </si>
  <si>
    <t>B</t>
  </si>
  <si>
    <t>B</t>
    <phoneticPr fontId="1" type="noConversion"/>
  </si>
  <si>
    <t>热轧槽钢</t>
    <phoneticPr fontId="1" type="noConversion"/>
  </si>
  <si>
    <t>热轧等边角钢</t>
    <phoneticPr fontId="1" type="noConversion"/>
  </si>
  <si>
    <t>热轧不等边角钢</t>
    <phoneticPr fontId="1" type="noConversion"/>
  </si>
  <si>
    <t>L20x20x3.0</t>
  </si>
  <si>
    <t>L20x20x4.0</t>
  </si>
  <si>
    <t>L25x25x3.0</t>
  </si>
  <si>
    <t>L25x25x4.0</t>
  </si>
  <si>
    <t>L30x30x3.0</t>
  </si>
  <si>
    <t>L30x30x4.0</t>
  </si>
  <si>
    <t>L36x36x3.0</t>
  </si>
  <si>
    <t>L36x36x4.0</t>
  </si>
  <si>
    <t>L36x36x5.0</t>
  </si>
  <si>
    <t>L40x40x3.0</t>
  </si>
  <si>
    <t>L40x40x4.0</t>
  </si>
  <si>
    <t>L40x40x5.0</t>
  </si>
  <si>
    <t>L45x45x3.0</t>
  </si>
  <si>
    <t>L45x45x4.0</t>
  </si>
  <si>
    <t>L45x45x5.0</t>
  </si>
  <si>
    <t>L45x45x6.0</t>
  </si>
  <si>
    <t>L50x50x3.0</t>
  </si>
  <si>
    <t>L50x50x4.0</t>
  </si>
  <si>
    <t>L50x50x5.0</t>
  </si>
  <si>
    <t>L50x50x6.0</t>
  </si>
  <si>
    <t>L56x56x3.0</t>
  </si>
  <si>
    <t>L56x56x4.0</t>
  </si>
  <si>
    <t>L56x56x5.0</t>
  </si>
  <si>
    <t>L56x56x6.0</t>
  </si>
  <si>
    <t>L56x56x7.0</t>
  </si>
  <si>
    <t>L56x56x8.0</t>
  </si>
  <si>
    <t>L60x60x5.0</t>
  </si>
  <si>
    <t>L60x60x6.0</t>
  </si>
  <si>
    <t>L60x60x7.0</t>
  </si>
  <si>
    <t>L60x60x8.0</t>
  </si>
  <si>
    <t>L63x63x4.0</t>
  </si>
  <si>
    <t>L63x63x5.0</t>
  </si>
  <si>
    <t>L63x63x6.0</t>
  </si>
  <si>
    <t>L63x63x7.0</t>
  </si>
  <si>
    <t>L63x63x8.0</t>
  </si>
  <si>
    <t>L63x63x10.0</t>
  </si>
  <si>
    <t>L70x70x4.0</t>
  </si>
  <si>
    <t>L70x70x5.0</t>
  </si>
  <si>
    <t>L70x70x6.0</t>
  </si>
  <si>
    <t>L70x70x7.0</t>
  </si>
  <si>
    <t>L70x70x8.0</t>
  </si>
  <si>
    <t>L75x75x5.0</t>
  </si>
  <si>
    <t>L75x75x6.0</t>
  </si>
  <si>
    <t>L75x75x7.0</t>
  </si>
  <si>
    <t>L75x75x8.0</t>
  </si>
  <si>
    <t>L75x75x9.0</t>
  </si>
  <si>
    <t>L75x75x10.0</t>
  </si>
  <si>
    <t>L80x80x5.0</t>
  </si>
  <si>
    <t>L80x80x6.0</t>
  </si>
  <si>
    <t>L80x80x7.0</t>
  </si>
  <si>
    <t>L80x80x8.0</t>
  </si>
  <si>
    <t>L80x80x9.0</t>
  </si>
  <si>
    <t>L80x80x10.0</t>
  </si>
  <si>
    <t>L90x90x6.0</t>
  </si>
  <si>
    <t>L90x90x7.0</t>
  </si>
  <si>
    <t>L90x90x8.0</t>
  </si>
  <si>
    <t>L90x90x9.0</t>
  </si>
  <si>
    <t>L90x90x10.0</t>
  </si>
  <si>
    <t>L90x90x12.0</t>
  </si>
  <si>
    <t>L100x100x6.0</t>
  </si>
  <si>
    <t>L100x100x7.0</t>
  </si>
  <si>
    <t>L100x100x8.0</t>
  </si>
  <si>
    <t>L100x100x9.0</t>
  </si>
  <si>
    <t>L100x100x10.0</t>
  </si>
  <si>
    <t>L100x100x12.0</t>
  </si>
  <si>
    <t>L100x100x14.0</t>
  </si>
  <si>
    <t>L100x100x16.0</t>
  </si>
  <si>
    <t>L110x110x7.0</t>
  </si>
  <si>
    <t>L110x110x8.0</t>
  </si>
  <si>
    <t>L110x110x10.0</t>
  </si>
  <si>
    <t>L110x110x12.0</t>
  </si>
  <si>
    <t>L110x110x14.0</t>
  </si>
  <si>
    <t>L125x125x8.0</t>
  </si>
  <si>
    <t>L125x125x10.0</t>
  </si>
  <si>
    <t>L125x125x12.0</t>
  </si>
  <si>
    <t>L125x125x14.0</t>
  </si>
  <si>
    <t>L125x125x16.0</t>
  </si>
  <si>
    <t>L140x140x10.0</t>
  </si>
  <si>
    <t>L140x140x12.0</t>
  </si>
  <si>
    <t>L140x140x14.0</t>
  </si>
  <si>
    <t>L140x140x16.0</t>
  </si>
  <si>
    <t>L150x150x8.0</t>
  </si>
  <si>
    <t>L150x150x10.0</t>
  </si>
  <si>
    <t>L150x150x12.0</t>
  </si>
  <si>
    <t>L150x150x14.0</t>
  </si>
  <si>
    <t>L150x150x15.0</t>
  </si>
  <si>
    <t>L150x150x16.0</t>
  </si>
  <si>
    <t>L160x160x10.0</t>
  </si>
  <si>
    <t>L160x160x12.0</t>
  </si>
  <si>
    <t>L160x160x14.0</t>
  </si>
  <si>
    <t>L160x160x16.0</t>
  </si>
  <si>
    <t>L180x180x12.0</t>
  </si>
  <si>
    <t>L180x180x14.0</t>
  </si>
  <si>
    <t>L180x180x16.0</t>
  </si>
  <si>
    <t>L180x180x18.0</t>
  </si>
  <si>
    <t>L200x200x14.0</t>
  </si>
  <si>
    <t>L200x200x16.0</t>
  </si>
  <si>
    <t>L200x200x18.0</t>
  </si>
  <si>
    <t>L200x200x20.0</t>
  </si>
  <si>
    <t>L200x200x24.0</t>
  </si>
  <si>
    <t>L220x220x16.0</t>
  </si>
  <si>
    <t>L220x220x18.0</t>
  </si>
  <si>
    <t>L220x220x20.0</t>
  </si>
  <si>
    <t>L220x220x22.0</t>
  </si>
  <si>
    <t>L220x220x24.0</t>
  </si>
  <si>
    <t>L220x220x26.0</t>
  </si>
  <si>
    <t>L250x250x18.0</t>
  </si>
  <si>
    <t>L250x250x20.0</t>
  </si>
  <si>
    <t>L250x250x24.0</t>
  </si>
  <si>
    <t>L250x250x26.0</t>
  </si>
  <si>
    <t>L250x250x28.0</t>
  </si>
  <si>
    <t>L250x250x30.0</t>
  </si>
  <si>
    <t>L250x250x32.0</t>
  </si>
  <si>
    <t>L250x250x35.0</t>
  </si>
  <si>
    <t>L25x16x3.0</t>
  </si>
  <si>
    <t>L25x16x4.0</t>
  </si>
  <si>
    <t>L32x20x3.0</t>
  </si>
  <si>
    <t>L32x20x4.0</t>
  </si>
  <si>
    <t>L40x25x3.0</t>
  </si>
  <si>
    <t>L40x25x4.0</t>
  </si>
  <si>
    <t>L45x28x3.0</t>
  </si>
  <si>
    <t>L45x28x4.0</t>
  </si>
  <si>
    <t>L50x32x3.0</t>
  </si>
  <si>
    <t>L50x32x4.0</t>
  </si>
  <si>
    <t>L56x36x3.0</t>
  </si>
  <si>
    <t>L56x36x4.0</t>
  </si>
  <si>
    <t>L56x36x5.0</t>
  </si>
  <si>
    <t>L63x40x4.0</t>
  </si>
  <si>
    <t>L63x40x5.0</t>
  </si>
  <si>
    <t>L63x40x6.0</t>
  </si>
  <si>
    <t>L63x40x7.0</t>
  </si>
  <si>
    <t>L70x45x4.0</t>
  </si>
  <si>
    <t>L70x45x5.0</t>
  </si>
  <si>
    <t>L70x45x6.0</t>
  </si>
  <si>
    <t>L70x45x7.0</t>
  </si>
  <si>
    <t>L75x50x5.0</t>
  </si>
  <si>
    <t>L75x50x6.0</t>
  </si>
  <si>
    <t>L75x50x8.0</t>
  </si>
  <si>
    <t>L75x50x10.0</t>
  </si>
  <si>
    <t>L80x50x5.0</t>
  </si>
  <si>
    <t>L80x50x6.0</t>
  </si>
  <si>
    <t>L80x50x7.0</t>
  </si>
  <si>
    <t>L80x50x8.0</t>
  </si>
  <si>
    <t>L90x56x5.0</t>
  </si>
  <si>
    <t>L90x56x6.0</t>
  </si>
  <si>
    <t>L90x56x7.0</t>
  </si>
  <si>
    <t>L90x56x8.0</t>
  </si>
  <si>
    <t>L100x63x6.0</t>
  </si>
  <si>
    <t>L100x63x7.0</t>
  </si>
  <si>
    <t>L100x63x8.0</t>
  </si>
  <si>
    <t>L100x63x10.0</t>
  </si>
  <si>
    <t>L100x80x6.0</t>
  </si>
  <si>
    <t>L100x80x7.0</t>
  </si>
  <si>
    <t>L100x80x8.0</t>
  </si>
  <si>
    <t>L100x80x10.0</t>
  </si>
  <si>
    <t>L110x70x6.0</t>
  </si>
  <si>
    <t>L110x70x7.0</t>
  </si>
  <si>
    <t>L110x70x8.0</t>
  </si>
  <si>
    <t>L110x70x10.0</t>
  </si>
  <si>
    <t>L125x80x7.0</t>
  </si>
  <si>
    <t>L125x80x8.0</t>
  </si>
  <si>
    <t>L125x80x10.0</t>
  </si>
  <si>
    <t>L125x80x12.0</t>
  </si>
  <si>
    <t>L140x90x8.0</t>
  </si>
  <si>
    <t>L140x90x10.0</t>
  </si>
  <si>
    <t>L140x90x12.0</t>
  </si>
  <si>
    <t>L140x90x14.0</t>
  </si>
  <si>
    <t>L150x90x8.0</t>
  </si>
  <si>
    <t>L150x90x10.0</t>
  </si>
  <si>
    <t>L150x90x12.0</t>
  </si>
  <si>
    <t>L150x90x14.0</t>
  </si>
  <si>
    <t>L150x90x15.0</t>
  </si>
  <si>
    <t>L150x90x16.0</t>
  </si>
  <si>
    <t>L160x100x10.0</t>
  </si>
  <si>
    <t>L160x100x12.0</t>
  </si>
  <si>
    <t>L160x100x14.0</t>
  </si>
  <si>
    <t>L160x100x16.0</t>
  </si>
  <si>
    <t>L180x110x10.0</t>
  </si>
  <si>
    <t>L180x110x12.0</t>
  </si>
  <si>
    <t>L180x110x14.0</t>
  </si>
  <si>
    <t>L180x110x16.0</t>
  </si>
  <si>
    <t>L200x125x12.0</t>
  </si>
  <si>
    <t>L200x125x14.0</t>
  </si>
  <si>
    <t>L200x125x16.0</t>
  </si>
  <si>
    <t>L200x125x18.0</t>
  </si>
  <si>
    <t>HW100x100x6x8</t>
  </si>
  <si>
    <t>HW125x125x6.5x9</t>
  </si>
  <si>
    <t>HW150x150x7x10</t>
  </si>
  <si>
    <t>HW175x175x7.5x11</t>
  </si>
  <si>
    <t>HW200x200x8x12</t>
  </si>
  <si>
    <t>HW200x204x12x12</t>
  </si>
  <si>
    <t>HW244x252x11x11</t>
  </si>
  <si>
    <t>HW250x250x9x14</t>
  </si>
  <si>
    <t>HW250x255x14x14</t>
  </si>
  <si>
    <t>HW294x302x12x12</t>
  </si>
  <si>
    <t>HW300x300x10x15</t>
  </si>
  <si>
    <t>HW300x305x15x15</t>
  </si>
  <si>
    <t>HW338x351x13x13</t>
  </si>
  <si>
    <t>HW344x348x10x16</t>
  </si>
  <si>
    <t>HW344x354x16x16</t>
  </si>
  <si>
    <t>HW350x350x12x19</t>
  </si>
  <si>
    <t>HW350x357x19x19</t>
  </si>
  <si>
    <t>HW388x402x15x15</t>
  </si>
  <si>
    <t>HW394x405x18x18</t>
  </si>
  <si>
    <t>HW400x400x13x21</t>
  </si>
  <si>
    <t>HW400x408x21x21</t>
  </si>
  <si>
    <t>HW414x405x18x28</t>
  </si>
  <si>
    <t>HW428x407x20x35</t>
  </si>
  <si>
    <t>HW458x417x30x50</t>
  </si>
  <si>
    <t>HW492x465x15x20</t>
  </si>
  <si>
    <t>HW502x465x15x25</t>
  </si>
  <si>
    <t>HW502x470x20x25</t>
  </si>
  <si>
    <t>HM298x201x9x14</t>
  </si>
  <si>
    <t>HM544x300x11x15</t>
  </si>
  <si>
    <t>HM550x300x11x18</t>
  </si>
  <si>
    <t>HM588x300x12x20</t>
  </si>
  <si>
    <t>HN350x175x7x11</t>
  </si>
  <si>
    <t>HN400x200x8x13</t>
  </si>
  <si>
    <t>HN446x150x7x12</t>
  </si>
  <si>
    <t>HN450x151x8x14</t>
  </si>
  <si>
    <t>HN450x200x9x14</t>
  </si>
  <si>
    <t>HN470x150x7x13</t>
  </si>
  <si>
    <t>HN475x151.5x8.5x15.5</t>
  </si>
  <si>
    <t>HN482x153.5x10.5x19</t>
  </si>
  <si>
    <t>HN492x150x7x12</t>
  </si>
  <si>
    <t>HN500x152x9x16</t>
  </si>
  <si>
    <t>HN504x153x10x18</t>
  </si>
  <si>
    <t>HN500x200x10x16</t>
  </si>
  <si>
    <t>HN546x199x9x14</t>
  </si>
  <si>
    <t>HN550x200x10x16</t>
  </si>
  <si>
    <t>HN600x200x11x17</t>
  </si>
  <si>
    <t>HN606x201x12x20</t>
  </si>
  <si>
    <t>HN625x198.5x13.5x17.5</t>
  </si>
  <si>
    <t>HN630x200x15x20</t>
  </si>
  <si>
    <t>HN638x202x17x24</t>
  </si>
  <si>
    <t>HN646x299x10x15</t>
  </si>
  <si>
    <t>HN650x300x11x17</t>
  </si>
  <si>
    <t>HN656x301x12x20</t>
  </si>
  <si>
    <t>HN700x300x13x24</t>
  </si>
  <si>
    <t>HN734x299x12x16</t>
  </si>
  <si>
    <t>HN742x300x13x20</t>
  </si>
  <si>
    <t>HN750x300x13x24</t>
  </si>
  <si>
    <t>HN758x303x14x22</t>
  </si>
  <si>
    <t>HN792x300x14x22</t>
  </si>
  <si>
    <t>HN800x300x14x26</t>
  </si>
  <si>
    <t>HN834x298x14x19</t>
  </si>
  <si>
    <t>HN842x299x15x23</t>
  </si>
  <si>
    <t>HN850x300x16x27</t>
  </si>
  <si>
    <t>HN858x301x17x31</t>
  </si>
  <si>
    <t>HN890x299x15x23</t>
  </si>
  <si>
    <t>HN900x300x16x28</t>
  </si>
  <si>
    <t>HN970x297x16x21</t>
  </si>
  <si>
    <t>HN980x298x17x26</t>
  </si>
  <si>
    <t>HN990x298x17x31</t>
  </si>
  <si>
    <t>HN1000x300x19x36</t>
  </si>
  <si>
    <t>HN1008x302x21x40</t>
  </si>
  <si>
    <t>HT95x48x3.2x4.5</t>
  </si>
  <si>
    <t>HT97x49x4x5.5</t>
  </si>
  <si>
    <t>HT96x99x4.5x6</t>
  </si>
  <si>
    <t>HT118x58x3.2x4.5</t>
  </si>
  <si>
    <t>HT120x59x4x5.5</t>
  </si>
  <si>
    <t>HT119x123x4.5x6</t>
  </si>
  <si>
    <t>HT145x73x3.2x4.5</t>
  </si>
  <si>
    <t>HT147x74x4x5.5</t>
  </si>
  <si>
    <t>HT139x97x3.2x4.5</t>
  </si>
  <si>
    <t>HT142x99x4.5x6</t>
  </si>
  <si>
    <t>HT144x148x5x7</t>
  </si>
  <si>
    <t>HT147x149x6x8.5</t>
  </si>
  <si>
    <t>HT168x88x3.2x4.5</t>
  </si>
  <si>
    <t>HT171x89x4x6</t>
  </si>
  <si>
    <t>HT167x173x5x7</t>
  </si>
  <si>
    <t>HT172x175x6.5x9.5</t>
  </si>
  <si>
    <t>HT193x98x3.2x4.5</t>
  </si>
  <si>
    <t>HT196x99x4x6</t>
  </si>
  <si>
    <t>HT188x149x4.5x6</t>
  </si>
  <si>
    <t>HT192x198x6x8</t>
  </si>
  <si>
    <t>HT244x124x4.5x6</t>
  </si>
  <si>
    <t>HT238x173x4.5x8</t>
  </si>
  <si>
    <t>HT294x148x4.5x6</t>
  </si>
  <si>
    <t>HT286x198x6x8</t>
  </si>
  <si>
    <t>HT340x173x4.5x6</t>
  </si>
  <si>
    <t>HT390x148x6x8</t>
  </si>
  <si>
    <t>HT390x198x6x8</t>
  </si>
  <si>
    <t>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</si>
</sst>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_);[Red]\(0.0\)"/>
    <numFmt numFmtId="178" formatCode="0.000"/>
  </numFmts>
  <fonts count="3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indexed="63"/>
      <name val="Times New Roman"/>
      <family val="1"/>
      <charset val="204"/>
    </font>
    <font>
      <sz val="11"/>
      <color theme="1"/>
      <name val="宋体"/>
      <family val="3"/>
      <charset val="134"/>
    </font>
    <font>
      <sz val="11"/>
      <color theme="1"/>
      <name val="Times New Roman"/>
      <family val="1"/>
    </font>
    <font>
      <sz val="12"/>
      <color indexed="63"/>
      <name val="Times New Roman"/>
      <family val="1"/>
    </font>
    <font>
      <sz val="12"/>
      <color indexed="63"/>
      <name val="宋体"/>
      <family val="3"/>
      <charset val="134"/>
    </font>
    <font>
      <sz val="12"/>
      <name val="Times New Roman"/>
      <family val="1"/>
      <charset val="204"/>
    </font>
    <font>
      <sz val="12"/>
      <color rgb="FF333333"/>
      <name val="Times New Roman"/>
      <family val="1"/>
      <charset val="204"/>
    </font>
    <font>
      <b/>
      <sz val="12"/>
      <color indexed="63"/>
      <name val="宋体"/>
      <family val="3"/>
      <charset val="134"/>
    </font>
    <font>
      <b/>
      <sz val="12"/>
      <color rgb="FF333333"/>
      <name val="宋体"/>
      <family val="3"/>
      <charset val="134"/>
    </font>
    <font>
      <b/>
      <sz val="12"/>
      <color indexed="63"/>
      <name val="Times New Roman"/>
      <family val="1"/>
      <charset val="204"/>
    </font>
    <font>
      <b/>
      <sz val="12"/>
      <color rgb="FF333333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theme="1"/>
      <name val="宋体"/>
      <family val="1"/>
      <charset val="134"/>
    </font>
    <font>
      <b/>
      <sz val="18"/>
      <color theme="1"/>
      <name val="Times New Roman"/>
      <family val="1"/>
    </font>
    <font>
      <b/>
      <sz val="18"/>
      <color theme="1"/>
      <name val="宋体"/>
      <family val="3"/>
      <charset val="134"/>
    </font>
    <font>
      <b/>
      <sz val="18"/>
      <color theme="1"/>
      <name val="Times New Roman"/>
      <family val="1"/>
      <charset val="204"/>
    </font>
    <font>
      <sz val="11"/>
      <color theme="1"/>
      <name val="Times New Roman"/>
      <family val="3"/>
    </font>
    <font>
      <b/>
      <sz val="18"/>
      <color theme="1"/>
      <name val="宋体"/>
      <family val="1"/>
      <charset val="134"/>
    </font>
    <font>
      <sz val="11"/>
      <color indexed="63"/>
      <name val="Times New Roman"/>
      <family val="1"/>
    </font>
    <font>
      <sz val="11"/>
      <color indexed="8"/>
      <name val="Times New Roman"/>
      <family val="1"/>
    </font>
    <font>
      <b/>
      <sz val="12"/>
      <color theme="1"/>
      <name val="Times New Roman"/>
      <family val="1"/>
    </font>
    <font>
      <b/>
      <sz val="12"/>
      <color theme="1"/>
      <name val="黑体"/>
      <family val="3"/>
      <charset val="134"/>
    </font>
    <font>
      <sz val="12"/>
      <color theme="1"/>
      <name val="Times New Roman"/>
      <family val="1"/>
    </font>
    <font>
      <sz val="12"/>
      <color rgb="FF333333"/>
      <name val="Times New Roman"/>
      <family val="1"/>
    </font>
    <font>
      <sz val="12"/>
      <color rgb="FF333333"/>
      <name val="宋体"/>
      <family val="1"/>
      <charset val="134"/>
    </font>
    <font>
      <vertAlign val="superscript"/>
      <sz val="12"/>
      <color rgb="FF333333"/>
      <name val="Times New Roman"/>
      <family val="1"/>
    </font>
    <font>
      <i/>
      <sz val="12"/>
      <color indexed="63"/>
      <name val="Times New Roman"/>
      <family val="1"/>
    </font>
    <font>
      <i/>
      <sz val="12"/>
      <color indexed="8"/>
      <name val="Times New Roman"/>
      <family val="1"/>
    </font>
    <font>
      <i/>
      <vertAlign val="subscript"/>
      <sz val="12"/>
      <color rgb="FF000000"/>
      <name val="Times New Roman"/>
      <family val="1"/>
    </font>
    <font>
      <i/>
      <vertAlign val="subscript"/>
      <sz val="12"/>
      <color rgb="FF333333"/>
      <name val="Times New Roman"/>
      <family val="1"/>
    </font>
    <font>
      <sz val="12"/>
      <color indexed="8"/>
      <name val="Times New Roman"/>
      <family val="1"/>
    </font>
    <font>
      <sz val="18"/>
      <color theme="1"/>
      <name val="黑体"/>
      <family val="3"/>
      <charset val="134"/>
    </font>
    <font>
      <i/>
      <sz val="11"/>
      <color theme="1"/>
      <name val="Times New Roman"/>
      <family val="1"/>
    </font>
    <font>
      <i/>
      <vertAlign val="subscript"/>
      <sz val="11"/>
      <color theme="1"/>
      <name val="Times New Roman"/>
      <family val="1"/>
    </font>
    <font>
      <vertAlign val="superscript"/>
      <sz val="11"/>
      <color theme="1"/>
      <name val="Times New Roman"/>
      <family val="1"/>
    </font>
    <font>
      <sz val="11"/>
      <color theme="1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</borders>
  <cellStyleXfs count="1">
    <xf numFmtId="0" fontId="0" fillId="0" borderId="0"/>
  </cellStyleXfs>
  <cellXfs count="145">
    <xf numFmtId="0" fontId="0" fillId="0" borderId="0" xfId="0"/>
    <xf numFmtId="0" fontId="2" fillId="0" borderId="1" xfId="0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 shrinkToFit="1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center" vertical="center"/>
    </xf>
    <xf numFmtId="0" fontId="13" fillId="2" borderId="0" xfId="0" applyFont="1" applyFill="1"/>
    <xf numFmtId="0" fontId="13" fillId="2" borderId="5" xfId="0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horizontal="center" vertical="center"/>
    </xf>
    <xf numFmtId="0" fontId="13" fillId="2" borderId="8" xfId="0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horizontal="center" vertical="center"/>
    </xf>
    <xf numFmtId="0" fontId="13" fillId="2" borderId="10" xfId="0" applyFont="1" applyFill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1" fontId="2" fillId="0" borderId="15" xfId="0" applyNumberFormat="1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1" fontId="2" fillId="0" borderId="17" xfId="0" applyNumberFormat="1" applyFont="1" applyBorder="1" applyAlignment="1">
      <alignment horizontal="center" vertical="center" shrinkToFit="1"/>
    </xf>
    <xf numFmtId="1" fontId="2" fillId="0" borderId="18" xfId="0" applyNumberFormat="1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176" fontId="13" fillId="2" borderId="6" xfId="0" applyNumberFormat="1" applyFont="1" applyFill="1" applyBorder="1" applyAlignment="1">
      <alignment horizontal="center" vertical="center"/>
    </xf>
    <xf numFmtId="176" fontId="13" fillId="2" borderId="7" xfId="0" applyNumberFormat="1" applyFont="1" applyFill="1" applyBorder="1" applyAlignment="1">
      <alignment horizontal="center" vertical="center"/>
    </xf>
    <xf numFmtId="176" fontId="13" fillId="2" borderId="9" xfId="0" applyNumberFormat="1" applyFont="1" applyFill="1" applyBorder="1" applyAlignment="1">
      <alignment horizontal="center" vertical="center"/>
    </xf>
    <xf numFmtId="176" fontId="13" fillId="2" borderId="10" xfId="0" applyNumberFormat="1" applyFont="1" applyFill="1" applyBorder="1" applyAlignment="1">
      <alignment horizontal="center" vertical="center"/>
    </xf>
    <xf numFmtId="0" fontId="13" fillId="0" borderId="19" xfId="0" applyFont="1" applyBorder="1" applyAlignment="1">
      <alignment horizontal="center" vertical="center"/>
    </xf>
    <xf numFmtId="0" fontId="13" fillId="0" borderId="19" xfId="0" applyFont="1" applyBorder="1" applyAlignment="1">
      <alignment vertical="center"/>
    </xf>
    <xf numFmtId="177" fontId="13" fillId="0" borderId="6" xfId="0" applyNumberFormat="1" applyFont="1" applyBorder="1" applyAlignment="1">
      <alignment horizontal="center" vertical="center"/>
    </xf>
    <xf numFmtId="177" fontId="13" fillId="0" borderId="7" xfId="0" applyNumberFormat="1" applyFont="1" applyBorder="1" applyAlignment="1">
      <alignment horizontal="center" vertical="center"/>
    </xf>
    <xf numFmtId="177" fontId="13" fillId="0" borderId="9" xfId="0" applyNumberFormat="1" applyFont="1" applyBorder="1" applyAlignment="1">
      <alignment horizontal="center" vertical="center"/>
    </xf>
    <xf numFmtId="177" fontId="13" fillId="0" borderId="10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7" fillId="0" borderId="19" xfId="0" applyFont="1" applyBorder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13" fillId="2" borderId="5" xfId="0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2" borderId="8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19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" fontId="21" fillId="2" borderId="0" xfId="0" applyNumberFormat="1" applyFont="1" applyFill="1" applyAlignment="1">
      <alignment horizontal="center" vertical="center" shrinkToFit="1"/>
    </xf>
    <xf numFmtId="176" fontId="21" fillId="2" borderId="0" xfId="0" applyNumberFormat="1" applyFont="1" applyFill="1" applyAlignment="1">
      <alignment horizontal="center" vertical="center" shrinkToFit="1"/>
    </xf>
    <xf numFmtId="178" fontId="21" fillId="2" borderId="0" xfId="0" applyNumberFormat="1" applyFont="1" applyFill="1" applyAlignment="1">
      <alignment horizontal="center" vertical="center" shrinkToFit="1"/>
    </xf>
    <xf numFmtId="1" fontId="22" fillId="2" borderId="0" xfId="0" applyNumberFormat="1" applyFont="1" applyFill="1" applyAlignment="1">
      <alignment horizontal="center" vertical="center" shrinkToFit="1"/>
    </xf>
    <xf numFmtId="178" fontId="22" fillId="2" borderId="0" xfId="0" applyNumberFormat="1" applyFont="1" applyFill="1" applyAlignment="1">
      <alignment horizontal="center" vertical="center" shrinkToFit="1"/>
    </xf>
    <xf numFmtId="0" fontId="23" fillId="2" borderId="19" xfId="0" applyFont="1" applyFill="1" applyBorder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3" fillId="2" borderId="20" xfId="0" applyFont="1" applyFill="1" applyBorder="1" applyAlignment="1">
      <alignment horizontal="center" vertical="center"/>
    </xf>
    <xf numFmtId="0" fontId="25" fillId="0" borderId="0" xfId="0" applyFont="1"/>
    <xf numFmtId="0" fontId="5" fillId="3" borderId="19" xfId="0" applyFont="1" applyFill="1" applyBorder="1" applyAlignment="1">
      <alignment horizontal="center" vertical="center"/>
    </xf>
    <xf numFmtId="0" fontId="26" fillId="3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 wrapText="1"/>
    </xf>
    <xf numFmtId="0" fontId="5" fillId="2" borderId="20" xfId="0" applyFont="1" applyFill="1" applyBorder="1" applyAlignment="1">
      <alignment horizontal="center" vertical="center"/>
    </xf>
    <xf numFmtId="0" fontId="29" fillId="2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center" vertical="center"/>
    </xf>
    <xf numFmtId="1" fontId="29" fillId="2" borderId="0" xfId="0" applyNumberFormat="1" applyFont="1" applyFill="1" applyAlignment="1">
      <alignment horizontal="center" vertical="center" shrinkToFit="1"/>
    </xf>
    <xf numFmtId="0" fontId="29" fillId="2" borderId="20" xfId="0" applyFont="1" applyFill="1" applyBorder="1" applyAlignment="1">
      <alignment horizontal="center" vertical="center"/>
    </xf>
    <xf numFmtId="1" fontId="5" fillId="3" borderId="19" xfId="0" applyNumberFormat="1" applyFont="1" applyFill="1" applyBorder="1" applyAlignment="1">
      <alignment horizontal="center" vertical="center" shrinkToFit="1"/>
    </xf>
    <xf numFmtId="1" fontId="5" fillId="3" borderId="0" xfId="0" applyNumberFormat="1" applyFont="1" applyFill="1" applyAlignment="1">
      <alignment horizontal="left" vertical="center" shrinkToFit="1"/>
    </xf>
    <xf numFmtId="1" fontId="5" fillId="2" borderId="0" xfId="0" applyNumberFormat="1" applyFont="1" applyFill="1" applyAlignment="1">
      <alignment horizontal="center" vertical="center" shrinkToFit="1"/>
    </xf>
    <xf numFmtId="0" fontId="5" fillId="2" borderId="0" xfId="0" applyFont="1" applyFill="1" applyAlignment="1">
      <alignment horizontal="center" vertical="center"/>
    </xf>
    <xf numFmtId="176" fontId="5" fillId="2" borderId="0" xfId="0" applyNumberFormat="1" applyFont="1" applyFill="1" applyAlignment="1">
      <alignment horizontal="center" vertical="center" shrinkToFit="1"/>
    </xf>
    <xf numFmtId="178" fontId="5" fillId="2" borderId="0" xfId="0" applyNumberFormat="1" applyFont="1" applyFill="1" applyAlignment="1">
      <alignment horizontal="center" vertical="center" shrinkToFit="1"/>
    </xf>
    <xf numFmtId="2" fontId="5" fillId="2" borderId="0" xfId="0" applyNumberFormat="1" applyFont="1" applyFill="1" applyAlignment="1">
      <alignment horizontal="center" vertical="center" shrinkToFit="1"/>
    </xf>
    <xf numFmtId="0" fontId="5" fillId="3" borderId="19" xfId="0" applyFont="1" applyFill="1" applyBorder="1" applyAlignment="1">
      <alignment horizontal="center" vertical="center"/>
    </xf>
    <xf numFmtId="1" fontId="33" fillId="2" borderId="0" xfId="0" applyNumberFormat="1" applyFont="1" applyFill="1" applyAlignment="1">
      <alignment horizontal="center" vertical="center" shrinkToFit="1"/>
    </xf>
    <xf numFmtId="178" fontId="33" fillId="2" borderId="0" xfId="0" applyNumberFormat="1" applyFont="1" applyFill="1" applyAlignment="1">
      <alignment horizontal="center" vertical="center" shrinkToFit="1"/>
    </xf>
    <xf numFmtId="1" fontId="33" fillId="3" borderId="19" xfId="0" applyNumberFormat="1" applyFont="1" applyFill="1" applyBorder="1" applyAlignment="1">
      <alignment horizontal="center" vertical="center" shrinkToFit="1"/>
    </xf>
    <xf numFmtId="0" fontId="33" fillId="2" borderId="0" xfId="0" applyFont="1" applyFill="1" applyAlignment="1">
      <alignment horizontal="center" vertical="center"/>
    </xf>
    <xf numFmtId="0" fontId="33" fillId="2" borderId="20" xfId="0" applyFont="1" applyFill="1" applyBorder="1" applyAlignment="1">
      <alignment horizontal="center" vertical="center"/>
    </xf>
    <xf numFmtId="2" fontId="5" fillId="2" borderId="20" xfId="0" applyNumberFormat="1" applyFont="1" applyFill="1" applyBorder="1" applyAlignment="1">
      <alignment horizontal="center" vertical="center" shrinkToFit="1"/>
    </xf>
    <xf numFmtId="0" fontId="34" fillId="2" borderId="19" xfId="0" applyFont="1" applyFill="1" applyBorder="1" applyAlignment="1">
      <alignment horizontal="center" vertical="center"/>
    </xf>
    <xf numFmtId="0" fontId="34" fillId="2" borderId="0" xfId="0" applyFont="1" applyFill="1" applyAlignment="1">
      <alignment horizontal="center" vertical="center"/>
    </xf>
    <xf numFmtId="0" fontId="34" fillId="2" borderId="20" xfId="0" applyFont="1" applyFill="1" applyBorder="1" applyAlignment="1">
      <alignment horizontal="center" vertical="center"/>
    </xf>
    <xf numFmtId="0" fontId="4" fillId="3" borderId="19" xfId="0" applyFont="1" applyFill="1" applyBorder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35" fillId="2" borderId="0" xfId="0" applyFont="1" applyFill="1" applyAlignment="1">
      <alignment horizontal="center" vertical="center"/>
    </xf>
    <xf numFmtId="0" fontId="4" fillId="3" borderId="19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78" fontId="4" fillId="2" borderId="0" xfId="0" applyNumberFormat="1" applyFont="1" applyFill="1" applyAlignment="1">
      <alignment horizontal="center" vertical="center"/>
    </xf>
    <xf numFmtId="0" fontId="4" fillId="2" borderId="0" xfId="0" applyFont="1" applyFill="1" applyAlignment="1">
      <alignment horizontal="center" vertical="top" wrapText="1"/>
    </xf>
    <xf numFmtId="178" fontId="4" fillId="2" borderId="0" xfId="0" applyNumberFormat="1" applyFont="1" applyFill="1" applyAlignment="1">
      <alignment horizontal="center" vertical="top" shrinkToFit="1"/>
    </xf>
    <xf numFmtId="178" fontId="4" fillId="2" borderId="20" xfId="0" applyNumberFormat="1" applyFont="1" applyFill="1" applyBorder="1" applyAlignment="1">
      <alignment horizontal="center" vertical="top" shrinkToFit="1"/>
    </xf>
    <xf numFmtId="0" fontId="4" fillId="2" borderId="20" xfId="0" applyFont="1" applyFill="1" applyBorder="1" applyAlignment="1">
      <alignment horizontal="center" vertical="top" wrapText="1"/>
    </xf>
    <xf numFmtId="3" fontId="4" fillId="2" borderId="0" xfId="0" applyNumberFormat="1" applyFont="1" applyFill="1" applyAlignment="1">
      <alignment horizontal="center" vertical="top" shrinkToFit="1"/>
    </xf>
    <xf numFmtId="0" fontId="4" fillId="2" borderId="0" xfId="0" applyFont="1" applyFill="1" applyAlignment="1">
      <alignment horizontal="center" vertical="center" wrapText="1"/>
    </xf>
    <xf numFmtId="178" fontId="4" fillId="2" borderId="20" xfId="0" applyNumberFormat="1" applyFont="1" applyFill="1" applyBorder="1" applyAlignment="1">
      <alignment horizontal="center" vertical="center" shrinkToFit="1"/>
    </xf>
    <xf numFmtId="178" fontId="4" fillId="2" borderId="0" xfId="0" applyNumberFormat="1" applyFont="1" applyFill="1" applyAlignment="1">
      <alignment horizontal="center" vertical="center" shrinkToFit="1"/>
    </xf>
    <xf numFmtId="0" fontId="4" fillId="2" borderId="20" xfId="0" applyFont="1" applyFill="1" applyBorder="1" applyAlignment="1">
      <alignment horizontal="center" vertical="center" wrapText="1"/>
    </xf>
    <xf numFmtId="1" fontId="4" fillId="2" borderId="0" xfId="0" applyNumberFormat="1" applyFont="1" applyFill="1" applyAlignment="1">
      <alignment horizontal="center" vertical="top" shrinkToFit="1"/>
    </xf>
    <xf numFmtId="49" fontId="21" fillId="3" borderId="19" xfId="0" applyNumberFormat="1" applyFont="1" applyFill="1" applyBorder="1" applyAlignment="1">
      <alignment horizontal="center" vertical="center" wrapText="1"/>
    </xf>
    <xf numFmtId="0" fontId="21" fillId="2" borderId="0" xfId="0" applyFont="1" applyFill="1" applyAlignment="1">
      <alignment horizontal="center" vertical="center" wrapText="1"/>
    </xf>
    <xf numFmtId="178" fontId="21" fillId="2" borderId="20" xfId="0" applyNumberFormat="1" applyFont="1" applyFill="1" applyBorder="1" applyAlignment="1">
      <alignment horizontal="center" vertical="center" shrinkToFit="1"/>
    </xf>
    <xf numFmtId="0" fontId="21" fillId="2" borderId="20" xfId="0" applyFont="1" applyFill="1" applyBorder="1" applyAlignment="1">
      <alignment horizontal="center" vertical="center" wrapText="1"/>
    </xf>
    <xf numFmtId="0" fontId="22" fillId="2" borderId="0" xfId="0" applyFont="1" applyFill="1" applyAlignment="1">
      <alignment horizontal="center" vertical="center" wrapText="1"/>
    </xf>
    <xf numFmtId="3" fontId="21" fillId="2" borderId="0" xfId="0" applyNumberFormat="1" applyFont="1" applyFill="1" applyAlignment="1">
      <alignment horizontal="center" vertical="center" wrapText="1"/>
    </xf>
    <xf numFmtId="3" fontId="21" fillId="2" borderId="0" xfId="0" applyNumberFormat="1" applyFont="1" applyFill="1" applyAlignment="1">
      <alignment horizontal="center" vertical="center" shrinkToFit="1"/>
    </xf>
    <xf numFmtId="49" fontId="22" fillId="3" borderId="19" xfId="0" applyNumberFormat="1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20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14942</xdr:colOff>
      <xdr:row>2</xdr:row>
      <xdr:rowOff>186765</xdr:rowOff>
    </xdr:from>
    <xdr:to>
      <xdr:col>24</xdr:col>
      <xdr:colOff>172198</xdr:colOff>
      <xdr:row>31</xdr:row>
      <xdr:rowOff>59034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BD14F193-BDAD-40DE-9477-61CC986D53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71001" y="560294"/>
          <a:ext cx="5416550" cy="5415446"/>
        </a:xfrm>
        <a:prstGeom prst="rect">
          <a:avLst/>
        </a:prstGeom>
      </xdr:spPr>
    </xdr:pic>
    <xdr:clientData/>
  </xdr:twoCellAnchor>
  <xdr:twoCellAnchor editAs="oneCell">
    <xdr:from>
      <xdr:col>24</xdr:col>
      <xdr:colOff>187398</xdr:colOff>
      <xdr:row>2</xdr:row>
      <xdr:rowOff>186767</xdr:rowOff>
    </xdr:from>
    <xdr:to>
      <xdr:col>32</xdr:col>
      <xdr:colOff>339409</xdr:colOff>
      <xdr:row>31</xdr:row>
      <xdr:rowOff>54142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62EAFC2-3459-44C6-B06A-357917C898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702751" y="560296"/>
          <a:ext cx="5411305" cy="54105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260350</xdr:colOff>
      <xdr:row>0</xdr:row>
      <xdr:rowOff>0</xdr:rowOff>
    </xdr:from>
    <xdr:to>
      <xdr:col>26</xdr:col>
      <xdr:colOff>375102</xdr:colOff>
      <xdr:row>22</xdr:row>
      <xdr:rowOff>120650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68C6D01D-E7CA-4B0B-81EA-B757DBF58E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85450" y="0"/>
          <a:ext cx="8039552" cy="4051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510988</xdr:colOff>
      <xdr:row>2</xdr:row>
      <xdr:rowOff>44450</xdr:rowOff>
    </xdr:from>
    <xdr:to>
      <xdr:col>30</xdr:col>
      <xdr:colOff>532055</xdr:colOff>
      <xdr:row>44</xdr:row>
      <xdr:rowOff>72088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5919FC60-01CE-4092-9112-BACE32B205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77388" y="406400"/>
          <a:ext cx="9266667" cy="7495238"/>
        </a:xfrm>
        <a:prstGeom prst="rect">
          <a:avLst/>
        </a:prstGeom>
      </xdr:spPr>
    </xdr:pic>
    <xdr:clientData/>
  </xdr:twoCellAnchor>
  <xdr:twoCellAnchor editAs="oneCell">
    <xdr:from>
      <xdr:col>17</xdr:col>
      <xdr:colOff>288365</xdr:colOff>
      <xdr:row>66</xdr:row>
      <xdr:rowOff>95250</xdr:rowOff>
    </xdr:from>
    <xdr:to>
      <xdr:col>30</xdr:col>
      <xdr:colOff>418202</xdr:colOff>
      <xdr:row>101</xdr:row>
      <xdr:rowOff>124718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148DE7C8-660D-425F-AEF2-2DD36B7D1F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15165" y="8102600"/>
          <a:ext cx="8715037" cy="6252468"/>
        </a:xfrm>
        <a:prstGeom prst="rect">
          <a:avLst/>
        </a:prstGeom>
      </xdr:spPr>
    </xdr:pic>
    <xdr:clientData/>
  </xdr:twoCellAnchor>
  <xdr:twoCellAnchor editAs="oneCell">
    <xdr:from>
      <xdr:col>20</xdr:col>
      <xdr:colOff>139700</xdr:colOff>
      <xdr:row>93</xdr:row>
      <xdr:rowOff>51546</xdr:rowOff>
    </xdr:from>
    <xdr:to>
      <xdr:col>33</xdr:col>
      <xdr:colOff>358240</xdr:colOff>
      <xdr:row>128</xdr:row>
      <xdr:rowOff>71490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B4B99AD-EC64-4444-8CF4-5C5EB622CA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47700" y="16593296"/>
          <a:ext cx="8803740" cy="62429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E45B517-090B-4628-9A9E-44F437AA279F}">
  <we:reference id="wa104380862" version="1.5.0.0" store="zh-CN" storeType="OMEX"/>
  <we:alternateReferences>
    <we:reference id="WA104380862" version="1.5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245"/>
  <sheetViews>
    <sheetView topLeftCell="C1" zoomScale="85" zoomScaleNormal="85" workbookViewId="0">
      <selection activeCell="N37" sqref="N37"/>
    </sheetView>
  </sheetViews>
  <sheetFormatPr defaultRowHeight="14" x14ac:dyDescent="0.3"/>
  <cols>
    <col min="1" max="1" width="8.5" style="38" bestFit="1" customWidth="1"/>
    <col min="2" max="3" width="11.4140625" style="6" bestFit="1" customWidth="1"/>
    <col min="4" max="4" width="12.9140625" style="6" bestFit="1" customWidth="1"/>
    <col min="5" max="5" width="13.4140625" style="45" bestFit="1" customWidth="1"/>
    <col min="6" max="6" width="18.25" style="6" bestFit="1" customWidth="1"/>
    <col min="7" max="8" width="11.4140625" style="6" bestFit="1" customWidth="1"/>
    <col min="9" max="9" width="12.9140625" style="6" bestFit="1" customWidth="1"/>
    <col min="10" max="10" width="13.4140625" style="6" bestFit="1" customWidth="1"/>
    <col min="11" max="11" width="13.4140625" style="45" customWidth="1"/>
    <col min="12" max="12" width="16.1640625" style="38" bestFit="1" customWidth="1"/>
    <col min="13" max="14" width="11.4140625" style="6" bestFit="1" customWidth="1"/>
    <col min="15" max="15" width="12.9140625" style="6" bestFit="1" customWidth="1"/>
    <col min="16" max="16" width="13.4140625" style="45" bestFit="1" customWidth="1"/>
    <col min="17" max="17" width="9.08203125" style="6" bestFit="1" customWidth="1"/>
    <col min="18" max="19" width="6.83203125" style="6" customWidth="1"/>
    <col min="20" max="20" width="6.83203125" style="38" customWidth="1"/>
    <col min="21" max="21" width="6.83203125" style="6" customWidth="1"/>
    <col min="22" max="22" width="6.83203125" style="45" customWidth="1"/>
    <col min="23" max="29" width="6.83203125" style="6" customWidth="1"/>
    <col min="30" max="30" width="13.75" style="38" bestFit="1" customWidth="1"/>
    <col min="31" max="33" width="6.83203125" style="140" customWidth="1"/>
    <col min="34" max="34" width="13.75" style="38" bestFit="1" customWidth="1"/>
    <col min="35" max="37" width="6.83203125" style="140" customWidth="1"/>
    <col min="38" max="38" width="6.83203125" style="45" customWidth="1"/>
    <col min="39" max="16384" width="8.6640625" style="6"/>
  </cols>
  <sheetData>
    <row r="1" spans="1:38" s="44" customFormat="1" ht="23" x14ac:dyDescent="0.3">
      <c r="A1" s="49" t="s">
        <v>570</v>
      </c>
      <c r="B1" s="50"/>
      <c r="C1" s="50"/>
      <c r="D1" s="50"/>
      <c r="E1" s="51"/>
      <c r="F1" s="49" t="s">
        <v>571</v>
      </c>
      <c r="G1" s="144"/>
      <c r="H1" s="144"/>
      <c r="I1" s="144"/>
      <c r="J1" s="144"/>
      <c r="K1" s="51"/>
      <c r="L1" s="49" t="s">
        <v>572</v>
      </c>
      <c r="M1" s="50"/>
      <c r="N1" s="50"/>
      <c r="O1" s="50"/>
      <c r="P1" s="51"/>
      <c r="Q1" s="50" t="s">
        <v>573</v>
      </c>
      <c r="R1" s="50"/>
      <c r="S1" s="50"/>
      <c r="T1" s="52" t="s">
        <v>569</v>
      </c>
      <c r="U1" s="50"/>
      <c r="V1" s="51"/>
      <c r="W1" s="52" t="s">
        <v>698</v>
      </c>
      <c r="X1" s="139"/>
      <c r="Y1" s="139"/>
      <c r="Z1" s="139"/>
      <c r="AA1" s="139"/>
      <c r="AB1" s="139"/>
      <c r="AC1" s="139"/>
      <c r="AD1" s="52" t="s">
        <v>699</v>
      </c>
      <c r="AE1" s="141"/>
      <c r="AF1" s="141"/>
      <c r="AG1" s="141"/>
      <c r="AH1" s="52" t="s">
        <v>700</v>
      </c>
      <c r="AI1" s="141"/>
      <c r="AJ1" s="141"/>
      <c r="AK1" s="141"/>
      <c r="AL1" s="142"/>
    </row>
    <row r="2" spans="1:38" x14ac:dyDescent="0.3">
      <c r="A2" s="48" t="s">
        <v>574</v>
      </c>
      <c r="B2" s="46" t="s">
        <v>14</v>
      </c>
      <c r="C2" s="46" t="s">
        <v>92</v>
      </c>
      <c r="D2" s="46" t="s">
        <v>249</v>
      </c>
      <c r="E2" s="47" t="s">
        <v>250</v>
      </c>
      <c r="F2" s="48" t="s">
        <v>574</v>
      </c>
      <c r="G2" s="46" t="s">
        <v>14</v>
      </c>
      <c r="H2" s="46" t="s">
        <v>92</v>
      </c>
      <c r="I2" s="46" t="s">
        <v>249</v>
      </c>
      <c r="J2" s="143" t="s">
        <v>250</v>
      </c>
      <c r="K2" s="47" t="s">
        <v>984</v>
      </c>
      <c r="L2" s="48" t="s">
        <v>574</v>
      </c>
      <c r="M2" s="46" t="s">
        <v>14</v>
      </c>
      <c r="N2" s="46" t="s">
        <v>92</v>
      </c>
      <c r="O2" s="46" t="s">
        <v>249</v>
      </c>
      <c r="P2" s="47" t="s">
        <v>250</v>
      </c>
      <c r="Q2" s="6" t="s">
        <v>574</v>
      </c>
      <c r="R2" s="46" t="s">
        <v>575</v>
      </c>
      <c r="S2" s="46" t="s">
        <v>576</v>
      </c>
      <c r="T2" s="48" t="s">
        <v>574</v>
      </c>
      <c r="U2" s="46" t="s">
        <v>575</v>
      </c>
      <c r="V2" s="47" t="s">
        <v>576</v>
      </c>
      <c r="W2" s="48" t="s">
        <v>574</v>
      </c>
      <c r="X2" s="6" t="s">
        <v>695</v>
      </c>
      <c r="Y2" s="6" t="s">
        <v>697</v>
      </c>
      <c r="Z2" s="6" t="s">
        <v>581</v>
      </c>
      <c r="AA2" s="6" t="s">
        <v>582</v>
      </c>
      <c r="AB2" s="6" t="s">
        <v>17</v>
      </c>
      <c r="AC2" s="6" t="s">
        <v>694</v>
      </c>
      <c r="AD2" s="48" t="s">
        <v>574</v>
      </c>
      <c r="AE2" s="140" t="s">
        <v>580</v>
      </c>
      <c r="AF2" s="140" t="s">
        <v>581</v>
      </c>
      <c r="AG2" s="140" t="s">
        <v>17</v>
      </c>
      <c r="AH2" s="48" t="s">
        <v>574</v>
      </c>
      <c r="AI2" s="140" t="s">
        <v>696</v>
      </c>
      <c r="AJ2" s="140" t="s">
        <v>580</v>
      </c>
      <c r="AK2" s="140" t="s">
        <v>581</v>
      </c>
      <c r="AL2" s="45" t="s">
        <v>17</v>
      </c>
    </row>
    <row r="3" spans="1:38" x14ac:dyDescent="0.3">
      <c r="A3" s="38" t="s">
        <v>1</v>
      </c>
      <c r="B3" s="6">
        <v>147</v>
      </c>
      <c r="C3" s="6">
        <v>100</v>
      </c>
      <c r="D3" s="6">
        <v>3.3</v>
      </c>
      <c r="E3" s="45">
        <v>4.2</v>
      </c>
      <c r="F3" s="6" t="s">
        <v>886</v>
      </c>
      <c r="G3" s="6" t="s">
        <v>169</v>
      </c>
      <c r="H3" s="6" t="s">
        <v>169</v>
      </c>
      <c r="I3" s="6">
        <v>6</v>
      </c>
      <c r="J3" s="6">
        <v>8</v>
      </c>
      <c r="K3" s="45">
        <v>8</v>
      </c>
      <c r="L3" s="38" t="s">
        <v>254</v>
      </c>
      <c r="M3" s="6">
        <v>100</v>
      </c>
      <c r="N3" s="6">
        <v>50</v>
      </c>
      <c r="O3" s="6">
        <v>2.2999999999999998</v>
      </c>
      <c r="Q3" s="6" t="s">
        <v>280</v>
      </c>
      <c r="R3" s="6">
        <v>38</v>
      </c>
      <c r="S3" s="6">
        <v>2.5</v>
      </c>
      <c r="T3" s="38" t="s">
        <v>523</v>
      </c>
      <c r="U3" s="6">
        <v>30</v>
      </c>
      <c r="V3" s="45">
        <v>2</v>
      </c>
      <c r="W3" s="6" t="s">
        <v>584</v>
      </c>
      <c r="X3" s="6">
        <v>50</v>
      </c>
      <c r="Y3" s="6">
        <v>37</v>
      </c>
      <c r="Z3" s="6">
        <v>4.5</v>
      </c>
      <c r="AA3" s="6">
        <v>7</v>
      </c>
      <c r="AB3" s="6">
        <v>7</v>
      </c>
      <c r="AC3" s="6">
        <v>3.5</v>
      </c>
      <c r="AD3" s="38" t="s">
        <v>701</v>
      </c>
      <c r="AE3" s="140">
        <v>20</v>
      </c>
      <c r="AF3" s="140">
        <v>3</v>
      </c>
      <c r="AG3" s="140">
        <v>3.5</v>
      </c>
      <c r="AH3" s="38" t="s">
        <v>815</v>
      </c>
      <c r="AI3" s="140">
        <v>25</v>
      </c>
      <c r="AJ3" s="140">
        <v>16</v>
      </c>
      <c r="AK3" s="140">
        <v>3</v>
      </c>
      <c r="AL3" s="45">
        <v>3.5</v>
      </c>
    </row>
    <row r="4" spans="1:38" x14ac:dyDescent="0.3">
      <c r="A4" s="38" t="s">
        <v>4</v>
      </c>
      <c r="B4" s="6">
        <v>148</v>
      </c>
      <c r="C4" s="6">
        <v>100</v>
      </c>
      <c r="D4" s="6">
        <v>4.3</v>
      </c>
      <c r="E4" s="45">
        <v>4.9000000000000004</v>
      </c>
      <c r="F4" s="6" t="s">
        <v>887</v>
      </c>
      <c r="G4" s="6" t="s">
        <v>170</v>
      </c>
      <c r="H4" s="6" t="s">
        <v>170</v>
      </c>
      <c r="I4" s="6">
        <v>6.5</v>
      </c>
      <c r="J4" s="6">
        <v>9</v>
      </c>
      <c r="K4" s="45">
        <v>8</v>
      </c>
      <c r="L4" s="38" t="s">
        <v>255</v>
      </c>
      <c r="M4" s="6">
        <v>100</v>
      </c>
      <c r="N4" s="6">
        <v>50</v>
      </c>
      <c r="O4" s="6">
        <v>3.2</v>
      </c>
      <c r="P4" s="45">
        <v>4.5</v>
      </c>
      <c r="Q4" s="6" t="s">
        <v>281</v>
      </c>
      <c r="R4" s="6">
        <v>38</v>
      </c>
      <c r="S4" s="6">
        <v>3</v>
      </c>
      <c r="T4" s="38" t="s">
        <v>524</v>
      </c>
      <c r="U4" s="6">
        <v>30</v>
      </c>
      <c r="V4" s="45">
        <v>2.5</v>
      </c>
      <c r="W4" s="6" t="s">
        <v>585</v>
      </c>
      <c r="X4" s="6">
        <v>63</v>
      </c>
      <c r="Y4" s="6">
        <v>40</v>
      </c>
      <c r="Z4" s="6">
        <v>4.8</v>
      </c>
      <c r="AA4" s="6">
        <v>7.5</v>
      </c>
      <c r="AB4" s="6">
        <v>7.5</v>
      </c>
      <c r="AC4" s="6">
        <v>3.8</v>
      </c>
      <c r="AD4" s="38" t="s">
        <v>702</v>
      </c>
      <c r="AE4" s="140">
        <v>20</v>
      </c>
      <c r="AF4" s="140">
        <v>4</v>
      </c>
      <c r="AG4" s="140">
        <v>3.5</v>
      </c>
      <c r="AH4" s="38" t="s">
        <v>816</v>
      </c>
      <c r="AI4" s="140">
        <v>25</v>
      </c>
      <c r="AJ4" s="140">
        <v>16</v>
      </c>
      <c r="AK4" s="140">
        <v>4</v>
      </c>
      <c r="AL4" s="45">
        <v>3.5</v>
      </c>
    </row>
    <row r="5" spans="1:38" x14ac:dyDescent="0.3">
      <c r="A5" s="38" t="s">
        <v>2</v>
      </c>
      <c r="B5" s="6">
        <v>150</v>
      </c>
      <c r="C5" s="6">
        <v>100</v>
      </c>
      <c r="D5" s="6">
        <v>4.3</v>
      </c>
      <c r="E5" s="45">
        <v>5.5</v>
      </c>
      <c r="F5" s="6" t="s">
        <v>888</v>
      </c>
      <c r="G5" s="6" t="s">
        <v>171</v>
      </c>
      <c r="H5" s="6" t="s">
        <v>171</v>
      </c>
      <c r="I5" s="6">
        <v>7</v>
      </c>
      <c r="J5" s="6">
        <v>10</v>
      </c>
      <c r="K5" s="45">
        <v>8</v>
      </c>
      <c r="L5" s="38" t="s">
        <v>256</v>
      </c>
      <c r="M5" s="6">
        <v>100</v>
      </c>
      <c r="N5" s="6">
        <v>100</v>
      </c>
      <c r="O5" s="6">
        <v>4.5</v>
      </c>
      <c r="P5" s="45">
        <v>6</v>
      </c>
      <c r="Q5" s="6" t="s">
        <v>282</v>
      </c>
      <c r="R5" s="6">
        <v>38</v>
      </c>
      <c r="S5" s="6">
        <v>3.5</v>
      </c>
      <c r="T5" s="38" t="s">
        <v>525</v>
      </c>
      <c r="U5" s="6">
        <v>34</v>
      </c>
      <c r="V5" s="45">
        <v>2</v>
      </c>
      <c r="W5" s="6" t="s">
        <v>586</v>
      </c>
      <c r="X5" s="6">
        <v>65</v>
      </c>
      <c r="Y5" s="6">
        <v>40</v>
      </c>
      <c r="Z5" s="6">
        <v>4.3</v>
      </c>
      <c r="AA5" s="6">
        <v>7.5</v>
      </c>
      <c r="AB5" s="6">
        <v>7.5</v>
      </c>
      <c r="AC5" s="6">
        <v>3.8</v>
      </c>
      <c r="AD5" s="38" t="s">
        <v>703</v>
      </c>
      <c r="AE5" s="140">
        <v>25</v>
      </c>
      <c r="AF5" s="140">
        <v>3</v>
      </c>
      <c r="AG5" s="140">
        <v>3.5</v>
      </c>
      <c r="AH5" s="38" t="s">
        <v>817</v>
      </c>
      <c r="AI5" s="140">
        <v>32</v>
      </c>
      <c r="AJ5" s="140">
        <v>20</v>
      </c>
      <c r="AK5" s="140">
        <v>3</v>
      </c>
      <c r="AL5" s="45">
        <v>3.5</v>
      </c>
    </row>
    <row r="6" spans="1:38" x14ac:dyDescent="0.3">
      <c r="A6" s="38" t="s">
        <v>5</v>
      </c>
      <c r="B6" s="6">
        <v>153</v>
      </c>
      <c r="C6" s="6">
        <v>102</v>
      </c>
      <c r="D6" s="6">
        <v>5.8</v>
      </c>
      <c r="E6" s="45">
        <v>7.1</v>
      </c>
      <c r="F6" s="6" t="s">
        <v>889</v>
      </c>
      <c r="G6" s="6" t="s">
        <v>172</v>
      </c>
      <c r="H6" s="6" t="s">
        <v>172</v>
      </c>
      <c r="I6" s="6">
        <v>7.5</v>
      </c>
      <c r="J6" s="6">
        <v>11</v>
      </c>
      <c r="K6" s="45">
        <v>13</v>
      </c>
      <c r="L6" s="38" t="s">
        <v>257</v>
      </c>
      <c r="M6" s="6">
        <v>100</v>
      </c>
      <c r="N6" s="6">
        <v>100</v>
      </c>
      <c r="O6" s="6">
        <v>6</v>
      </c>
      <c r="P6" s="45">
        <v>8</v>
      </c>
      <c r="Q6" s="6" t="s">
        <v>283</v>
      </c>
      <c r="R6" s="6">
        <v>42</v>
      </c>
      <c r="S6" s="6">
        <v>2.5</v>
      </c>
      <c r="T6" s="38" t="s">
        <v>526</v>
      </c>
      <c r="U6" s="6">
        <v>34</v>
      </c>
      <c r="V6" s="45">
        <v>2.5</v>
      </c>
      <c r="W6" s="6" t="s">
        <v>587</v>
      </c>
      <c r="X6" s="6">
        <v>80</v>
      </c>
      <c r="Y6" s="6">
        <v>43</v>
      </c>
      <c r="Z6" s="6">
        <v>5</v>
      </c>
      <c r="AA6" s="6">
        <v>8</v>
      </c>
      <c r="AB6" s="6">
        <v>8</v>
      </c>
      <c r="AC6" s="6">
        <v>4</v>
      </c>
      <c r="AD6" s="38" t="s">
        <v>704</v>
      </c>
      <c r="AE6" s="140">
        <v>25</v>
      </c>
      <c r="AF6" s="140">
        <v>4</v>
      </c>
      <c r="AG6" s="140">
        <v>3.5</v>
      </c>
      <c r="AH6" s="38" t="s">
        <v>818</v>
      </c>
      <c r="AI6" s="140">
        <v>32</v>
      </c>
      <c r="AJ6" s="140">
        <v>20</v>
      </c>
      <c r="AK6" s="140">
        <v>4</v>
      </c>
      <c r="AL6" s="45">
        <v>3.5</v>
      </c>
    </row>
    <row r="7" spans="1:38" x14ac:dyDescent="0.3">
      <c r="A7" s="38" t="s">
        <v>6</v>
      </c>
      <c r="B7" s="6">
        <v>152</v>
      </c>
      <c r="C7" s="6">
        <v>152</v>
      </c>
      <c r="D7" s="6">
        <v>5.8</v>
      </c>
      <c r="E7" s="45">
        <v>6.6</v>
      </c>
      <c r="F7" s="6" t="s">
        <v>890</v>
      </c>
      <c r="G7" s="6" t="s">
        <v>173</v>
      </c>
      <c r="H7" s="6" t="s">
        <v>173</v>
      </c>
      <c r="I7" s="6">
        <v>8</v>
      </c>
      <c r="J7" s="6">
        <v>12</v>
      </c>
      <c r="K7" s="45">
        <v>13</v>
      </c>
      <c r="L7" s="38" t="s">
        <v>258</v>
      </c>
      <c r="M7" s="6">
        <v>120</v>
      </c>
      <c r="N7" s="6">
        <v>120</v>
      </c>
      <c r="O7" s="6">
        <v>3.2</v>
      </c>
      <c r="P7" s="45">
        <v>4.5</v>
      </c>
      <c r="Q7" s="6" t="s">
        <v>284</v>
      </c>
      <c r="R7" s="6">
        <v>42</v>
      </c>
      <c r="S7" s="6">
        <v>3</v>
      </c>
      <c r="T7" s="38" t="s">
        <v>527</v>
      </c>
      <c r="U7" s="6">
        <v>38</v>
      </c>
      <c r="V7" s="45">
        <v>2</v>
      </c>
      <c r="W7" s="6" t="s">
        <v>588</v>
      </c>
      <c r="X7" s="6">
        <v>100</v>
      </c>
      <c r="Y7" s="6">
        <v>48</v>
      </c>
      <c r="Z7" s="6">
        <v>5.3</v>
      </c>
      <c r="AA7" s="6">
        <v>8.5</v>
      </c>
      <c r="AB7" s="6">
        <v>8.5</v>
      </c>
      <c r="AC7" s="6">
        <v>4.2</v>
      </c>
      <c r="AD7" s="38" t="s">
        <v>705</v>
      </c>
      <c r="AE7" s="140">
        <v>30</v>
      </c>
      <c r="AF7" s="140">
        <v>3</v>
      </c>
      <c r="AG7" s="140">
        <v>4.5</v>
      </c>
      <c r="AH7" s="38" t="s">
        <v>819</v>
      </c>
      <c r="AI7" s="140">
        <v>40</v>
      </c>
      <c r="AJ7" s="140">
        <v>25</v>
      </c>
      <c r="AK7" s="140">
        <v>3</v>
      </c>
      <c r="AL7" s="45">
        <v>4</v>
      </c>
    </row>
    <row r="8" spans="1:38" x14ac:dyDescent="0.3">
      <c r="A8" s="38" t="s">
        <v>7</v>
      </c>
      <c r="B8" s="6">
        <v>157</v>
      </c>
      <c r="C8" s="6">
        <v>153</v>
      </c>
      <c r="D8" s="6">
        <v>6.6</v>
      </c>
      <c r="E8" s="45">
        <v>9.3000000000000007</v>
      </c>
      <c r="F8" s="6" t="s">
        <v>891</v>
      </c>
      <c r="G8" s="6" t="s">
        <v>173</v>
      </c>
      <c r="H8" s="6" t="s">
        <v>174</v>
      </c>
      <c r="I8" s="6">
        <v>12</v>
      </c>
      <c r="J8" s="6">
        <v>12</v>
      </c>
      <c r="K8" s="45">
        <v>13</v>
      </c>
      <c r="L8" s="38" t="s">
        <v>259</v>
      </c>
      <c r="M8" s="6">
        <v>120</v>
      </c>
      <c r="N8" s="6">
        <v>120</v>
      </c>
      <c r="O8" s="6">
        <v>4.5</v>
      </c>
      <c r="P8" s="45">
        <v>6</v>
      </c>
      <c r="Q8" s="6" t="s">
        <v>285</v>
      </c>
      <c r="R8" s="6">
        <v>42</v>
      </c>
      <c r="S8" s="6">
        <v>3.5</v>
      </c>
      <c r="T8" s="38" t="s">
        <v>280</v>
      </c>
      <c r="U8" s="6">
        <v>38</v>
      </c>
      <c r="V8" s="45">
        <v>2.5</v>
      </c>
      <c r="W8" s="6" t="s">
        <v>589</v>
      </c>
      <c r="X8" s="6">
        <v>120</v>
      </c>
      <c r="Y8" s="6">
        <v>53</v>
      </c>
      <c r="Z8" s="6">
        <v>5.5</v>
      </c>
      <c r="AA8" s="6">
        <v>9</v>
      </c>
      <c r="AB8" s="6">
        <v>9</v>
      </c>
      <c r="AC8" s="6">
        <v>4.5</v>
      </c>
      <c r="AD8" s="38" t="s">
        <v>706</v>
      </c>
      <c r="AE8" s="140">
        <v>30</v>
      </c>
      <c r="AF8" s="140">
        <v>4</v>
      </c>
      <c r="AG8" s="140">
        <v>4.5</v>
      </c>
      <c r="AH8" s="38" t="s">
        <v>820</v>
      </c>
      <c r="AI8" s="140">
        <v>40</v>
      </c>
      <c r="AJ8" s="140">
        <v>25</v>
      </c>
      <c r="AK8" s="140">
        <v>4</v>
      </c>
      <c r="AL8" s="45">
        <v>4</v>
      </c>
    </row>
    <row r="9" spans="1:38" x14ac:dyDescent="0.3">
      <c r="A9" s="38" t="s">
        <v>13</v>
      </c>
      <c r="B9" s="6">
        <v>162</v>
      </c>
      <c r="C9" s="6">
        <v>154</v>
      </c>
      <c r="D9" s="6">
        <v>8.1</v>
      </c>
      <c r="E9" s="45">
        <v>11.6</v>
      </c>
      <c r="F9" s="6" t="s">
        <v>892</v>
      </c>
      <c r="G9" s="6">
        <v>244</v>
      </c>
      <c r="H9" s="6">
        <v>252</v>
      </c>
      <c r="I9" s="6">
        <v>11</v>
      </c>
      <c r="J9" s="6">
        <v>11</v>
      </c>
      <c r="K9" s="45">
        <v>13</v>
      </c>
      <c r="L9" s="38" t="s">
        <v>260</v>
      </c>
      <c r="M9" s="6">
        <v>150</v>
      </c>
      <c r="N9" s="6">
        <v>75</v>
      </c>
      <c r="O9" s="6">
        <v>3.2</v>
      </c>
      <c r="P9" s="45">
        <v>4.5</v>
      </c>
      <c r="Q9" s="6" t="s">
        <v>286</v>
      </c>
      <c r="R9" s="6">
        <v>42</v>
      </c>
      <c r="S9" s="6">
        <v>4</v>
      </c>
      <c r="T9" s="38" t="s">
        <v>528</v>
      </c>
      <c r="U9" s="6">
        <v>40</v>
      </c>
      <c r="V9" s="45">
        <v>2</v>
      </c>
      <c r="W9" s="6" t="s">
        <v>590</v>
      </c>
      <c r="X9" s="6">
        <v>126</v>
      </c>
      <c r="Y9" s="6">
        <v>53</v>
      </c>
      <c r="Z9" s="6">
        <v>5.5</v>
      </c>
      <c r="AA9" s="6">
        <v>9</v>
      </c>
      <c r="AB9" s="6">
        <v>9</v>
      </c>
      <c r="AC9" s="6">
        <v>4.5</v>
      </c>
      <c r="AD9" s="38" t="s">
        <v>707</v>
      </c>
      <c r="AE9" s="140">
        <v>36</v>
      </c>
      <c r="AF9" s="140">
        <v>3</v>
      </c>
      <c r="AG9" s="140">
        <v>4.5</v>
      </c>
      <c r="AH9" s="38" t="s">
        <v>821</v>
      </c>
      <c r="AI9" s="140">
        <v>45</v>
      </c>
      <c r="AJ9" s="140">
        <v>28</v>
      </c>
      <c r="AK9" s="140">
        <v>3</v>
      </c>
      <c r="AL9" s="45">
        <v>5</v>
      </c>
    </row>
    <row r="10" spans="1:38" x14ac:dyDescent="0.3">
      <c r="A10" s="38" t="s">
        <v>3</v>
      </c>
      <c r="B10" s="6">
        <v>198</v>
      </c>
      <c r="C10" s="6">
        <v>99</v>
      </c>
      <c r="D10" s="6">
        <v>3.3</v>
      </c>
      <c r="E10" s="45">
        <v>4.2</v>
      </c>
      <c r="F10" s="6" t="s">
        <v>893</v>
      </c>
      <c r="G10" s="6" t="s">
        <v>175</v>
      </c>
      <c r="H10" s="6" t="s">
        <v>175</v>
      </c>
      <c r="I10" s="6">
        <v>9</v>
      </c>
      <c r="J10" s="6">
        <v>14</v>
      </c>
      <c r="K10" s="45">
        <v>13</v>
      </c>
      <c r="L10" s="38" t="s">
        <v>261</v>
      </c>
      <c r="M10" s="6">
        <v>150</v>
      </c>
      <c r="N10" s="6">
        <v>75</v>
      </c>
      <c r="O10" s="6">
        <v>4.5</v>
      </c>
      <c r="P10" s="45">
        <v>6</v>
      </c>
      <c r="Q10" s="6" t="s">
        <v>287</v>
      </c>
      <c r="R10" s="6">
        <v>45</v>
      </c>
      <c r="S10" s="6">
        <v>2.5</v>
      </c>
      <c r="T10" s="38" t="s">
        <v>529</v>
      </c>
      <c r="U10" s="6">
        <v>40</v>
      </c>
      <c r="V10" s="45">
        <v>2.5</v>
      </c>
      <c r="W10" s="6" t="s">
        <v>591</v>
      </c>
      <c r="X10" s="6">
        <v>140</v>
      </c>
      <c r="Y10" s="6">
        <v>58</v>
      </c>
      <c r="Z10" s="6">
        <v>6</v>
      </c>
      <c r="AA10" s="6">
        <v>9.5</v>
      </c>
      <c r="AB10" s="6">
        <v>9.5</v>
      </c>
      <c r="AC10" s="6">
        <v>4.8</v>
      </c>
      <c r="AD10" s="38" t="s">
        <v>708</v>
      </c>
      <c r="AE10" s="140">
        <v>36</v>
      </c>
      <c r="AF10" s="140">
        <v>4</v>
      </c>
      <c r="AG10" s="140">
        <v>4.5</v>
      </c>
      <c r="AH10" s="38" t="s">
        <v>822</v>
      </c>
      <c r="AI10" s="140">
        <v>45</v>
      </c>
      <c r="AJ10" s="140">
        <v>28</v>
      </c>
      <c r="AK10" s="140">
        <v>4</v>
      </c>
      <c r="AL10" s="45">
        <v>5</v>
      </c>
    </row>
    <row r="11" spans="1:38" x14ac:dyDescent="0.3">
      <c r="A11" s="38" t="s">
        <v>8</v>
      </c>
      <c r="B11" s="6">
        <v>199</v>
      </c>
      <c r="C11" s="6">
        <v>100</v>
      </c>
      <c r="D11" s="6">
        <v>3.8</v>
      </c>
      <c r="E11" s="45">
        <v>4.7</v>
      </c>
      <c r="F11" s="6" t="s">
        <v>894</v>
      </c>
      <c r="G11" s="6" t="s">
        <v>175</v>
      </c>
      <c r="H11" s="6" t="s">
        <v>176</v>
      </c>
      <c r="I11" s="6">
        <v>14</v>
      </c>
      <c r="J11" s="6">
        <v>14</v>
      </c>
      <c r="K11" s="45">
        <v>13</v>
      </c>
      <c r="L11" s="38" t="s">
        <v>262</v>
      </c>
      <c r="M11" s="6">
        <v>150</v>
      </c>
      <c r="N11" s="6">
        <v>100</v>
      </c>
      <c r="O11" s="6">
        <v>3.2</v>
      </c>
      <c r="P11" s="45">
        <v>4.5</v>
      </c>
      <c r="Q11" s="6" t="s">
        <v>288</v>
      </c>
      <c r="R11" s="6">
        <v>45</v>
      </c>
      <c r="S11" s="6">
        <v>3</v>
      </c>
      <c r="T11" s="38" t="s">
        <v>530</v>
      </c>
      <c r="U11" s="6">
        <v>42</v>
      </c>
      <c r="V11" s="45">
        <v>2</v>
      </c>
      <c r="W11" s="6" t="s">
        <v>592</v>
      </c>
      <c r="X11" s="6">
        <v>140</v>
      </c>
      <c r="Y11" s="6">
        <v>60</v>
      </c>
      <c r="Z11" s="6">
        <v>8</v>
      </c>
      <c r="AA11" s="6">
        <v>9.5</v>
      </c>
      <c r="AB11" s="6">
        <v>9.5</v>
      </c>
      <c r="AC11" s="6">
        <v>4.8</v>
      </c>
      <c r="AD11" s="38" t="s">
        <v>709</v>
      </c>
      <c r="AE11" s="140">
        <v>36</v>
      </c>
      <c r="AF11" s="140">
        <v>5</v>
      </c>
      <c r="AG11" s="140">
        <v>4.5</v>
      </c>
      <c r="AH11" s="38" t="s">
        <v>823</v>
      </c>
      <c r="AI11" s="140">
        <v>50</v>
      </c>
      <c r="AJ11" s="140">
        <v>32</v>
      </c>
      <c r="AK11" s="140">
        <v>3</v>
      </c>
      <c r="AL11" s="45">
        <v>5.5</v>
      </c>
    </row>
    <row r="12" spans="1:38" x14ac:dyDescent="0.3">
      <c r="A12" s="38" t="s">
        <v>0</v>
      </c>
      <c r="B12" s="6">
        <v>200</v>
      </c>
      <c r="C12" s="6">
        <v>100</v>
      </c>
      <c r="D12" s="6">
        <v>4.3</v>
      </c>
      <c r="E12" s="45">
        <v>5.2</v>
      </c>
      <c r="F12" s="6" t="s">
        <v>895</v>
      </c>
      <c r="G12" s="6" t="s">
        <v>177</v>
      </c>
      <c r="H12" s="6" t="s">
        <v>178</v>
      </c>
      <c r="I12" s="6">
        <v>12</v>
      </c>
      <c r="J12" s="6">
        <v>12</v>
      </c>
      <c r="K12" s="45">
        <v>13</v>
      </c>
      <c r="L12" s="38" t="s">
        <v>263</v>
      </c>
      <c r="M12" s="6">
        <v>150</v>
      </c>
      <c r="N12" s="6">
        <v>100</v>
      </c>
      <c r="O12" s="6">
        <v>4.5</v>
      </c>
      <c r="P12" s="45">
        <v>6</v>
      </c>
      <c r="Q12" s="6" t="s">
        <v>289</v>
      </c>
      <c r="R12" s="6">
        <v>45</v>
      </c>
      <c r="S12" s="6">
        <v>3.5</v>
      </c>
      <c r="T12" s="38" t="s">
        <v>283</v>
      </c>
      <c r="U12" s="6">
        <v>42</v>
      </c>
      <c r="V12" s="45">
        <v>2.5</v>
      </c>
      <c r="W12" s="6" t="s">
        <v>593</v>
      </c>
      <c r="X12" s="6">
        <v>160</v>
      </c>
      <c r="Y12" s="6">
        <v>63</v>
      </c>
      <c r="Z12" s="6">
        <v>6.5</v>
      </c>
      <c r="AA12" s="6">
        <v>10</v>
      </c>
      <c r="AB12" s="6">
        <v>10</v>
      </c>
      <c r="AC12" s="6">
        <v>5</v>
      </c>
      <c r="AD12" s="38" t="s">
        <v>710</v>
      </c>
      <c r="AE12" s="140">
        <v>40</v>
      </c>
      <c r="AF12" s="140">
        <v>3</v>
      </c>
      <c r="AG12" s="140">
        <v>5</v>
      </c>
      <c r="AH12" s="38" t="s">
        <v>824</v>
      </c>
      <c r="AI12" s="140">
        <v>50</v>
      </c>
      <c r="AJ12" s="140">
        <v>32</v>
      </c>
      <c r="AK12" s="140">
        <v>4</v>
      </c>
      <c r="AL12" s="45">
        <v>5.5</v>
      </c>
    </row>
    <row r="13" spans="1:38" x14ac:dyDescent="0.3">
      <c r="A13" s="38" t="s">
        <v>9</v>
      </c>
      <c r="B13" s="6">
        <v>203</v>
      </c>
      <c r="C13" s="6">
        <v>102</v>
      </c>
      <c r="D13" s="6">
        <v>5.8</v>
      </c>
      <c r="E13" s="45">
        <v>6.5</v>
      </c>
      <c r="F13" s="6" t="s">
        <v>896</v>
      </c>
      <c r="G13" s="6" t="s">
        <v>179</v>
      </c>
      <c r="H13" s="6" t="s">
        <v>179</v>
      </c>
      <c r="I13" s="6">
        <v>10</v>
      </c>
      <c r="J13" s="6">
        <v>15</v>
      </c>
      <c r="K13" s="45">
        <v>13</v>
      </c>
      <c r="L13" s="38" t="s">
        <v>264</v>
      </c>
      <c r="M13" s="6">
        <v>150</v>
      </c>
      <c r="N13" s="6">
        <v>150</v>
      </c>
      <c r="O13" s="6">
        <v>4.5</v>
      </c>
      <c r="P13" s="45">
        <v>6</v>
      </c>
      <c r="Q13" s="6" t="s">
        <v>290</v>
      </c>
      <c r="R13" s="6">
        <v>45</v>
      </c>
      <c r="S13" s="6">
        <v>4</v>
      </c>
      <c r="T13" s="38" t="s">
        <v>531</v>
      </c>
      <c r="U13" s="6">
        <v>45</v>
      </c>
      <c r="V13" s="45">
        <v>2</v>
      </c>
      <c r="W13" s="6" t="s">
        <v>594</v>
      </c>
      <c r="X13" s="6">
        <v>160</v>
      </c>
      <c r="Y13" s="6">
        <v>65</v>
      </c>
      <c r="Z13" s="6">
        <v>8.5</v>
      </c>
      <c r="AA13" s="6">
        <v>10</v>
      </c>
      <c r="AB13" s="6">
        <v>10</v>
      </c>
      <c r="AC13" s="6">
        <v>5</v>
      </c>
      <c r="AD13" s="38" t="s">
        <v>711</v>
      </c>
      <c r="AE13" s="140">
        <v>40</v>
      </c>
      <c r="AF13" s="140">
        <v>4</v>
      </c>
      <c r="AG13" s="140">
        <v>5</v>
      </c>
      <c r="AH13" s="38" t="s">
        <v>825</v>
      </c>
      <c r="AI13" s="140">
        <v>56</v>
      </c>
      <c r="AJ13" s="140">
        <v>36</v>
      </c>
      <c r="AK13" s="140">
        <v>3</v>
      </c>
      <c r="AL13" s="45">
        <v>6</v>
      </c>
    </row>
    <row r="14" spans="1:38" x14ac:dyDescent="0.3">
      <c r="A14" s="38" t="s">
        <v>10</v>
      </c>
      <c r="B14" s="6">
        <v>206</v>
      </c>
      <c r="C14" s="6">
        <v>102</v>
      </c>
      <c r="D14" s="6">
        <v>6.2</v>
      </c>
      <c r="E14" s="45">
        <v>8</v>
      </c>
      <c r="F14" s="6" t="s">
        <v>897</v>
      </c>
      <c r="G14" s="6" t="s">
        <v>179</v>
      </c>
      <c r="H14" s="6" t="s">
        <v>180</v>
      </c>
      <c r="I14" s="6">
        <v>15</v>
      </c>
      <c r="J14" s="6">
        <v>15</v>
      </c>
      <c r="K14" s="45">
        <v>13</v>
      </c>
      <c r="L14" s="38" t="s">
        <v>265</v>
      </c>
      <c r="M14" s="6">
        <v>150</v>
      </c>
      <c r="N14" s="6">
        <v>150</v>
      </c>
      <c r="O14" s="6">
        <v>6</v>
      </c>
      <c r="P14" s="45">
        <v>8</v>
      </c>
      <c r="Q14" s="6" t="s">
        <v>291</v>
      </c>
      <c r="R14" s="6">
        <v>50</v>
      </c>
      <c r="S14" s="6">
        <v>2.5</v>
      </c>
      <c r="T14" s="38" t="s">
        <v>287</v>
      </c>
      <c r="U14" s="6">
        <v>45</v>
      </c>
      <c r="V14" s="45">
        <v>2.5</v>
      </c>
      <c r="W14" s="6" t="s">
        <v>595</v>
      </c>
      <c r="X14" s="6">
        <v>180</v>
      </c>
      <c r="Y14" s="6">
        <v>68</v>
      </c>
      <c r="Z14" s="6">
        <v>7</v>
      </c>
      <c r="AA14" s="6">
        <v>10.5</v>
      </c>
      <c r="AB14" s="6">
        <v>10.5</v>
      </c>
      <c r="AC14" s="6">
        <v>5.2</v>
      </c>
      <c r="AD14" s="38" t="s">
        <v>712</v>
      </c>
      <c r="AE14" s="140">
        <v>40</v>
      </c>
      <c r="AF14" s="140">
        <v>5</v>
      </c>
      <c r="AG14" s="140">
        <v>5</v>
      </c>
      <c r="AH14" s="38" t="s">
        <v>826</v>
      </c>
      <c r="AI14" s="140">
        <v>56</v>
      </c>
      <c r="AJ14" s="140">
        <v>36</v>
      </c>
      <c r="AK14" s="140">
        <v>4</v>
      </c>
      <c r="AL14" s="45">
        <v>6</v>
      </c>
    </row>
    <row r="15" spans="1:38" x14ac:dyDescent="0.3">
      <c r="A15" s="38" t="s">
        <v>11</v>
      </c>
      <c r="B15" s="6">
        <v>207</v>
      </c>
      <c r="C15" s="6">
        <v>133</v>
      </c>
      <c r="D15" s="6">
        <v>5.8</v>
      </c>
      <c r="E15" s="45">
        <v>8.4</v>
      </c>
      <c r="F15" s="6" t="s">
        <v>898</v>
      </c>
      <c r="G15" s="6">
        <v>338</v>
      </c>
      <c r="H15" s="6">
        <v>351</v>
      </c>
      <c r="I15" s="6">
        <v>13</v>
      </c>
      <c r="J15" s="6">
        <v>13</v>
      </c>
      <c r="K15" s="45">
        <v>13</v>
      </c>
      <c r="L15" s="38" t="s">
        <v>266</v>
      </c>
      <c r="M15" s="6">
        <v>200</v>
      </c>
      <c r="N15" s="6">
        <v>100</v>
      </c>
      <c r="O15" s="6">
        <v>3</v>
      </c>
      <c r="P15" s="45">
        <v>3</v>
      </c>
      <c r="Q15" s="6" t="s">
        <v>292</v>
      </c>
      <c r="R15" s="6">
        <v>50</v>
      </c>
      <c r="S15" s="6">
        <v>3</v>
      </c>
      <c r="T15" s="38" t="s">
        <v>288</v>
      </c>
      <c r="U15" s="6">
        <v>45</v>
      </c>
      <c r="V15" s="45">
        <v>3</v>
      </c>
      <c r="W15" s="6" t="s">
        <v>596</v>
      </c>
      <c r="X15" s="6">
        <v>180</v>
      </c>
      <c r="Y15" s="6">
        <v>70</v>
      </c>
      <c r="Z15" s="6">
        <v>9</v>
      </c>
      <c r="AA15" s="6">
        <v>10.5</v>
      </c>
      <c r="AB15" s="6">
        <v>10.5</v>
      </c>
      <c r="AC15" s="6">
        <v>5.2</v>
      </c>
      <c r="AD15" s="38" t="s">
        <v>713</v>
      </c>
      <c r="AE15" s="140">
        <v>45</v>
      </c>
      <c r="AF15" s="140">
        <v>3</v>
      </c>
      <c r="AG15" s="140">
        <v>5</v>
      </c>
      <c r="AH15" s="38" t="s">
        <v>827</v>
      </c>
      <c r="AI15" s="140">
        <v>56</v>
      </c>
      <c r="AJ15" s="140">
        <v>36</v>
      </c>
      <c r="AK15" s="140">
        <v>5</v>
      </c>
      <c r="AL15" s="45">
        <v>6</v>
      </c>
    </row>
    <row r="16" spans="1:38" x14ac:dyDescent="0.3">
      <c r="A16" s="38" t="s">
        <v>12</v>
      </c>
      <c r="B16" s="6">
        <v>210</v>
      </c>
      <c r="C16" s="6">
        <v>134</v>
      </c>
      <c r="D16" s="6">
        <v>6.4</v>
      </c>
      <c r="E16" s="45">
        <v>10.199999999999999</v>
      </c>
      <c r="F16" s="6" t="s">
        <v>899</v>
      </c>
      <c r="G16" s="6" t="s">
        <v>181</v>
      </c>
      <c r="H16" s="6" t="s">
        <v>182</v>
      </c>
      <c r="I16" s="6">
        <v>10</v>
      </c>
      <c r="J16" s="6">
        <v>16</v>
      </c>
      <c r="K16" s="45">
        <v>13</v>
      </c>
      <c r="L16" s="38" t="s">
        <v>267</v>
      </c>
      <c r="M16" s="6">
        <v>200</v>
      </c>
      <c r="N16" s="6">
        <v>100</v>
      </c>
      <c r="O16" s="6">
        <v>3.2</v>
      </c>
      <c r="P16" s="45">
        <v>4.5</v>
      </c>
      <c r="Q16" s="6" t="s">
        <v>293</v>
      </c>
      <c r="R16" s="6">
        <v>50</v>
      </c>
      <c r="S16" s="6">
        <v>3.5</v>
      </c>
      <c r="T16" s="38" t="s">
        <v>532</v>
      </c>
      <c r="U16" s="6">
        <v>51</v>
      </c>
      <c r="V16" s="45">
        <v>2</v>
      </c>
      <c r="W16" s="6" t="s">
        <v>597</v>
      </c>
      <c r="X16" s="6">
        <v>200</v>
      </c>
      <c r="Y16" s="6">
        <v>73</v>
      </c>
      <c r="Z16" s="6">
        <v>7</v>
      </c>
      <c r="AA16" s="6">
        <v>11</v>
      </c>
      <c r="AB16" s="6">
        <v>11</v>
      </c>
      <c r="AC16" s="6">
        <v>5.5</v>
      </c>
      <c r="AD16" s="38" t="s">
        <v>714</v>
      </c>
      <c r="AE16" s="140">
        <v>45</v>
      </c>
      <c r="AF16" s="140">
        <v>4</v>
      </c>
      <c r="AG16" s="140">
        <v>5</v>
      </c>
      <c r="AH16" s="38" t="s">
        <v>828</v>
      </c>
      <c r="AI16" s="140">
        <v>63</v>
      </c>
      <c r="AJ16" s="140">
        <v>40</v>
      </c>
      <c r="AK16" s="140">
        <v>4</v>
      </c>
      <c r="AL16" s="45">
        <v>7</v>
      </c>
    </row>
    <row r="17" spans="6:38" x14ac:dyDescent="0.3">
      <c r="F17" s="6" t="s">
        <v>900</v>
      </c>
      <c r="G17" s="6">
        <v>344</v>
      </c>
      <c r="H17" s="6">
        <v>354</v>
      </c>
      <c r="I17" s="6">
        <v>16</v>
      </c>
      <c r="J17" s="6">
        <v>16</v>
      </c>
      <c r="K17" s="45">
        <v>13</v>
      </c>
      <c r="L17" s="38" t="s">
        <v>268</v>
      </c>
      <c r="M17" s="6">
        <v>200</v>
      </c>
      <c r="N17" s="6">
        <v>100</v>
      </c>
      <c r="O17" s="6">
        <v>4.5</v>
      </c>
      <c r="P17" s="45">
        <v>6</v>
      </c>
      <c r="Q17" s="6" t="s">
        <v>294</v>
      </c>
      <c r="R17" s="6">
        <v>50</v>
      </c>
      <c r="S17" s="6">
        <v>4</v>
      </c>
      <c r="T17" s="38" t="s">
        <v>533</v>
      </c>
      <c r="U17" s="6">
        <v>51</v>
      </c>
      <c r="V17" s="45">
        <v>2.5</v>
      </c>
      <c r="W17" s="6" t="s">
        <v>598</v>
      </c>
      <c r="X17" s="6">
        <v>200</v>
      </c>
      <c r="Y17" s="6">
        <v>75</v>
      </c>
      <c r="Z17" s="6">
        <v>9</v>
      </c>
      <c r="AA17" s="6">
        <v>11</v>
      </c>
      <c r="AB17" s="6">
        <v>11</v>
      </c>
      <c r="AC17" s="6">
        <v>5.5</v>
      </c>
      <c r="AD17" s="38" t="s">
        <v>715</v>
      </c>
      <c r="AE17" s="140">
        <v>45</v>
      </c>
      <c r="AF17" s="140">
        <v>5</v>
      </c>
      <c r="AG17" s="140">
        <v>5</v>
      </c>
      <c r="AH17" s="38" t="s">
        <v>829</v>
      </c>
      <c r="AI17" s="140">
        <v>63</v>
      </c>
      <c r="AJ17" s="140">
        <v>40</v>
      </c>
      <c r="AK17" s="140">
        <v>5</v>
      </c>
      <c r="AL17" s="45">
        <v>7</v>
      </c>
    </row>
    <row r="18" spans="6:38" x14ac:dyDescent="0.3">
      <c r="F18" s="6" t="s">
        <v>901</v>
      </c>
      <c r="G18" s="6" t="s">
        <v>183</v>
      </c>
      <c r="H18" s="6" t="s">
        <v>183</v>
      </c>
      <c r="I18" s="6">
        <v>12</v>
      </c>
      <c r="J18" s="6">
        <v>19</v>
      </c>
      <c r="K18" s="45">
        <v>13</v>
      </c>
      <c r="L18" s="38" t="s">
        <v>269</v>
      </c>
      <c r="M18" s="6">
        <v>200</v>
      </c>
      <c r="N18" s="6">
        <v>100</v>
      </c>
      <c r="O18" s="6">
        <v>6</v>
      </c>
      <c r="P18" s="45">
        <v>8</v>
      </c>
      <c r="Q18" s="6" t="s">
        <v>295</v>
      </c>
      <c r="R18" s="6">
        <v>50</v>
      </c>
      <c r="S18" s="6">
        <v>4.5</v>
      </c>
      <c r="T18" s="38" t="s">
        <v>534</v>
      </c>
      <c r="U18" s="6">
        <v>51</v>
      </c>
      <c r="V18" s="45">
        <v>3</v>
      </c>
      <c r="W18" s="6" t="s">
        <v>599</v>
      </c>
      <c r="X18" s="6">
        <v>220</v>
      </c>
      <c r="Y18" s="6">
        <v>77</v>
      </c>
      <c r="Z18" s="6">
        <v>7</v>
      </c>
      <c r="AA18" s="6">
        <v>11.5</v>
      </c>
      <c r="AB18" s="6">
        <v>11.5</v>
      </c>
      <c r="AC18" s="6">
        <v>5.8</v>
      </c>
      <c r="AD18" s="38" t="s">
        <v>716</v>
      </c>
      <c r="AE18" s="140">
        <v>45</v>
      </c>
      <c r="AF18" s="140">
        <v>6</v>
      </c>
      <c r="AG18" s="140">
        <v>5</v>
      </c>
      <c r="AH18" s="38" t="s">
        <v>830</v>
      </c>
      <c r="AI18" s="140">
        <v>63</v>
      </c>
      <c r="AJ18" s="140">
        <v>40</v>
      </c>
      <c r="AK18" s="140">
        <v>6</v>
      </c>
      <c r="AL18" s="45">
        <v>7</v>
      </c>
    </row>
    <row r="19" spans="6:38" x14ac:dyDescent="0.3">
      <c r="F19" s="6" t="s">
        <v>902</v>
      </c>
      <c r="G19" s="6">
        <v>350</v>
      </c>
      <c r="H19" s="6">
        <v>357</v>
      </c>
      <c r="I19" s="6">
        <v>19</v>
      </c>
      <c r="J19" s="6">
        <v>19</v>
      </c>
      <c r="K19" s="45">
        <v>13</v>
      </c>
      <c r="L19" s="38" t="s">
        <v>270</v>
      </c>
      <c r="M19" s="6">
        <v>200</v>
      </c>
      <c r="N19" s="6">
        <v>150</v>
      </c>
      <c r="O19" s="6">
        <v>3.2</v>
      </c>
      <c r="P19" s="45">
        <v>4.5</v>
      </c>
      <c r="Q19" s="6" t="s">
        <v>296</v>
      </c>
      <c r="R19" s="6">
        <v>50</v>
      </c>
      <c r="S19" s="6">
        <v>5</v>
      </c>
      <c r="T19" s="38" t="s">
        <v>535</v>
      </c>
      <c r="U19" s="6">
        <v>51</v>
      </c>
      <c r="V19" s="45">
        <v>3.5</v>
      </c>
      <c r="W19" s="6" t="s">
        <v>600</v>
      </c>
      <c r="X19" s="6">
        <v>220</v>
      </c>
      <c r="Y19" s="6">
        <v>79</v>
      </c>
      <c r="Z19" s="6">
        <v>9</v>
      </c>
      <c r="AA19" s="6">
        <v>11.5</v>
      </c>
      <c r="AB19" s="6">
        <v>11.5</v>
      </c>
      <c r="AC19" s="6">
        <v>5.8</v>
      </c>
      <c r="AD19" s="38" t="s">
        <v>717</v>
      </c>
      <c r="AE19" s="140">
        <v>50</v>
      </c>
      <c r="AF19" s="140">
        <v>3</v>
      </c>
      <c r="AG19" s="140">
        <v>5.5</v>
      </c>
      <c r="AH19" s="38" t="s">
        <v>831</v>
      </c>
      <c r="AI19" s="140">
        <v>63</v>
      </c>
      <c r="AJ19" s="140">
        <v>40</v>
      </c>
      <c r="AK19" s="140">
        <v>7</v>
      </c>
      <c r="AL19" s="45">
        <v>7</v>
      </c>
    </row>
    <row r="20" spans="6:38" x14ac:dyDescent="0.3">
      <c r="F20" s="6" t="s">
        <v>903</v>
      </c>
      <c r="G20" s="6" t="s">
        <v>184</v>
      </c>
      <c r="H20" s="6" t="s">
        <v>185</v>
      </c>
      <c r="I20" s="6">
        <v>15</v>
      </c>
      <c r="J20" s="6">
        <v>15</v>
      </c>
      <c r="K20" s="45">
        <v>22</v>
      </c>
      <c r="L20" s="38" t="s">
        <v>271</v>
      </c>
      <c r="M20" s="6">
        <v>200</v>
      </c>
      <c r="N20" s="6">
        <v>150</v>
      </c>
      <c r="O20" s="6">
        <v>4.5</v>
      </c>
      <c r="P20" s="45">
        <v>6</v>
      </c>
      <c r="Q20" s="6" t="s">
        <v>297</v>
      </c>
      <c r="R20" s="6">
        <v>54</v>
      </c>
      <c r="S20" s="6">
        <v>3</v>
      </c>
      <c r="T20" s="38" t="s">
        <v>536</v>
      </c>
      <c r="U20" s="6">
        <v>54</v>
      </c>
      <c r="V20" s="45">
        <v>2</v>
      </c>
      <c r="W20" s="6" t="s">
        <v>601</v>
      </c>
      <c r="X20" s="6">
        <v>240</v>
      </c>
      <c r="Y20" s="6">
        <v>78</v>
      </c>
      <c r="Z20" s="6">
        <v>7</v>
      </c>
      <c r="AA20" s="6">
        <v>12</v>
      </c>
      <c r="AB20" s="6">
        <v>12</v>
      </c>
      <c r="AC20" s="6">
        <v>6</v>
      </c>
      <c r="AD20" s="38" t="s">
        <v>718</v>
      </c>
      <c r="AE20" s="140">
        <v>50</v>
      </c>
      <c r="AF20" s="140">
        <v>4</v>
      </c>
      <c r="AG20" s="140">
        <v>5.5</v>
      </c>
      <c r="AH20" s="38" t="s">
        <v>832</v>
      </c>
      <c r="AI20" s="140">
        <v>70</v>
      </c>
      <c r="AJ20" s="140">
        <v>45</v>
      </c>
      <c r="AK20" s="140">
        <v>4</v>
      </c>
      <c r="AL20" s="45">
        <v>7.5</v>
      </c>
    </row>
    <row r="21" spans="6:38" x14ac:dyDescent="0.3">
      <c r="F21" s="6" t="s">
        <v>137</v>
      </c>
      <c r="G21" s="6" t="s">
        <v>186</v>
      </c>
      <c r="H21" s="6" t="s">
        <v>187</v>
      </c>
      <c r="I21" s="6">
        <v>11</v>
      </c>
      <c r="J21" s="6">
        <v>18</v>
      </c>
      <c r="K21" s="45">
        <v>22</v>
      </c>
      <c r="L21" s="38" t="s">
        <v>272</v>
      </c>
      <c r="M21" s="6">
        <v>200</v>
      </c>
      <c r="N21" s="6">
        <v>150</v>
      </c>
      <c r="O21" s="6">
        <v>6</v>
      </c>
      <c r="P21" s="45">
        <v>8</v>
      </c>
      <c r="Q21" s="6" t="s">
        <v>298</v>
      </c>
      <c r="R21" s="6">
        <v>54</v>
      </c>
      <c r="S21" s="6">
        <v>3.5</v>
      </c>
      <c r="T21" s="38" t="s">
        <v>537</v>
      </c>
      <c r="U21" s="6">
        <v>54</v>
      </c>
      <c r="V21" s="45">
        <v>2.5</v>
      </c>
      <c r="W21" s="6" t="s">
        <v>602</v>
      </c>
      <c r="X21" s="6">
        <v>240</v>
      </c>
      <c r="Y21" s="6">
        <v>80</v>
      </c>
      <c r="Z21" s="6">
        <v>9</v>
      </c>
      <c r="AA21" s="6">
        <v>12</v>
      </c>
      <c r="AB21" s="6">
        <v>12</v>
      </c>
      <c r="AC21" s="6">
        <v>6</v>
      </c>
      <c r="AD21" s="38" t="s">
        <v>719</v>
      </c>
      <c r="AE21" s="140">
        <v>50</v>
      </c>
      <c r="AF21" s="140">
        <v>5</v>
      </c>
      <c r="AG21" s="140">
        <v>5.5</v>
      </c>
      <c r="AH21" s="38" t="s">
        <v>833</v>
      </c>
      <c r="AI21" s="140">
        <v>70</v>
      </c>
      <c r="AJ21" s="140">
        <v>45</v>
      </c>
      <c r="AK21" s="140">
        <v>5</v>
      </c>
      <c r="AL21" s="45">
        <v>7.5</v>
      </c>
    </row>
    <row r="22" spans="6:38" x14ac:dyDescent="0.3">
      <c r="F22" s="6" t="s">
        <v>904</v>
      </c>
      <c r="G22" s="6">
        <v>394</v>
      </c>
      <c r="H22" s="6">
        <v>405</v>
      </c>
      <c r="I22" s="6">
        <v>18</v>
      </c>
      <c r="J22" s="6">
        <v>18</v>
      </c>
      <c r="K22" s="45">
        <v>22</v>
      </c>
      <c r="L22" s="38" t="s">
        <v>273</v>
      </c>
      <c r="M22" s="6">
        <v>200</v>
      </c>
      <c r="N22" s="6">
        <v>200</v>
      </c>
      <c r="O22" s="6">
        <v>6</v>
      </c>
      <c r="P22" s="45">
        <v>8</v>
      </c>
      <c r="Q22" s="6" t="s">
        <v>299</v>
      </c>
      <c r="R22" s="6">
        <v>54</v>
      </c>
      <c r="S22" s="6">
        <v>4</v>
      </c>
      <c r="T22" s="38" t="s">
        <v>297</v>
      </c>
      <c r="U22" s="6">
        <v>54</v>
      </c>
      <c r="V22" s="45">
        <v>3</v>
      </c>
      <c r="W22" s="6" t="s">
        <v>603</v>
      </c>
      <c r="X22" s="6">
        <v>240</v>
      </c>
      <c r="Y22" s="6">
        <v>82</v>
      </c>
      <c r="Z22" s="6">
        <v>11</v>
      </c>
      <c r="AA22" s="6">
        <v>12</v>
      </c>
      <c r="AB22" s="6">
        <v>12</v>
      </c>
      <c r="AC22" s="6">
        <v>6</v>
      </c>
      <c r="AD22" s="38" t="s">
        <v>720</v>
      </c>
      <c r="AE22" s="140">
        <v>50</v>
      </c>
      <c r="AF22" s="140">
        <v>6</v>
      </c>
      <c r="AG22" s="140">
        <v>5.5</v>
      </c>
      <c r="AH22" s="38" t="s">
        <v>834</v>
      </c>
      <c r="AI22" s="140">
        <v>70</v>
      </c>
      <c r="AJ22" s="140">
        <v>45</v>
      </c>
      <c r="AK22" s="140">
        <v>6</v>
      </c>
      <c r="AL22" s="45">
        <v>7.5</v>
      </c>
    </row>
    <row r="23" spans="6:38" x14ac:dyDescent="0.3">
      <c r="F23" s="6" t="s">
        <v>905</v>
      </c>
      <c r="G23" s="6" t="s">
        <v>188</v>
      </c>
      <c r="H23" s="6" t="s">
        <v>188</v>
      </c>
      <c r="I23" s="6">
        <v>13</v>
      </c>
      <c r="J23" s="6">
        <v>21</v>
      </c>
      <c r="K23" s="45">
        <v>22</v>
      </c>
      <c r="L23" s="38" t="s">
        <v>274</v>
      </c>
      <c r="M23" s="6">
        <v>200</v>
      </c>
      <c r="N23" s="6">
        <v>125</v>
      </c>
      <c r="O23" s="6">
        <v>3</v>
      </c>
      <c r="P23" s="45">
        <v>3</v>
      </c>
      <c r="Q23" s="6" t="s">
        <v>300</v>
      </c>
      <c r="R23" s="6">
        <v>54</v>
      </c>
      <c r="S23" s="6">
        <v>4.5</v>
      </c>
      <c r="T23" s="38" t="s">
        <v>298</v>
      </c>
      <c r="U23" s="6">
        <v>54</v>
      </c>
      <c r="V23" s="45">
        <v>3.5</v>
      </c>
      <c r="W23" s="6" t="s">
        <v>604</v>
      </c>
      <c r="X23" s="6">
        <v>250</v>
      </c>
      <c r="Y23" s="6">
        <v>78</v>
      </c>
      <c r="Z23" s="6">
        <v>7</v>
      </c>
      <c r="AA23" s="6">
        <v>12</v>
      </c>
      <c r="AB23" s="6">
        <v>12</v>
      </c>
      <c r="AC23" s="6">
        <v>6</v>
      </c>
      <c r="AD23" s="38" t="s">
        <v>721</v>
      </c>
      <c r="AE23" s="140">
        <v>56</v>
      </c>
      <c r="AF23" s="140">
        <v>3</v>
      </c>
      <c r="AG23" s="140">
        <v>6</v>
      </c>
      <c r="AH23" s="38" t="s">
        <v>835</v>
      </c>
      <c r="AI23" s="140">
        <v>70</v>
      </c>
      <c r="AJ23" s="140">
        <v>45</v>
      </c>
      <c r="AK23" s="140">
        <v>7</v>
      </c>
      <c r="AL23" s="45">
        <v>7.5</v>
      </c>
    </row>
    <row r="24" spans="6:38" x14ac:dyDescent="0.3">
      <c r="F24" s="6" t="s">
        <v>906</v>
      </c>
      <c r="G24" s="6" t="s">
        <v>188</v>
      </c>
      <c r="H24" s="6" t="s">
        <v>189</v>
      </c>
      <c r="I24" s="6">
        <v>21</v>
      </c>
      <c r="J24" s="6">
        <v>21</v>
      </c>
      <c r="K24" s="45">
        <v>22</v>
      </c>
      <c r="L24" s="38" t="s">
        <v>275</v>
      </c>
      <c r="M24" s="6">
        <v>200</v>
      </c>
      <c r="N24" s="6">
        <v>125</v>
      </c>
      <c r="O24" s="6">
        <v>3.2</v>
      </c>
      <c r="P24" s="45">
        <v>4.5</v>
      </c>
      <c r="Q24" s="6" t="s">
        <v>301</v>
      </c>
      <c r="R24" s="6">
        <v>54</v>
      </c>
      <c r="S24" s="6">
        <v>5</v>
      </c>
      <c r="T24" s="38" t="s">
        <v>538</v>
      </c>
      <c r="U24" s="6">
        <v>57</v>
      </c>
      <c r="V24" s="45">
        <v>2</v>
      </c>
      <c r="W24" s="6" t="s">
        <v>605</v>
      </c>
      <c r="X24" s="6">
        <v>250</v>
      </c>
      <c r="Y24" s="6">
        <v>80</v>
      </c>
      <c r="Z24" s="6">
        <v>9</v>
      </c>
      <c r="AA24" s="6">
        <v>12</v>
      </c>
      <c r="AB24" s="6">
        <v>12</v>
      </c>
      <c r="AC24" s="6">
        <v>6</v>
      </c>
      <c r="AD24" s="38" t="s">
        <v>722</v>
      </c>
      <c r="AE24" s="140">
        <v>56</v>
      </c>
      <c r="AF24" s="140">
        <v>4</v>
      </c>
      <c r="AG24" s="140">
        <v>6</v>
      </c>
      <c r="AH24" s="38" t="s">
        <v>836</v>
      </c>
      <c r="AI24" s="140">
        <v>75</v>
      </c>
      <c r="AJ24" s="140">
        <v>50</v>
      </c>
      <c r="AK24" s="140">
        <v>5</v>
      </c>
      <c r="AL24" s="45">
        <v>8</v>
      </c>
    </row>
    <row r="25" spans="6:38" x14ac:dyDescent="0.3">
      <c r="F25" s="6" t="s">
        <v>907</v>
      </c>
      <c r="G25" s="6" t="s">
        <v>190</v>
      </c>
      <c r="H25" s="6" t="s">
        <v>191</v>
      </c>
      <c r="I25" s="6">
        <v>18</v>
      </c>
      <c r="J25" s="6">
        <v>28</v>
      </c>
      <c r="K25" s="45">
        <v>22</v>
      </c>
      <c r="Q25" s="6" t="s">
        <v>302</v>
      </c>
      <c r="R25" s="6">
        <v>57</v>
      </c>
      <c r="S25" s="6">
        <v>3</v>
      </c>
      <c r="T25" s="38" t="s">
        <v>539</v>
      </c>
      <c r="U25" s="6">
        <v>57</v>
      </c>
      <c r="V25" s="45">
        <v>2.5</v>
      </c>
      <c r="W25" s="6" t="s">
        <v>606</v>
      </c>
      <c r="X25" s="6">
        <v>250</v>
      </c>
      <c r="Y25" s="6">
        <v>82</v>
      </c>
      <c r="Z25" s="6">
        <v>11</v>
      </c>
      <c r="AA25" s="6">
        <v>12</v>
      </c>
      <c r="AB25" s="6">
        <v>12</v>
      </c>
      <c r="AC25" s="6">
        <v>6</v>
      </c>
      <c r="AD25" s="38" t="s">
        <v>723</v>
      </c>
      <c r="AE25" s="140">
        <v>56</v>
      </c>
      <c r="AF25" s="140">
        <v>5</v>
      </c>
      <c r="AG25" s="140">
        <v>6</v>
      </c>
      <c r="AH25" s="38" t="s">
        <v>837</v>
      </c>
      <c r="AI25" s="140">
        <v>75</v>
      </c>
      <c r="AJ25" s="140">
        <v>50</v>
      </c>
      <c r="AK25" s="140">
        <v>6</v>
      </c>
      <c r="AL25" s="45">
        <v>8</v>
      </c>
    </row>
    <row r="26" spans="6:38" x14ac:dyDescent="0.3">
      <c r="F26" s="6" t="s">
        <v>908</v>
      </c>
      <c r="G26" s="6" t="s">
        <v>192</v>
      </c>
      <c r="H26" s="6" t="s">
        <v>193</v>
      </c>
      <c r="I26" s="6">
        <v>20</v>
      </c>
      <c r="J26" s="6">
        <v>35</v>
      </c>
      <c r="K26" s="45">
        <v>22</v>
      </c>
      <c r="Q26" s="6" t="s">
        <v>303</v>
      </c>
      <c r="R26" s="6">
        <v>57</v>
      </c>
      <c r="S26" s="6">
        <v>3.5</v>
      </c>
      <c r="T26" s="38" t="s">
        <v>302</v>
      </c>
      <c r="U26" s="6">
        <v>57</v>
      </c>
      <c r="V26" s="45">
        <v>3</v>
      </c>
      <c r="W26" s="6" t="s">
        <v>607</v>
      </c>
      <c r="X26" s="6">
        <v>270</v>
      </c>
      <c r="Y26" s="6">
        <v>82</v>
      </c>
      <c r="Z26" s="6">
        <v>7.5</v>
      </c>
      <c r="AA26" s="6">
        <v>12.5</v>
      </c>
      <c r="AB26" s="6">
        <v>12.5</v>
      </c>
      <c r="AC26" s="6">
        <v>6.2</v>
      </c>
      <c r="AD26" s="38" t="s">
        <v>724</v>
      </c>
      <c r="AE26" s="140">
        <v>56</v>
      </c>
      <c r="AF26" s="140">
        <v>6</v>
      </c>
      <c r="AG26" s="140">
        <v>6</v>
      </c>
      <c r="AH26" s="38" t="s">
        <v>838</v>
      </c>
      <c r="AI26" s="140">
        <v>75</v>
      </c>
      <c r="AJ26" s="140">
        <v>50</v>
      </c>
      <c r="AK26" s="140">
        <v>8</v>
      </c>
      <c r="AL26" s="45">
        <v>8</v>
      </c>
    </row>
    <row r="27" spans="6:38" x14ac:dyDescent="0.3">
      <c r="F27" s="6" t="s">
        <v>909</v>
      </c>
      <c r="G27" s="6" t="s">
        <v>194</v>
      </c>
      <c r="H27" s="6" t="s">
        <v>195</v>
      </c>
      <c r="I27" s="6">
        <v>30</v>
      </c>
      <c r="J27" s="6">
        <v>50</v>
      </c>
      <c r="K27" s="45">
        <v>22</v>
      </c>
      <c r="Q27" s="6" t="s">
        <v>304</v>
      </c>
      <c r="R27" s="6">
        <v>57</v>
      </c>
      <c r="S27" s="6">
        <v>4</v>
      </c>
      <c r="T27" s="38" t="s">
        <v>303</v>
      </c>
      <c r="U27" s="6">
        <v>57</v>
      </c>
      <c r="V27" s="45">
        <v>3.5</v>
      </c>
      <c r="W27" s="6" t="s">
        <v>608</v>
      </c>
      <c r="X27" s="6">
        <v>270</v>
      </c>
      <c r="Y27" s="6">
        <v>84</v>
      </c>
      <c r="Z27" s="6">
        <v>9.5</v>
      </c>
      <c r="AA27" s="6">
        <v>12.5</v>
      </c>
      <c r="AB27" s="6">
        <v>12.5</v>
      </c>
      <c r="AC27" s="6">
        <v>6.2</v>
      </c>
      <c r="AD27" s="38" t="s">
        <v>725</v>
      </c>
      <c r="AE27" s="140">
        <v>56</v>
      </c>
      <c r="AF27" s="140">
        <v>7</v>
      </c>
      <c r="AG27" s="140">
        <v>6</v>
      </c>
      <c r="AH27" s="38" t="s">
        <v>839</v>
      </c>
      <c r="AI27" s="140">
        <v>75</v>
      </c>
      <c r="AJ27" s="140">
        <v>50</v>
      </c>
      <c r="AK27" s="140">
        <v>10</v>
      </c>
      <c r="AL27" s="45">
        <v>8</v>
      </c>
    </row>
    <row r="28" spans="6:38" x14ac:dyDescent="0.3">
      <c r="F28" s="6" t="s">
        <v>138</v>
      </c>
      <c r="G28" s="6" t="s">
        <v>196</v>
      </c>
      <c r="H28" s="6" t="s">
        <v>197</v>
      </c>
      <c r="I28" s="6">
        <v>45</v>
      </c>
      <c r="J28" s="6">
        <v>70</v>
      </c>
      <c r="K28" s="45">
        <v>22</v>
      </c>
      <c r="Q28" s="6" t="s">
        <v>305</v>
      </c>
      <c r="R28" s="6">
        <v>57</v>
      </c>
      <c r="S28" s="6">
        <v>4.5</v>
      </c>
      <c r="T28" s="38" t="s">
        <v>540</v>
      </c>
      <c r="U28" s="6">
        <v>60</v>
      </c>
      <c r="V28" s="45">
        <v>2</v>
      </c>
      <c r="W28" s="6" t="s">
        <v>609</v>
      </c>
      <c r="X28" s="6">
        <v>270</v>
      </c>
      <c r="Y28" s="6">
        <v>86</v>
      </c>
      <c r="Z28" s="6">
        <v>11.5</v>
      </c>
      <c r="AA28" s="6">
        <v>12.5</v>
      </c>
      <c r="AB28" s="6">
        <v>12.5</v>
      </c>
      <c r="AC28" s="6">
        <v>6.2</v>
      </c>
      <c r="AD28" s="38" t="s">
        <v>726</v>
      </c>
      <c r="AE28" s="140">
        <v>56</v>
      </c>
      <c r="AF28" s="140">
        <v>8</v>
      </c>
      <c r="AG28" s="140">
        <v>6</v>
      </c>
      <c r="AH28" s="38" t="s">
        <v>840</v>
      </c>
      <c r="AI28" s="140">
        <v>80</v>
      </c>
      <c r="AJ28" s="140">
        <v>50</v>
      </c>
      <c r="AK28" s="140">
        <v>5</v>
      </c>
      <c r="AL28" s="45">
        <v>8</v>
      </c>
    </row>
    <row r="29" spans="6:38" x14ac:dyDescent="0.3">
      <c r="F29" s="6" t="s">
        <v>910</v>
      </c>
      <c r="G29" s="6">
        <v>492</v>
      </c>
      <c r="H29" s="6">
        <v>465</v>
      </c>
      <c r="I29" s="6">
        <v>15</v>
      </c>
      <c r="J29" s="6">
        <v>20</v>
      </c>
      <c r="K29" s="45">
        <v>22</v>
      </c>
      <c r="Q29" s="6" t="s">
        <v>306</v>
      </c>
      <c r="R29" s="6">
        <v>57</v>
      </c>
      <c r="S29" s="6">
        <v>5</v>
      </c>
      <c r="T29" s="38" t="s">
        <v>541</v>
      </c>
      <c r="U29" s="6">
        <v>60</v>
      </c>
      <c r="V29" s="45">
        <v>2.5</v>
      </c>
      <c r="W29" s="6" t="s">
        <v>610</v>
      </c>
      <c r="X29" s="6">
        <v>280</v>
      </c>
      <c r="Y29" s="6">
        <v>82</v>
      </c>
      <c r="Z29" s="6">
        <v>7.5</v>
      </c>
      <c r="AA29" s="6">
        <v>12.5</v>
      </c>
      <c r="AB29" s="6">
        <v>12.5</v>
      </c>
      <c r="AC29" s="6">
        <v>6.2</v>
      </c>
      <c r="AD29" s="38" t="s">
        <v>727</v>
      </c>
      <c r="AE29" s="140">
        <v>60</v>
      </c>
      <c r="AF29" s="140">
        <v>5</v>
      </c>
      <c r="AG29" s="140">
        <v>6.5</v>
      </c>
      <c r="AH29" s="38" t="s">
        <v>841</v>
      </c>
      <c r="AI29" s="140">
        <v>80</v>
      </c>
      <c r="AJ29" s="140">
        <v>50</v>
      </c>
      <c r="AK29" s="140">
        <v>6</v>
      </c>
      <c r="AL29" s="45">
        <v>8</v>
      </c>
    </row>
    <row r="30" spans="6:38" x14ac:dyDescent="0.3">
      <c r="F30" s="6" t="s">
        <v>911</v>
      </c>
      <c r="G30" s="6">
        <v>502</v>
      </c>
      <c r="H30" s="6">
        <v>465</v>
      </c>
      <c r="I30" s="6">
        <v>15</v>
      </c>
      <c r="J30" s="6">
        <v>25</v>
      </c>
      <c r="K30" s="45">
        <v>22</v>
      </c>
      <c r="Q30" s="6" t="s">
        <v>307</v>
      </c>
      <c r="R30" s="6">
        <v>57</v>
      </c>
      <c r="S30" s="6">
        <v>5.5</v>
      </c>
      <c r="T30" s="38" t="s">
        <v>308</v>
      </c>
      <c r="U30" s="6">
        <v>60</v>
      </c>
      <c r="V30" s="45">
        <v>3</v>
      </c>
      <c r="W30" s="6" t="s">
        <v>611</v>
      </c>
      <c r="X30" s="6">
        <v>280</v>
      </c>
      <c r="Y30" s="6">
        <v>84</v>
      </c>
      <c r="Z30" s="6">
        <v>9.5</v>
      </c>
      <c r="AA30" s="6">
        <v>12.5</v>
      </c>
      <c r="AB30" s="6">
        <v>12.5</v>
      </c>
      <c r="AC30" s="6">
        <v>6.2</v>
      </c>
      <c r="AD30" s="38" t="s">
        <v>728</v>
      </c>
      <c r="AE30" s="140">
        <v>60</v>
      </c>
      <c r="AF30" s="140">
        <v>6</v>
      </c>
      <c r="AG30" s="140">
        <v>6.5</v>
      </c>
      <c r="AH30" s="38" t="s">
        <v>842</v>
      </c>
      <c r="AI30" s="140">
        <v>80</v>
      </c>
      <c r="AJ30" s="140">
        <v>50</v>
      </c>
      <c r="AK30" s="140">
        <v>7</v>
      </c>
      <c r="AL30" s="45">
        <v>8</v>
      </c>
    </row>
    <row r="31" spans="6:38" x14ac:dyDescent="0.3">
      <c r="F31" s="6" t="s">
        <v>912</v>
      </c>
      <c r="G31" s="6">
        <v>502</v>
      </c>
      <c r="H31" s="6">
        <v>470</v>
      </c>
      <c r="I31" s="6">
        <v>20</v>
      </c>
      <c r="J31" s="6">
        <v>25</v>
      </c>
      <c r="K31" s="45">
        <v>22</v>
      </c>
      <c r="Q31" s="6" t="s">
        <v>308</v>
      </c>
      <c r="R31" s="6">
        <v>60</v>
      </c>
      <c r="S31" s="6">
        <v>3</v>
      </c>
      <c r="T31" s="38" t="s">
        <v>309</v>
      </c>
      <c r="U31" s="6">
        <v>60</v>
      </c>
      <c r="V31" s="45">
        <v>3.5</v>
      </c>
      <c r="W31" s="6" t="s">
        <v>612</v>
      </c>
      <c r="X31" s="6">
        <v>280</v>
      </c>
      <c r="Y31" s="6">
        <v>86</v>
      </c>
      <c r="Z31" s="6">
        <v>11.5</v>
      </c>
      <c r="AA31" s="6">
        <v>12.5</v>
      </c>
      <c r="AB31" s="6">
        <v>12.5</v>
      </c>
      <c r="AC31" s="6">
        <v>6.2</v>
      </c>
      <c r="AD31" s="38" t="s">
        <v>729</v>
      </c>
      <c r="AE31" s="140">
        <v>60</v>
      </c>
      <c r="AF31" s="140">
        <v>7</v>
      </c>
      <c r="AG31" s="140">
        <v>6.5</v>
      </c>
      <c r="AH31" s="38" t="s">
        <v>843</v>
      </c>
      <c r="AI31" s="140">
        <v>80</v>
      </c>
      <c r="AJ31" s="140">
        <v>50</v>
      </c>
      <c r="AK31" s="140">
        <v>8</v>
      </c>
      <c r="AL31" s="45">
        <v>8</v>
      </c>
    </row>
    <row r="32" spans="6:38" x14ac:dyDescent="0.3">
      <c r="F32" s="6" t="s">
        <v>139</v>
      </c>
      <c r="G32" s="6" t="s">
        <v>198</v>
      </c>
      <c r="H32" s="6" t="s">
        <v>169</v>
      </c>
      <c r="I32" s="6">
        <v>6</v>
      </c>
      <c r="J32" s="6">
        <v>9</v>
      </c>
      <c r="K32" s="45">
        <v>8</v>
      </c>
      <c r="Q32" s="6" t="s">
        <v>309</v>
      </c>
      <c r="R32" s="6">
        <v>60</v>
      </c>
      <c r="S32" s="6">
        <v>3.5</v>
      </c>
      <c r="T32" s="38" t="s">
        <v>542</v>
      </c>
      <c r="U32" s="6">
        <v>63.5</v>
      </c>
      <c r="V32" s="45">
        <v>2</v>
      </c>
      <c r="W32" s="6" t="s">
        <v>613</v>
      </c>
      <c r="X32" s="6">
        <v>300</v>
      </c>
      <c r="Y32" s="6">
        <v>85</v>
      </c>
      <c r="Z32" s="6">
        <v>7.5</v>
      </c>
      <c r="AA32" s="6">
        <v>13.5</v>
      </c>
      <c r="AB32" s="6">
        <v>13.5</v>
      </c>
      <c r="AC32" s="6">
        <v>6.8</v>
      </c>
      <c r="AD32" s="38" t="s">
        <v>730</v>
      </c>
      <c r="AE32" s="140">
        <v>60</v>
      </c>
      <c r="AF32" s="140">
        <v>8</v>
      </c>
      <c r="AG32" s="140">
        <v>6.5</v>
      </c>
      <c r="AH32" s="38" t="s">
        <v>844</v>
      </c>
      <c r="AI32" s="140">
        <v>90</v>
      </c>
      <c r="AJ32" s="140">
        <v>56</v>
      </c>
      <c r="AK32" s="140">
        <v>5</v>
      </c>
      <c r="AL32" s="45">
        <v>9</v>
      </c>
    </row>
    <row r="33" spans="6:38" x14ac:dyDescent="0.3">
      <c r="F33" s="6" t="s">
        <v>140</v>
      </c>
      <c r="G33" s="6" t="s">
        <v>199</v>
      </c>
      <c r="H33" s="6" t="s">
        <v>171</v>
      </c>
      <c r="I33" s="6">
        <v>6</v>
      </c>
      <c r="J33" s="6">
        <v>9</v>
      </c>
      <c r="K33" s="45">
        <v>8</v>
      </c>
      <c r="Q33" s="6" t="s">
        <v>310</v>
      </c>
      <c r="R33" s="6">
        <v>60</v>
      </c>
      <c r="S33" s="6">
        <v>4</v>
      </c>
      <c r="T33" s="38" t="s">
        <v>543</v>
      </c>
      <c r="U33" s="6">
        <v>63.5</v>
      </c>
      <c r="V33" s="45">
        <v>2.5</v>
      </c>
      <c r="W33" s="6" t="s">
        <v>614</v>
      </c>
      <c r="X33" s="6">
        <v>300</v>
      </c>
      <c r="Y33" s="6">
        <v>87</v>
      </c>
      <c r="Z33" s="6">
        <v>9.5</v>
      </c>
      <c r="AA33" s="6">
        <v>13.5</v>
      </c>
      <c r="AB33" s="6">
        <v>13.5</v>
      </c>
      <c r="AC33" s="6">
        <v>6.8</v>
      </c>
      <c r="AD33" s="38" t="s">
        <v>731</v>
      </c>
      <c r="AE33" s="140">
        <v>63</v>
      </c>
      <c r="AF33" s="140">
        <v>4</v>
      </c>
      <c r="AG33" s="140">
        <v>7</v>
      </c>
      <c r="AH33" s="38" t="s">
        <v>845</v>
      </c>
      <c r="AI33" s="140">
        <v>90</v>
      </c>
      <c r="AJ33" s="140">
        <v>56</v>
      </c>
      <c r="AK33" s="140">
        <v>6</v>
      </c>
      <c r="AL33" s="45">
        <v>9</v>
      </c>
    </row>
    <row r="34" spans="6:38" x14ac:dyDescent="0.3">
      <c r="F34" s="6" t="s">
        <v>141</v>
      </c>
      <c r="G34" s="6" t="s">
        <v>200</v>
      </c>
      <c r="H34" s="6" t="s">
        <v>172</v>
      </c>
      <c r="I34" s="6">
        <v>7</v>
      </c>
      <c r="J34" s="6">
        <v>11</v>
      </c>
      <c r="K34" s="45">
        <v>13</v>
      </c>
      <c r="Q34" s="6" t="s">
        <v>311</v>
      </c>
      <c r="R34" s="6">
        <v>60</v>
      </c>
      <c r="S34" s="6">
        <v>4.5</v>
      </c>
      <c r="T34" s="38" t="s">
        <v>315</v>
      </c>
      <c r="U34" s="6">
        <v>63.5</v>
      </c>
      <c r="V34" s="45">
        <v>3</v>
      </c>
      <c r="W34" s="6" t="s">
        <v>615</v>
      </c>
      <c r="X34" s="6">
        <v>300</v>
      </c>
      <c r="Y34" s="6">
        <v>89</v>
      </c>
      <c r="Z34" s="6">
        <v>11.5</v>
      </c>
      <c r="AA34" s="6">
        <v>13.5</v>
      </c>
      <c r="AB34" s="6">
        <v>13.5</v>
      </c>
      <c r="AC34" s="6">
        <v>6.8</v>
      </c>
      <c r="AD34" s="38" t="s">
        <v>732</v>
      </c>
      <c r="AE34" s="140">
        <v>63</v>
      </c>
      <c r="AF34" s="140">
        <v>5</v>
      </c>
      <c r="AG34" s="140">
        <v>7</v>
      </c>
      <c r="AH34" s="38" t="s">
        <v>846</v>
      </c>
      <c r="AI34" s="140">
        <v>90</v>
      </c>
      <c r="AJ34" s="140">
        <v>56</v>
      </c>
      <c r="AK34" s="140">
        <v>7</v>
      </c>
      <c r="AL34" s="45">
        <v>9</v>
      </c>
    </row>
    <row r="35" spans="6:38" x14ac:dyDescent="0.3">
      <c r="F35" s="6" t="s">
        <v>142</v>
      </c>
      <c r="G35" s="6" t="s">
        <v>177</v>
      </c>
      <c r="H35" s="6" t="s">
        <v>173</v>
      </c>
      <c r="I35" s="6">
        <v>8</v>
      </c>
      <c r="J35" s="6">
        <v>12</v>
      </c>
      <c r="K35" s="45">
        <v>13</v>
      </c>
      <c r="Q35" s="6" t="s">
        <v>312</v>
      </c>
      <c r="R35" s="6">
        <v>60</v>
      </c>
      <c r="S35" s="6">
        <v>5</v>
      </c>
      <c r="T35" s="38" t="s">
        <v>316</v>
      </c>
      <c r="U35" s="6">
        <v>63.5</v>
      </c>
      <c r="V35" s="45">
        <v>3.5</v>
      </c>
      <c r="W35" s="6" t="s">
        <v>616</v>
      </c>
      <c r="X35" s="6">
        <v>320</v>
      </c>
      <c r="Y35" s="6">
        <v>88</v>
      </c>
      <c r="Z35" s="6">
        <v>8</v>
      </c>
      <c r="AA35" s="6">
        <v>14</v>
      </c>
      <c r="AB35" s="6">
        <v>14</v>
      </c>
      <c r="AC35" s="6">
        <v>7</v>
      </c>
      <c r="AD35" s="38" t="s">
        <v>733</v>
      </c>
      <c r="AE35" s="140">
        <v>63</v>
      </c>
      <c r="AF35" s="140">
        <v>6</v>
      </c>
      <c r="AG35" s="140">
        <v>7</v>
      </c>
      <c r="AH35" s="38" t="s">
        <v>847</v>
      </c>
      <c r="AI35" s="140">
        <v>90</v>
      </c>
      <c r="AJ35" s="140">
        <v>56</v>
      </c>
      <c r="AK35" s="140">
        <v>8</v>
      </c>
      <c r="AL35" s="45">
        <v>9</v>
      </c>
    </row>
    <row r="36" spans="6:38" x14ac:dyDescent="0.3">
      <c r="F36" s="6" t="s">
        <v>913</v>
      </c>
      <c r="G36" s="6">
        <v>298</v>
      </c>
      <c r="H36" s="6">
        <v>201</v>
      </c>
      <c r="I36" s="6">
        <v>9</v>
      </c>
      <c r="J36" s="6">
        <v>14</v>
      </c>
      <c r="K36" s="45">
        <v>13</v>
      </c>
      <c r="Q36" s="6" t="s">
        <v>313</v>
      </c>
      <c r="R36" s="6">
        <v>60</v>
      </c>
      <c r="S36" s="6">
        <v>5.5</v>
      </c>
      <c r="T36" s="38" t="s">
        <v>544</v>
      </c>
      <c r="U36" s="6">
        <v>70</v>
      </c>
      <c r="V36" s="45">
        <v>2</v>
      </c>
      <c r="W36" s="6" t="s">
        <v>617</v>
      </c>
      <c r="X36" s="6">
        <v>320</v>
      </c>
      <c r="Y36" s="6">
        <v>90</v>
      </c>
      <c r="Z36" s="6">
        <v>10</v>
      </c>
      <c r="AA36" s="6">
        <v>14</v>
      </c>
      <c r="AB36" s="6">
        <v>14</v>
      </c>
      <c r="AC36" s="6">
        <v>7</v>
      </c>
      <c r="AD36" s="38" t="s">
        <v>734</v>
      </c>
      <c r="AE36" s="140">
        <v>63</v>
      </c>
      <c r="AF36" s="140">
        <v>7</v>
      </c>
      <c r="AG36" s="140">
        <v>7</v>
      </c>
      <c r="AH36" s="38" t="s">
        <v>848</v>
      </c>
      <c r="AI36" s="140">
        <v>100</v>
      </c>
      <c r="AJ36" s="140">
        <v>63</v>
      </c>
      <c r="AK36" s="140">
        <v>6</v>
      </c>
      <c r="AL36" s="45">
        <v>10</v>
      </c>
    </row>
    <row r="37" spans="6:38" x14ac:dyDescent="0.3">
      <c r="F37" s="6" t="s">
        <v>143</v>
      </c>
      <c r="G37" s="6" t="s">
        <v>201</v>
      </c>
      <c r="H37" s="6" t="s">
        <v>175</v>
      </c>
      <c r="I37" s="6">
        <v>9</v>
      </c>
      <c r="J37" s="6">
        <v>14</v>
      </c>
      <c r="K37" s="45">
        <v>13</v>
      </c>
      <c r="Q37" s="6" t="s">
        <v>314</v>
      </c>
      <c r="R37" s="6">
        <v>60</v>
      </c>
      <c r="S37" s="6">
        <v>6</v>
      </c>
      <c r="T37" s="38" t="s">
        <v>545</v>
      </c>
      <c r="U37" s="6">
        <v>70</v>
      </c>
      <c r="V37" s="45">
        <v>2.5</v>
      </c>
      <c r="W37" s="6" t="s">
        <v>618</v>
      </c>
      <c r="X37" s="6">
        <v>320</v>
      </c>
      <c r="Y37" s="6">
        <v>92</v>
      </c>
      <c r="Z37" s="6">
        <v>12</v>
      </c>
      <c r="AA37" s="6">
        <v>14</v>
      </c>
      <c r="AB37" s="6">
        <v>14</v>
      </c>
      <c r="AC37" s="6">
        <v>7</v>
      </c>
      <c r="AD37" s="38" t="s">
        <v>735</v>
      </c>
      <c r="AE37" s="140">
        <v>63</v>
      </c>
      <c r="AF37" s="140">
        <v>8</v>
      </c>
      <c r="AG37" s="140">
        <v>7</v>
      </c>
      <c r="AH37" s="38" t="s">
        <v>849</v>
      </c>
      <c r="AI37" s="140">
        <v>100</v>
      </c>
      <c r="AJ37" s="140">
        <v>63</v>
      </c>
      <c r="AK37" s="140">
        <v>7</v>
      </c>
      <c r="AL37" s="45">
        <v>10</v>
      </c>
    </row>
    <row r="38" spans="6:38" x14ac:dyDescent="0.3">
      <c r="F38" s="6" t="s">
        <v>144</v>
      </c>
      <c r="G38" s="6" t="s">
        <v>202</v>
      </c>
      <c r="H38" s="6" t="s">
        <v>179</v>
      </c>
      <c r="I38" s="6">
        <v>10</v>
      </c>
      <c r="J38" s="6">
        <v>16</v>
      </c>
      <c r="K38" s="45">
        <v>16</v>
      </c>
      <c r="Q38" s="6" t="s">
        <v>315</v>
      </c>
      <c r="R38" s="6">
        <v>63.5</v>
      </c>
      <c r="S38" s="6">
        <v>3</v>
      </c>
      <c r="T38" s="38" t="s">
        <v>329</v>
      </c>
      <c r="U38" s="6">
        <v>70</v>
      </c>
      <c r="V38" s="45">
        <v>3</v>
      </c>
      <c r="W38" s="6" t="s">
        <v>619</v>
      </c>
      <c r="X38" s="6">
        <v>360</v>
      </c>
      <c r="Y38" s="6">
        <v>96</v>
      </c>
      <c r="Z38" s="6">
        <v>9</v>
      </c>
      <c r="AA38" s="6">
        <v>16</v>
      </c>
      <c r="AB38" s="6">
        <v>16</v>
      </c>
      <c r="AC38" s="6">
        <v>8</v>
      </c>
      <c r="AD38" s="38" t="s">
        <v>736</v>
      </c>
      <c r="AE38" s="140">
        <v>63</v>
      </c>
      <c r="AF38" s="140">
        <v>10</v>
      </c>
      <c r="AG38" s="140">
        <v>7</v>
      </c>
      <c r="AH38" s="38" t="s">
        <v>850</v>
      </c>
      <c r="AI38" s="140">
        <v>100</v>
      </c>
      <c r="AJ38" s="140">
        <v>63</v>
      </c>
      <c r="AK38" s="140">
        <v>8</v>
      </c>
      <c r="AL38" s="45">
        <v>10</v>
      </c>
    </row>
    <row r="39" spans="6:38" x14ac:dyDescent="0.3">
      <c r="F39" s="6" t="s">
        <v>145</v>
      </c>
      <c r="G39" s="6" t="s">
        <v>203</v>
      </c>
      <c r="H39" s="6" t="s">
        <v>179</v>
      </c>
      <c r="I39" s="6">
        <v>11</v>
      </c>
      <c r="J39" s="6">
        <v>18</v>
      </c>
      <c r="K39" s="45">
        <v>13</v>
      </c>
      <c r="Q39" s="6" t="s">
        <v>316</v>
      </c>
      <c r="R39" s="6">
        <v>63.5</v>
      </c>
      <c r="S39" s="6">
        <v>3.5</v>
      </c>
      <c r="T39" s="38" t="s">
        <v>330</v>
      </c>
      <c r="U39" s="6">
        <v>70</v>
      </c>
      <c r="V39" s="45">
        <v>3.5</v>
      </c>
      <c r="W39" s="6" t="s">
        <v>620</v>
      </c>
      <c r="X39" s="6">
        <v>360</v>
      </c>
      <c r="Y39" s="6">
        <v>98</v>
      </c>
      <c r="Z39" s="6">
        <v>11</v>
      </c>
      <c r="AA39" s="6">
        <v>16</v>
      </c>
      <c r="AB39" s="6">
        <v>16</v>
      </c>
      <c r="AC39" s="6">
        <v>8</v>
      </c>
      <c r="AD39" s="38" t="s">
        <v>737</v>
      </c>
      <c r="AE39" s="140">
        <v>70</v>
      </c>
      <c r="AF39" s="140">
        <v>4</v>
      </c>
      <c r="AG39" s="140">
        <v>8</v>
      </c>
      <c r="AH39" s="38" t="s">
        <v>851</v>
      </c>
      <c r="AI39" s="140">
        <v>100</v>
      </c>
      <c r="AJ39" s="140">
        <v>63</v>
      </c>
      <c r="AK39" s="140">
        <v>10</v>
      </c>
      <c r="AL39" s="45">
        <v>10</v>
      </c>
    </row>
    <row r="40" spans="6:38" x14ac:dyDescent="0.3">
      <c r="F40" s="6" t="s">
        <v>146</v>
      </c>
      <c r="G40" s="6" t="s">
        <v>204</v>
      </c>
      <c r="H40" s="6" t="s">
        <v>179</v>
      </c>
      <c r="I40" s="6">
        <v>11</v>
      </c>
      <c r="J40" s="6">
        <v>15</v>
      </c>
      <c r="K40" s="45">
        <v>13</v>
      </c>
      <c r="Q40" s="6" t="s">
        <v>317</v>
      </c>
      <c r="R40" s="6">
        <v>63.5</v>
      </c>
      <c r="S40" s="6">
        <v>4</v>
      </c>
      <c r="T40" s="38" t="s">
        <v>332</v>
      </c>
      <c r="U40" s="6">
        <v>70</v>
      </c>
      <c r="V40" s="45">
        <v>4.5</v>
      </c>
      <c r="W40" s="6" t="s">
        <v>621</v>
      </c>
      <c r="X40" s="6">
        <v>360</v>
      </c>
      <c r="Y40" s="6">
        <v>100</v>
      </c>
      <c r="Z40" s="6">
        <v>13</v>
      </c>
      <c r="AA40" s="6">
        <v>16</v>
      </c>
      <c r="AB40" s="6">
        <v>16</v>
      </c>
      <c r="AC40" s="6">
        <v>8</v>
      </c>
      <c r="AD40" s="38" t="s">
        <v>738</v>
      </c>
      <c r="AE40" s="140">
        <v>70</v>
      </c>
      <c r="AF40" s="140">
        <v>5</v>
      </c>
      <c r="AG40" s="140">
        <v>8</v>
      </c>
      <c r="AH40" s="38" t="s">
        <v>852</v>
      </c>
      <c r="AI40" s="140">
        <v>100</v>
      </c>
      <c r="AJ40" s="140">
        <v>80</v>
      </c>
      <c r="AK40" s="140">
        <v>6</v>
      </c>
      <c r="AL40" s="45">
        <v>10</v>
      </c>
    </row>
    <row r="41" spans="6:38" x14ac:dyDescent="0.3">
      <c r="F41" s="6" t="s">
        <v>147</v>
      </c>
      <c r="G41" s="6" t="s">
        <v>205</v>
      </c>
      <c r="H41" s="6" t="s">
        <v>179</v>
      </c>
      <c r="I41" s="6">
        <v>11</v>
      </c>
      <c r="J41" s="6">
        <v>18</v>
      </c>
      <c r="K41" s="45">
        <v>13</v>
      </c>
      <c r="Q41" s="6" t="s">
        <v>318</v>
      </c>
      <c r="R41" s="6">
        <v>63.5</v>
      </c>
      <c r="S41" s="6">
        <v>4.5</v>
      </c>
      <c r="T41" s="38" t="s">
        <v>546</v>
      </c>
      <c r="U41" s="6">
        <v>76</v>
      </c>
      <c r="V41" s="45">
        <v>2</v>
      </c>
      <c r="W41" s="6" t="s">
        <v>622</v>
      </c>
      <c r="X41" s="6">
        <v>400</v>
      </c>
      <c r="Y41" s="6">
        <v>100</v>
      </c>
      <c r="Z41" s="6">
        <v>10.5</v>
      </c>
      <c r="AA41" s="6">
        <v>18</v>
      </c>
      <c r="AB41" s="6">
        <v>18</v>
      </c>
      <c r="AC41" s="6">
        <v>9</v>
      </c>
      <c r="AD41" s="38" t="s">
        <v>739</v>
      </c>
      <c r="AE41" s="140">
        <v>70</v>
      </c>
      <c r="AF41" s="140">
        <v>6</v>
      </c>
      <c r="AG41" s="140">
        <v>8</v>
      </c>
      <c r="AH41" s="38" t="s">
        <v>853</v>
      </c>
      <c r="AI41" s="140">
        <v>100</v>
      </c>
      <c r="AJ41" s="140">
        <v>80</v>
      </c>
      <c r="AK41" s="140">
        <v>7</v>
      </c>
      <c r="AL41" s="45">
        <v>10</v>
      </c>
    </row>
    <row r="42" spans="6:38" x14ac:dyDescent="0.3">
      <c r="F42" s="6" t="s">
        <v>914</v>
      </c>
      <c r="G42" s="6">
        <v>544</v>
      </c>
      <c r="H42" s="6">
        <v>300</v>
      </c>
      <c r="I42" s="6">
        <v>11</v>
      </c>
      <c r="J42" s="6">
        <v>15</v>
      </c>
      <c r="K42" s="45">
        <v>13</v>
      </c>
      <c r="Q42" s="6" t="s">
        <v>319</v>
      </c>
      <c r="R42" s="6">
        <v>63.5</v>
      </c>
      <c r="S42" s="6">
        <v>5</v>
      </c>
      <c r="T42" s="38" t="s">
        <v>547</v>
      </c>
      <c r="U42" s="6">
        <v>76</v>
      </c>
      <c r="V42" s="45">
        <v>2.5</v>
      </c>
      <c r="W42" s="6" t="s">
        <v>623</v>
      </c>
      <c r="X42" s="6">
        <v>400</v>
      </c>
      <c r="Y42" s="6">
        <v>102</v>
      </c>
      <c r="Z42" s="6">
        <v>12.5</v>
      </c>
      <c r="AA42" s="6">
        <v>18</v>
      </c>
      <c r="AB42" s="6">
        <v>18</v>
      </c>
      <c r="AC42" s="6">
        <v>9</v>
      </c>
      <c r="AD42" s="38" t="s">
        <v>740</v>
      </c>
      <c r="AE42" s="140">
        <v>70</v>
      </c>
      <c r="AF42" s="140">
        <v>7</v>
      </c>
      <c r="AG42" s="140">
        <v>8</v>
      </c>
      <c r="AH42" s="38" t="s">
        <v>854</v>
      </c>
      <c r="AI42" s="140">
        <v>100</v>
      </c>
      <c r="AJ42" s="140">
        <v>80</v>
      </c>
      <c r="AK42" s="140">
        <v>8</v>
      </c>
      <c r="AL42" s="45">
        <v>10</v>
      </c>
    </row>
    <row r="43" spans="6:38" x14ac:dyDescent="0.3">
      <c r="F43" s="6" t="s">
        <v>915</v>
      </c>
      <c r="G43" s="6">
        <v>550</v>
      </c>
      <c r="H43" s="6">
        <v>300</v>
      </c>
      <c r="I43" s="6">
        <v>11</v>
      </c>
      <c r="J43" s="6">
        <v>18</v>
      </c>
      <c r="K43" s="45">
        <v>13</v>
      </c>
      <c r="Q43" s="6" t="s">
        <v>320</v>
      </c>
      <c r="R43" s="6">
        <v>63.5</v>
      </c>
      <c r="S43" s="6">
        <v>5.5</v>
      </c>
      <c r="T43" s="38" t="s">
        <v>346</v>
      </c>
      <c r="U43" s="6">
        <v>76</v>
      </c>
      <c r="V43" s="45">
        <v>3</v>
      </c>
      <c r="W43" s="6" t="s">
        <v>624</v>
      </c>
      <c r="X43" s="6">
        <v>400</v>
      </c>
      <c r="Y43" s="6">
        <v>104</v>
      </c>
      <c r="Z43" s="6">
        <v>14.5</v>
      </c>
      <c r="AA43" s="6">
        <v>18</v>
      </c>
      <c r="AB43" s="6">
        <v>18</v>
      </c>
      <c r="AC43" s="6">
        <v>9</v>
      </c>
      <c r="AD43" s="38" t="s">
        <v>741</v>
      </c>
      <c r="AE43" s="140">
        <v>70</v>
      </c>
      <c r="AF43" s="140">
        <v>8</v>
      </c>
      <c r="AG43" s="140">
        <v>8</v>
      </c>
      <c r="AH43" s="38" t="s">
        <v>855</v>
      </c>
      <c r="AI43" s="140">
        <v>100</v>
      </c>
      <c r="AJ43" s="140">
        <v>80</v>
      </c>
      <c r="AK43" s="140">
        <v>10</v>
      </c>
      <c r="AL43" s="45">
        <v>10</v>
      </c>
    </row>
    <row r="44" spans="6:38" x14ac:dyDescent="0.3">
      <c r="F44" s="6" t="s">
        <v>148</v>
      </c>
      <c r="G44" s="6" t="s">
        <v>206</v>
      </c>
      <c r="H44" s="6" t="s">
        <v>179</v>
      </c>
      <c r="I44" s="6">
        <v>12</v>
      </c>
      <c r="J44" s="6">
        <v>17</v>
      </c>
      <c r="K44" s="45">
        <v>13</v>
      </c>
      <c r="Q44" s="6" t="s">
        <v>321</v>
      </c>
      <c r="R44" s="6">
        <v>63.5</v>
      </c>
      <c r="S44" s="6">
        <v>6</v>
      </c>
      <c r="T44" s="38" t="s">
        <v>347</v>
      </c>
      <c r="U44" s="6">
        <v>76</v>
      </c>
      <c r="V44" s="45">
        <v>3.5</v>
      </c>
      <c r="AD44" s="38" t="s">
        <v>742</v>
      </c>
      <c r="AE44" s="140">
        <v>75</v>
      </c>
      <c r="AF44" s="140">
        <v>5</v>
      </c>
      <c r="AG44" s="140">
        <v>9</v>
      </c>
      <c r="AH44" s="38" t="s">
        <v>856</v>
      </c>
      <c r="AI44" s="140">
        <v>110</v>
      </c>
      <c r="AJ44" s="140">
        <v>70</v>
      </c>
      <c r="AK44" s="140">
        <v>6</v>
      </c>
      <c r="AL44" s="45">
        <v>10</v>
      </c>
    </row>
    <row r="45" spans="6:38" x14ac:dyDescent="0.3">
      <c r="F45" s="6" t="s">
        <v>916</v>
      </c>
      <c r="G45" s="6" t="s">
        <v>207</v>
      </c>
      <c r="H45" s="6" t="s">
        <v>179</v>
      </c>
      <c r="I45" s="6">
        <v>12</v>
      </c>
      <c r="J45" s="6">
        <v>20</v>
      </c>
      <c r="K45" s="45">
        <v>13</v>
      </c>
      <c r="Q45" s="6" t="s">
        <v>322</v>
      </c>
      <c r="R45" s="6">
        <v>68</v>
      </c>
      <c r="S45" s="6">
        <v>3</v>
      </c>
      <c r="T45" s="38" t="s">
        <v>348</v>
      </c>
      <c r="U45" s="6">
        <v>76</v>
      </c>
      <c r="V45" s="45">
        <v>4</v>
      </c>
      <c r="AD45" s="38" t="s">
        <v>743</v>
      </c>
      <c r="AE45" s="140">
        <v>75</v>
      </c>
      <c r="AF45" s="140">
        <v>6</v>
      </c>
      <c r="AG45" s="140">
        <v>9</v>
      </c>
      <c r="AH45" s="38" t="s">
        <v>857</v>
      </c>
      <c r="AI45" s="140">
        <v>110</v>
      </c>
      <c r="AJ45" s="140">
        <v>70</v>
      </c>
      <c r="AK45" s="140">
        <v>7</v>
      </c>
      <c r="AL45" s="45">
        <v>10</v>
      </c>
    </row>
    <row r="46" spans="6:38" x14ac:dyDescent="0.3">
      <c r="F46" s="6" t="s">
        <v>149</v>
      </c>
      <c r="G46" s="6" t="s">
        <v>208</v>
      </c>
      <c r="H46" s="6" t="s">
        <v>178</v>
      </c>
      <c r="I46" s="6">
        <v>14</v>
      </c>
      <c r="J46" s="6">
        <v>23</v>
      </c>
      <c r="K46" s="45">
        <v>13</v>
      </c>
      <c r="Q46" s="6" t="s">
        <v>323</v>
      </c>
      <c r="R46" s="6">
        <v>68</v>
      </c>
      <c r="S46" s="6">
        <v>3.5</v>
      </c>
      <c r="T46" s="38" t="s">
        <v>349</v>
      </c>
      <c r="U46" s="6">
        <v>76</v>
      </c>
      <c r="V46" s="45">
        <v>4.5</v>
      </c>
      <c r="AD46" s="38" t="s">
        <v>744</v>
      </c>
      <c r="AE46" s="140">
        <v>75</v>
      </c>
      <c r="AF46" s="140">
        <v>7</v>
      </c>
      <c r="AG46" s="140">
        <v>9</v>
      </c>
      <c r="AH46" s="38" t="s">
        <v>858</v>
      </c>
      <c r="AI46" s="140">
        <v>110</v>
      </c>
      <c r="AJ46" s="140">
        <v>70</v>
      </c>
      <c r="AK46" s="140">
        <v>8</v>
      </c>
      <c r="AL46" s="45">
        <v>10</v>
      </c>
    </row>
    <row r="47" spans="6:38" x14ac:dyDescent="0.3">
      <c r="F47" s="6" t="s">
        <v>150</v>
      </c>
      <c r="G47" s="6" t="s">
        <v>169</v>
      </c>
      <c r="H47" s="6" t="s">
        <v>209</v>
      </c>
      <c r="I47" s="6">
        <v>5</v>
      </c>
      <c r="J47" s="6">
        <v>7</v>
      </c>
      <c r="K47" s="45">
        <v>8</v>
      </c>
      <c r="Q47" s="6" t="s">
        <v>324</v>
      </c>
      <c r="R47" s="6">
        <v>68</v>
      </c>
      <c r="S47" s="6">
        <v>4</v>
      </c>
      <c r="T47" s="38" t="s">
        <v>548</v>
      </c>
      <c r="U47" s="6">
        <v>83</v>
      </c>
      <c r="V47" s="45">
        <v>2</v>
      </c>
      <c r="AD47" s="38" t="s">
        <v>745</v>
      </c>
      <c r="AE47" s="140">
        <v>75</v>
      </c>
      <c r="AF47" s="140">
        <v>8</v>
      </c>
      <c r="AG47" s="140">
        <v>9</v>
      </c>
      <c r="AH47" s="38" t="s">
        <v>859</v>
      </c>
      <c r="AI47" s="140">
        <v>110</v>
      </c>
      <c r="AJ47" s="140">
        <v>70</v>
      </c>
      <c r="AK47" s="140">
        <v>10</v>
      </c>
      <c r="AL47" s="45">
        <v>10</v>
      </c>
    </row>
    <row r="48" spans="6:38" x14ac:dyDescent="0.3">
      <c r="F48" s="6" t="s">
        <v>151</v>
      </c>
      <c r="G48" s="6" t="s">
        <v>170</v>
      </c>
      <c r="H48" s="6" t="s">
        <v>210</v>
      </c>
      <c r="I48" s="6">
        <v>6</v>
      </c>
      <c r="J48" s="6">
        <v>8</v>
      </c>
      <c r="K48" s="45">
        <v>8</v>
      </c>
      <c r="Q48" s="6" t="s">
        <v>325</v>
      </c>
      <c r="R48" s="6">
        <v>68</v>
      </c>
      <c r="S48" s="6">
        <v>4.5</v>
      </c>
      <c r="T48" s="38" t="s">
        <v>549</v>
      </c>
      <c r="U48" s="6">
        <v>83</v>
      </c>
      <c r="V48" s="45">
        <v>2.5</v>
      </c>
      <c r="AD48" s="38" t="s">
        <v>746</v>
      </c>
      <c r="AE48" s="140">
        <v>75</v>
      </c>
      <c r="AF48" s="140">
        <v>9</v>
      </c>
      <c r="AG48" s="140">
        <v>9</v>
      </c>
      <c r="AH48" s="38" t="s">
        <v>860</v>
      </c>
      <c r="AI48" s="140">
        <v>125</v>
      </c>
      <c r="AJ48" s="140">
        <v>80</v>
      </c>
      <c r="AK48" s="140">
        <v>7</v>
      </c>
      <c r="AL48" s="45">
        <v>11</v>
      </c>
    </row>
    <row r="49" spans="6:38" x14ac:dyDescent="0.3">
      <c r="F49" s="6" t="s">
        <v>152</v>
      </c>
      <c r="G49" s="6" t="s">
        <v>171</v>
      </c>
      <c r="H49" s="6" t="s">
        <v>211</v>
      </c>
      <c r="I49" s="6">
        <v>5</v>
      </c>
      <c r="J49" s="6">
        <v>7</v>
      </c>
      <c r="K49" s="45">
        <v>8</v>
      </c>
      <c r="Q49" s="6" t="s">
        <v>326</v>
      </c>
      <c r="R49" s="6">
        <v>68</v>
      </c>
      <c r="S49" s="6">
        <v>5</v>
      </c>
      <c r="T49" s="38" t="s">
        <v>550</v>
      </c>
      <c r="U49" s="6">
        <v>83</v>
      </c>
      <c r="V49" s="45">
        <v>3</v>
      </c>
      <c r="AD49" s="38" t="s">
        <v>747</v>
      </c>
      <c r="AE49" s="140">
        <v>75</v>
      </c>
      <c r="AF49" s="140">
        <v>10</v>
      </c>
      <c r="AG49" s="140">
        <v>9</v>
      </c>
      <c r="AH49" s="38" t="s">
        <v>861</v>
      </c>
      <c r="AI49" s="140">
        <v>125</v>
      </c>
      <c r="AJ49" s="140">
        <v>80</v>
      </c>
      <c r="AK49" s="140">
        <v>8</v>
      </c>
      <c r="AL49" s="45">
        <v>11</v>
      </c>
    </row>
    <row r="50" spans="6:38" x14ac:dyDescent="0.3">
      <c r="F50" s="6" t="s">
        <v>153</v>
      </c>
      <c r="G50" s="6" t="s">
        <v>172</v>
      </c>
      <c r="H50" s="6" t="s">
        <v>212</v>
      </c>
      <c r="I50" s="6">
        <v>5</v>
      </c>
      <c r="J50" s="6">
        <v>8</v>
      </c>
      <c r="K50" s="45">
        <v>8</v>
      </c>
      <c r="Q50" s="6" t="s">
        <v>327</v>
      </c>
      <c r="R50" s="6">
        <v>68</v>
      </c>
      <c r="S50" s="6">
        <v>5.5</v>
      </c>
      <c r="T50" s="38" t="s">
        <v>354</v>
      </c>
      <c r="U50" s="6">
        <v>83</v>
      </c>
      <c r="V50" s="45">
        <v>3.5</v>
      </c>
      <c r="AD50" s="38" t="s">
        <v>748</v>
      </c>
      <c r="AE50" s="140">
        <v>80</v>
      </c>
      <c r="AF50" s="140">
        <v>5</v>
      </c>
      <c r="AG50" s="140">
        <v>9</v>
      </c>
      <c r="AH50" s="38" t="s">
        <v>862</v>
      </c>
      <c r="AI50" s="140">
        <v>125</v>
      </c>
      <c r="AJ50" s="140">
        <v>80</v>
      </c>
      <c r="AK50" s="140">
        <v>10</v>
      </c>
      <c r="AL50" s="45">
        <v>11</v>
      </c>
    </row>
    <row r="51" spans="6:38" x14ac:dyDescent="0.3">
      <c r="F51" s="6" t="s">
        <v>154</v>
      </c>
      <c r="G51" s="6" t="s">
        <v>213</v>
      </c>
      <c r="H51" s="6" t="s">
        <v>214</v>
      </c>
      <c r="I51" s="6">
        <v>4.5</v>
      </c>
      <c r="J51" s="6">
        <v>7</v>
      </c>
      <c r="K51" s="45">
        <v>8</v>
      </c>
      <c r="Q51" s="6" t="s">
        <v>328</v>
      </c>
      <c r="R51" s="6">
        <v>68</v>
      </c>
      <c r="S51" s="6">
        <v>6</v>
      </c>
      <c r="T51" s="38" t="s">
        <v>355</v>
      </c>
      <c r="U51" s="6">
        <v>83</v>
      </c>
      <c r="V51" s="45">
        <v>4</v>
      </c>
      <c r="AD51" s="38" t="s">
        <v>749</v>
      </c>
      <c r="AE51" s="140">
        <v>80</v>
      </c>
      <c r="AF51" s="140">
        <v>6</v>
      </c>
      <c r="AG51" s="140">
        <v>9</v>
      </c>
      <c r="AH51" s="38" t="s">
        <v>863</v>
      </c>
      <c r="AI51" s="140">
        <v>125</v>
      </c>
      <c r="AJ51" s="140">
        <v>80</v>
      </c>
      <c r="AK51" s="140">
        <v>12</v>
      </c>
      <c r="AL51" s="45">
        <v>11</v>
      </c>
    </row>
    <row r="52" spans="6:38" x14ac:dyDescent="0.3">
      <c r="F52" s="6" t="s">
        <v>155</v>
      </c>
      <c r="G52" s="6" t="s">
        <v>173</v>
      </c>
      <c r="H52" s="6" t="s">
        <v>169</v>
      </c>
      <c r="I52" s="6">
        <v>5.5</v>
      </c>
      <c r="J52" s="6">
        <v>8</v>
      </c>
      <c r="K52" s="45">
        <v>8</v>
      </c>
      <c r="Q52" s="6" t="s">
        <v>329</v>
      </c>
      <c r="R52" s="6">
        <v>70</v>
      </c>
      <c r="S52" s="6">
        <v>3</v>
      </c>
      <c r="T52" s="38" t="s">
        <v>356</v>
      </c>
      <c r="U52" s="6">
        <v>83</v>
      </c>
      <c r="V52" s="45">
        <v>4.5</v>
      </c>
      <c r="AD52" s="38" t="s">
        <v>750</v>
      </c>
      <c r="AE52" s="140">
        <v>80</v>
      </c>
      <c r="AF52" s="140">
        <v>7</v>
      </c>
      <c r="AG52" s="140">
        <v>9</v>
      </c>
      <c r="AH52" s="38" t="s">
        <v>864</v>
      </c>
      <c r="AI52" s="140">
        <v>140</v>
      </c>
      <c r="AJ52" s="140">
        <v>90</v>
      </c>
      <c r="AK52" s="140">
        <v>8</v>
      </c>
      <c r="AL52" s="45">
        <v>12</v>
      </c>
    </row>
    <row r="53" spans="6:38" x14ac:dyDescent="0.3">
      <c r="F53" s="6" t="s">
        <v>156</v>
      </c>
      <c r="G53" s="6" t="s">
        <v>215</v>
      </c>
      <c r="H53" s="6" t="s">
        <v>216</v>
      </c>
      <c r="I53" s="6">
        <v>5</v>
      </c>
      <c r="J53" s="6">
        <v>8</v>
      </c>
      <c r="K53" s="45">
        <v>8</v>
      </c>
      <c r="Q53" s="6" t="s">
        <v>330</v>
      </c>
      <c r="R53" s="6">
        <v>70</v>
      </c>
      <c r="S53" s="6">
        <v>3.5</v>
      </c>
      <c r="T53" s="38" t="s">
        <v>551</v>
      </c>
      <c r="U53" s="6">
        <v>89</v>
      </c>
      <c r="V53" s="45">
        <v>2</v>
      </c>
      <c r="AD53" s="38" t="s">
        <v>751</v>
      </c>
      <c r="AE53" s="140">
        <v>80</v>
      </c>
      <c r="AF53" s="140">
        <v>8</v>
      </c>
      <c r="AG53" s="140">
        <v>9</v>
      </c>
      <c r="AH53" s="38" t="s">
        <v>865</v>
      </c>
      <c r="AI53" s="140">
        <v>140</v>
      </c>
      <c r="AJ53" s="140">
        <v>90</v>
      </c>
      <c r="AK53" s="140">
        <v>10</v>
      </c>
      <c r="AL53" s="45">
        <v>12</v>
      </c>
    </row>
    <row r="54" spans="6:38" x14ac:dyDescent="0.3">
      <c r="F54" s="6" t="s">
        <v>157</v>
      </c>
      <c r="G54" s="6" t="s">
        <v>175</v>
      </c>
      <c r="H54" s="6" t="s">
        <v>170</v>
      </c>
      <c r="I54" s="6">
        <v>6</v>
      </c>
      <c r="J54" s="6">
        <v>9</v>
      </c>
      <c r="K54" s="45">
        <v>8</v>
      </c>
      <c r="Q54" s="6" t="s">
        <v>331</v>
      </c>
      <c r="R54" s="6">
        <v>70</v>
      </c>
      <c r="S54" s="6">
        <v>4</v>
      </c>
      <c r="T54" s="38" t="s">
        <v>552</v>
      </c>
      <c r="U54" s="6">
        <v>89</v>
      </c>
      <c r="V54" s="45">
        <v>2.5</v>
      </c>
      <c r="AD54" s="38" t="s">
        <v>752</v>
      </c>
      <c r="AE54" s="140">
        <v>80</v>
      </c>
      <c r="AF54" s="140">
        <v>9</v>
      </c>
      <c r="AG54" s="140">
        <v>9</v>
      </c>
      <c r="AH54" s="38" t="s">
        <v>866</v>
      </c>
      <c r="AI54" s="140">
        <v>140</v>
      </c>
      <c r="AJ54" s="140">
        <v>90</v>
      </c>
      <c r="AK54" s="140">
        <v>12</v>
      </c>
      <c r="AL54" s="45">
        <v>12</v>
      </c>
    </row>
    <row r="55" spans="6:38" x14ac:dyDescent="0.3">
      <c r="F55" s="6" t="s">
        <v>158</v>
      </c>
      <c r="G55" s="6" t="s">
        <v>217</v>
      </c>
      <c r="H55" s="6" t="s">
        <v>218</v>
      </c>
      <c r="I55" s="6">
        <v>5.5</v>
      </c>
      <c r="J55" s="6">
        <v>8</v>
      </c>
      <c r="K55" s="45">
        <v>13</v>
      </c>
      <c r="Q55" s="6" t="s">
        <v>332</v>
      </c>
      <c r="R55" s="6">
        <v>70</v>
      </c>
      <c r="S55" s="6">
        <v>4.5</v>
      </c>
      <c r="T55" s="38" t="s">
        <v>553</v>
      </c>
      <c r="U55" s="6">
        <v>89</v>
      </c>
      <c r="V55" s="45">
        <v>3</v>
      </c>
      <c r="AD55" s="38" t="s">
        <v>753</v>
      </c>
      <c r="AE55" s="140">
        <v>80</v>
      </c>
      <c r="AF55" s="140">
        <v>10</v>
      </c>
      <c r="AG55" s="140">
        <v>9</v>
      </c>
      <c r="AH55" s="38" t="s">
        <v>867</v>
      </c>
      <c r="AI55" s="140">
        <v>140</v>
      </c>
      <c r="AJ55" s="140">
        <v>90</v>
      </c>
      <c r="AK55" s="140">
        <v>14</v>
      </c>
      <c r="AL55" s="45">
        <v>12</v>
      </c>
    </row>
    <row r="56" spans="6:38" x14ac:dyDescent="0.3">
      <c r="F56" s="6" t="s">
        <v>159</v>
      </c>
      <c r="G56" s="6" t="s">
        <v>179</v>
      </c>
      <c r="H56" s="6" t="s">
        <v>171</v>
      </c>
      <c r="I56" s="6">
        <v>6.5</v>
      </c>
      <c r="J56" s="6">
        <v>9</v>
      </c>
      <c r="K56" s="45">
        <v>13</v>
      </c>
      <c r="Q56" s="6" t="s">
        <v>333</v>
      </c>
      <c r="R56" s="6">
        <v>70</v>
      </c>
      <c r="S56" s="6">
        <v>5</v>
      </c>
      <c r="T56" s="38" t="s">
        <v>362</v>
      </c>
      <c r="U56" s="6">
        <v>89</v>
      </c>
      <c r="V56" s="45">
        <v>3.5</v>
      </c>
      <c r="AD56" s="38" t="s">
        <v>754</v>
      </c>
      <c r="AE56" s="140">
        <v>90</v>
      </c>
      <c r="AF56" s="140">
        <v>6</v>
      </c>
      <c r="AG56" s="140">
        <v>10</v>
      </c>
      <c r="AH56" s="38" t="s">
        <v>868</v>
      </c>
      <c r="AI56" s="140">
        <v>150</v>
      </c>
      <c r="AJ56" s="140">
        <v>90</v>
      </c>
      <c r="AK56" s="140">
        <v>8</v>
      </c>
      <c r="AL56" s="45">
        <v>12</v>
      </c>
    </row>
    <row r="57" spans="6:38" x14ac:dyDescent="0.3">
      <c r="F57" s="6" t="s">
        <v>160</v>
      </c>
      <c r="G57" s="6" t="s">
        <v>219</v>
      </c>
      <c r="H57" s="6" t="s">
        <v>220</v>
      </c>
      <c r="I57" s="6">
        <v>6</v>
      </c>
      <c r="J57" s="6">
        <v>9</v>
      </c>
      <c r="K57" s="45">
        <v>13</v>
      </c>
      <c r="Q57" s="6" t="s">
        <v>334</v>
      </c>
      <c r="R57" s="6">
        <v>70</v>
      </c>
      <c r="S57" s="6">
        <v>5.5</v>
      </c>
      <c r="T57" s="38" t="s">
        <v>363</v>
      </c>
      <c r="U57" s="6">
        <v>89</v>
      </c>
      <c r="V57" s="45">
        <v>4</v>
      </c>
      <c r="AD57" s="38" t="s">
        <v>755</v>
      </c>
      <c r="AE57" s="140">
        <v>90</v>
      </c>
      <c r="AF57" s="140">
        <v>7</v>
      </c>
      <c r="AG57" s="140">
        <v>10</v>
      </c>
      <c r="AH57" s="38" t="s">
        <v>869</v>
      </c>
      <c r="AI57" s="140">
        <v>150</v>
      </c>
      <c r="AJ57" s="140">
        <v>90</v>
      </c>
      <c r="AK57" s="140">
        <v>10</v>
      </c>
      <c r="AL57" s="45">
        <v>12</v>
      </c>
    </row>
    <row r="58" spans="6:38" x14ac:dyDescent="0.3">
      <c r="F58" s="6" t="s">
        <v>917</v>
      </c>
      <c r="G58" s="6">
        <v>350</v>
      </c>
      <c r="H58" s="6">
        <v>175</v>
      </c>
      <c r="I58" s="6">
        <v>7</v>
      </c>
      <c r="J58" s="6">
        <v>11</v>
      </c>
      <c r="K58" s="45">
        <v>13</v>
      </c>
      <c r="Q58" s="6" t="s">
        <v>335</v>
      </c>
      <c r="R58" s="6">
        <v>70</v>
      </c>
      <c r="S58" s="6">
        <v>6</v>
      </c>
      <c r="T58" s="38" t="s">
        <v>364</v>
      </c>
      <c r="U58" s="6">
        <v>89</v>
      </c>
      <c r="V58" s="45">
        <v>4.5</v>
      </c>
      <c r="AD58" s="38" t="s">
        <v>756</v>
      </c>
      <c r="AE58" s="140">
        <v>90</v>
      </c>
      <c r="AF58" s="140">
        <v>8</v>
      </c>
      <c r="AG58" s="140">
        <v>10</v>
      </c>
      <c r="AH58" s="38" t="s">
        <v>870</v>
      </c>
      <c r="AI58" s="140">
        <v>150</v>
      </c>
      <c r="AJ58" s="140">
        <v>90</v>
      </c>
      <c r="AK58" s="140">
        <v>12</v>
      </c>
      <c r="AL58" s="45">
        <v>12</v>
      </c>
    </row>
    <row r="59" spans="6:38" x14ac:dyDescent="0.3">
      <c r="F59" s="6" t="s">
        <v>161</v>
      </c>
      <c r="G59" s="6" t="s">
        <v>188</v>
      </c>
      <c r="H59" s="6" t="s">
        <v>171</v>
      </c>
      <c r="I59" s="6">
        <v>8</v>
      </c>
      <c r="J59" s="6">
        <v>13</v>
      </c>
      <c r="K59" s="45">
        <v>13</v>
      </c>
      <c r="Q59" s="6" t="s">
        <v>336</v>
      </c>
      <c r="R59" s="6">
        <v>70</v>
      </c>
      <c r="S59" s="6">
        <v>6.5</v>
      </c>
      <c r="T59" s="38" t="s">
        <v>554</v>
      </c>
      <c r="U59" s="6">
        <v>95</v>
      </c>
      <c r="V59" s="45">
        <v>2</v>
      </c>
      <c r="AD59" s="38" t="s">
        <v>757</v>
      </c>
      <c r="AE59" s="140">
        <v>90</v>
      </c>
      <c r="AF59" s="140">
        <v>9</v>
      </c>
      <c r="AG59" s="140">
        <v>10</v>
      </c>
      <c r="AH59" s="38" t="s">
        <v>871</v>
      </c>
      <c r="AI59" s="140">
        <v>150</v>
      </c>
      <c r="AJ59" s="140">
        <v>90</v>
      </c>
      <c r="AK59" s="140">
        <v>14</v>
      </c>
      <c r="AL59" s="45">
        <v>12</v>
      </c>
    </row>
    <row r="60" spans="6:38" x14ac:dyDescent="0.3">
      <c r="F60" s="6" t="s">
        <v>162</v>
      </c>
      <c r="G60" s="6" t="s">
        <v>221</v>
      </c>
      <c r="H60" s="6" t="s">
        <v>222</v>
      </c>
      <c r="I60" s="6">
        <v>7</v>
      </c>
      <c r="J60" s="6">
        <v>11</v>
      </c>
      <c r="K60" s="45">
        <v>13</v>
      </c>
      <c r="Q60" s="6" t="s">
        <v>337</v>
      </c>
      <c r="R60" s="6">
        <v>70</v>
      </c>
      <c r="S60" s="6">
        <v>7</v>
      </c>
      <c r="T60" s="38" t="s">
        <v>555</v>
      </c>
      <c r="U60" s="6">
        <v>95</v>
      </c>
      <c r="V60" s="45">
        <v>2.5</v>
      </c>
      <c r="AD60" s="38" t="s">
        <v>758</v>
      </c>
      <c r="AE60" s="140">
        <v>90</v>
      </c>
      <c r="AF60" s="140">
        <v>10</v>
      </c>
      <c r="AG60" s="140">
        <v>10</v>
      </c>
      <c r="AH60" s="38" t="s">
        <v>872</v>
      </c>
      <c r="AI60" s="140">
        <v>150</v>
      </c>
      <c r="AJ60" s="140">
        <v>90</v>
      </c>
      <c r="AK60" s="140">
        <v>15</v>
      </c>
      <c r="AL60" s="45">
        <v>12</v>
      </c>
    </row>
    <row r="61" spans="6:38" x14ac:dyDescent="0.3">
      <c r="F61" s="6" t="s">
        <v>918</v>
      </c>
      <c r="G61" s="6" t="s">
        <v>188</v>
      </c>
      <c r="H61" s="6" t="s">
        <v>173</v>
      </c>
      <c r="I61" s="6">
        <v>8</v>
      </c>
      <c r="J61" s="6">
        <v>13</v>
      </c>
      <c r="K61" s="45">
        <v>13</v>
      </c>
      <c r="Q61" s="6" t="s">
        <v>338</v>
      </c>
      <c r="R61" s="6">
        <v>73</v>
      </c>
      <c r="S61" s="6">
        <v>3</v>
      </c>
      <c r="T61" s="38" t="s">
        <v>556</v>
      </c>
      <c r="U61" s="6">
        <v>95</v>
      </c>
      <c r="V61" s="45">
        <v>3</v>
      </c>
      <c r="AD61" s="38" t="s">
        <v>759</v>
      </c>
      <c r="AE61" s="140">
        <v>90</v>
      </c>
      <c r="AF61" s="140">
        <v>12</v>
      </c>
      <c r="AG61" s="140">
        <v>10</v>
      </c>
      <c r="AH61" s="38" t="s">
        <v>873</v>
      </c>
      <c r="AI61" s="140">
        <v>150</v>
      </c>
      <c r="AJ61" s="140">
        <v>90</v>
      </c>
      <c r="AK61" s="140">
        <v>16</v>
      </c>
      <c r="AL61" s="45">
        <v>12</v>
      </c>
    </row>
    <row r="62" spans="6:38" x14ac:dyDescent="0.3">
      <c r="F62" s="6" t="s">
        <v>919</v>
      </c>
      <c r="G62" s="6">
        <v>446</v>
      </c>
      <c r="H62" s="6">
        <v>150</v>
      </c>
      <c r="I62" s="6">
        <v>7</v>
      </c>
      <c r="J62" s="6">
        <v>12</v>
      </c>
      <c r="K62" s="45">
        <v>13</v>
      </c>
      <c r="Q62" s="6" t="s">
        <v>339</v>
      </c>
      <c r="R62" s="6">
        <v>73</v>
      </c>
      <c r="S62" s="6">
        <v>3.5</v>
      </c>
      <c r="T62" s="38" t="s">
        <v>370</v>
      </c>
      <c r="U62" s="6">
        <v>95</v>
      </c>
      <c r="V62" s="45">
        <v>3.5</v>
      </c>
      <c r="AD62" s="38" t="s">
        <v>760</v>
      </c>
      <c r="AE62" s="140">
        <v>100</v>
      </c>
      <c r="AF62" s="140">
        <v>6</v>
      </c>
      <c r="AG62" s="140">
        <v>12</v>
      </c>
      <c r="AH62" s="38" t="s">
        <v>874</v>
      </c>
      <c r="AI62" s="140">
        <v>160</v>
      </c>
      <c r="AJ62" s="140">
        <v>100</v>
      </c>
      <c r="AK62" s="140">
        <v>10</v>
      </c>
      <c r="AL62" s="45">
        <v>13</v>
      </c>
    </row>
    <row r="63" spans="6:38" x14ac:dyDescent="0.3">
      <c r="F63" s="6" t="s">
        <v>920</v>
      </c>
      <c r="G63" s="6" t="s">
        <v>223</v>
      </c>
      <c r="H63" s="6">
        <v>151</v>
      </c>
      <c r="I63" s="6">
        <v>8</v>
      </c>
      <c r="J63" s="6">
        <v>14</v>
      </c>
      <c r="K63" s="45">
        <v>13</v>
      </c>
      <c r="Q63" s="6" t="s">
        <v>340</v>
      </c>
      <c r="R63" s="6">
        <v>73</v>
      </c>
      <c r="S63" s="6">
        <v>4</v>
      </c>
      <c r="T63" s="38" t="s">
        <v>557</v>
      </c>
      <c r="U63" s="6">
        <v>102</v>
      </c>
      <c r="V63" s="45">
        <v>2</v>
      </c>
      <c r="AD63" s="38" t="s">
        <v>761</v>
      </c>
      <c r="AE63" s="140">
        <v>100</v>
      </c>
      <c r="AF63" s="140">
        <v>7</v>
      </c>
      <c r="AG63" s="140">
        <v>12</v>
      </c>
      <c r="AH63" s="38" t="s">
        <v>875</v>
      </c>
      <c r="AI63" s="140">
        <v>160</v>
      </c>
      <c r="AJ63" s="140">
        <v>100</v>
      </c>
      <c r="AK63" s="140">
        <v>12</v>
      </c>
      <c r="AL63" s="45">
        <v>13</v>
      </c>
    </row>
    <row r="64" spans="6:38" x14ac:dyDescent="0.3">
      <c r="F64" s="6" t="s">
        <v>163</v>
      </c>
      <c r="G64" s="6" t="s">
        <v>224</v>
      </c>
      <c r="H64" s="6" t="s">
        <v>222</v>
      </c>
      <c r="I64" s="6">
        <v>8</v>
      </c>
      <c r="J64" s="6">
        <v>12</v>
      </c>
      <c r="K64" s="45">
        <v>13</v>
      </c>
      <c r="Q64" s="6" t="s">
        <v>341</v>
      </c>
      <c r="R64" s="6">
        <v>73</v>
      </c>
      <c r="S64" s="6">
        <v>4.5</v>
      </c>
      <c r="T64" s="38" t="s">
        <v>558</v>
      </c>
      <c r="U64" s="6">
        <v>102</v>
      </c>
      <c r="V64" s="45">
        <v>2.5</v>
      </c>
      <c r="AD64" s="38" t="s">
        <v>762</v>
      </c>
      <c r="AE64" s="140">
        <v>100</v>
      </c>
      <c r="AF64" s="140">
        <v>8</v>
      </c>
      <c r="AG64" s="140">
        <v>12</v>
      </c>
      <c r="AH64" s="38" t="s">
        <v>876</v>
      </c>
      <c r="AI64" s="140">
        <v>160</v>
      </c>
      <c r="AJ64" s="140">
        <v>100</v>
      </c>
      <c r="AK64" s="140">
        <v>14</v>
      </c>
      <c r="AL64" s="45">
        <v>13</v>
      </c>
    </row>
    <row r="65" spans="6:38" x14ac:dyDescent="0.3">
      <c r="F65" s="6" t="s">
        <v>921</v>
      </c>
      <c r="G65" s="6" t="s">
        <v>223</v>
      </c>
      <c r="H65" s="6" t="s">
        <v>173</v>
      </c>
      <c r="I65" s="6">
        <v>9</v>
      </c>
      <c r="J65" s="6">
        <v>14</v>
      </c>
      <c r="K65" s="45">
        <v>13</v>
      </c>
      <c r="Q65" s="6" t="s">
        <v>342</v>
      </c>
      <c r="R65" s="6">
        <v>73</v>
      </c>
      <c r="S65" s="6">
        <v>5</v>
      </c>
      <c r="T65" s="38" t="s">
        <v>559</v>
      </c>
      <c r="U65" s="6">
        <v>102</v>
      </c>
      <c r="V65" s="45">
        <v>3</v>
      </c>
      <c r="AD65" s="38" t="s">
        <v>763</v>
      </c>
      <c r="AE65" s="140">
        <v>100</v>
      </c>
      <c r="AF65" s="140">
        <v>9</v>
      </c>
      <c r="AG65" s="140">
        <v>12</v>
      </c>
      <c r="AH65" s="38" t="s">
        <v>877</v>
      </c>
      <c r="AI65" s="140">
        <v>160</v>
      </c>
      <c r="AJ65" s="140">
        <v>100</v>
      </c>
      <c r="AK65" s="140">
        <v>16</v>
      </c>
      <c r="AL65" s="45">
        <v>13</v>
      </c>
    </row>
    <row r="66" spans="6:38" x14ac:dyDescent="0.3">
      <c r="F66" s="6" t="s">
        <v>922</v>
      </c>
      <c r="G66" s="6">
        <v>470</v>
      </c>
      <c r="H66" s="6">
        <v>150</v>
      </c>
      <c r="I66" s="6">
        <v>7</v>
      </c>
      <c r="J66" s="6">
        <v>13</v>
      </c>
      <c r="K66" s="45">
        <v>13</v>
      </c>
      <c r="Q66" s="6" t="s">
        <v>343</v>
      </c>
      <c r="R66" s="6">
        <v>73</v>
      </c>
      <c r="S66" s="6">
        <v>5.5</v>
      </c>
      <c r="T66" s="38" t="s">
        <v>378</v>
      </c>
      <c r="U66" s="6">
        <v>102</v>
      </c>
      <c r="V66" s="45">
        <v>3.5</v>
      </c>
      <c r="AD66" s="38" t="s">
        <v>764</v>
      </c>
      <c r="AE66" s="140">
        <v>100</v>
      </c>
      <c r="AF66" s="140">
        <v>10</v>
      </c>
      <c r="AG66" s="140">
        <v>12</v>
      </c>
      <c r="AH66" s="38" t="s">
        <v>878</v>
      </c>
      <c r="AI66" s="140">
        <v>180</v>
      </c>
      <c r="AJ66" s="140">
        <v>110</v>
      </c>
      <c r="AK66" s="140">
        <v>10</v>
      </c>
      <c r="AL66" s="45">
        <v>14</v>
      </c>
    </row>
    <row r="67" spans="6:38" x14ac:dyDescent="0.3">
      <c r="F67" s="6" t="s">
        <v>923</v>
      </c>
      <c r="G67" s="6">
        <v>475</v>
      </c>
      <c r="H67" s="6">
        <v>151.5</v>
      </c>
      <c r="I67" s="6">
        <v>8.5</v>
      </c>
      <c r="J67" s="6">
        <v>15.5</v>
      </c>
      <c r="K67" s="45">
        <v>13</v>
      </c>
      <c r="Q67" s="6" t="s">
        <v>344</v>
      </c>
      <c r="R67" s="6">
        <v>73</v>
      </c>
      <c r="S67" s="6">
        <v>6</v>
      </c>
      <c r="T67" s="38" t="s">
        <v>379</v>
      </c>
      <c r="U67" s="6">
        <v>102</v>
      </c>
      <c r="V67" s="45">
        <v>4</v>
      </c>
      <c r="AD67" s="38" t="s">
        <v>765</v>
      </c>
      <c r="AE67" s="140">
        <v>100</v>
      </c>
      <c r="AF67" s="140">
        <v>12</v>
      </c>
      <c r="AG67" s="140">
        <v>12</v>
      </c>
      <c r="AH67" s="38" t="s">
        <v>879</v>
      </c>
      <c r="AI67" s="140">
        <v>180</v>
      </c>
      <c r="AJ67" s="140">
        <v>110</v>
      </c>
      <c r="AK67" s="140">
        <v>12</v>
      </c>
      <c r="AL67" s="45">
        <v>14</v>
      </c>
    </row>
    <row r="68" spans="6:38" x14ac:dyDescent="0.3">
      <c r="F68" s="6" t="s">
        <v>924</v>
      </c>
      <c r="G68" s="6">
        <v>482</v>
      </c>
      <c r="H68" s="6">
        <v>153.5</v>
      </c>
      <c r="I68" s="6">
        <v>10.5</v>
      </c>
      <c r="J68" s="6">
        <v>19</v>
      </c>
      <c r="K68" s="45">
        <v>13</v>
      </c>
      <c r="Q68" s="6" t="s">
        <v>345</v>
      </c>
      <c r="R68" s="6">
        <v>73</v>
      </c>
      <c r="S68" s="6">
        <v>7</v>
      </c>
      <c r="T68" s="38" t="s">
        <v>380</v>
      </c>
      <c r="U68" s="6">
        <v>102</v>
      </c>
      <c r="V68" s="45">
        <v>4.5</v>
      </c>
      <c r="AD68" s="38" t="s">
        <v>766</v>
      </c>
      <c r="AE68" s="140">
        <v>100</v>
      </c>
      <c r="AF68" s="140">
        <v>14</v>
      </c>
      <c r="AG68" s="140">
        <v>12</v>
      </c>
      <c r="AH68" s="38" t="s">
        <v>880</v>
      </c>
      <c r="AI68" s="140">
        <v>180</v>
      </c>
      <c r="AJ68" s="140">
        <v>110</v>
      </c>
      <c r="AK68" s="140">
        <v>14</v>
      </c>
      <c r="AL68" s="45">
        <v>14</v>
      </c>
    </row>
    <row r="69" spans="6:38" x14ac:dyDescent="0.3">
      <c r="F69" s="6" t="s">
        <v>925</v>
      </c>
      <c r="G69" s="6">
        <v>492</v>
      </c>
      <c r="H69" s="6">
        <v>150</v>
      </c>
      <c r="I69" s="6">
        <v>7</v>
      </c>
      <c r="J69" s="6">
        <v>12</v>
      </c>
      <c r="K69" s="45">
        <v>13</v>
      </c>
      <c r="Q69" s="6" t="s">
        <v>346</v>
      </c>
      <c r="R69" s="6">
        <v>76</v>
      </c>
      <c r="S69" s="6">
        <v>3</v>
      </c>
      <c r="T69" s="38" t="s">
        <v>381</v>
      </c>
      <c r="U69" s="6">
        <v>102</v>
      </c>
      <c r="V69" s="45">
        <v>5</v>
      </c>
      <c r="AD69" s="38" t="s">
        <v>767</v>
      </c>
      <c r="AE69" s="140">
        <v>100</v>
      </c>
      <c r="AF69" s="140">
        <v>16</v>
      </c>
      <c r="AG69" s="140">
        <v>12</v>
      </c>
      <c r="AH69" s="38" t="s">
        <v>881</v>
      </c>
      <c r="AI69" s="140">
        <v>180</v>
      </c>
      <c r="AJ69" s="140">
        <v>110</v>
      </c>
      <c r="AK69" s="140">
        <v>16</v>
      </c>
      <c r="AL69" s="45">
        <v>14</v>
      </c>
    </row>
    <row r="70" spans="6:38" x14ac:dyDescent="0.3">
      <c r="F70" s="6" t="s">
        <v>926</v>
      </c>
      <c r="G70" s="6" t="s">
        <v>225</v>
      </c>
      <c r="H70" s="6">
        <v>152</v>
      </c>
      <c r="I70" s="6">
        <v>9</v>
      </c>
      <c r="J70" s="6">
        <v>16</v>
      </c>
      <c r="K70" s="45">
        <v>13</v>
      </c>
      <c r="Q70" s="6" t="s">
        <v>347</v>
      </c>
      <c r="R70" s="6">
        <v>76</v>
      </c>
      <c r="S70" s="6">
        <v>3.5</v>
      </c>
      <c r="T70" s="38" t="s">
        <v>560</v>
      </c>
      <c r="U70" s="6">
        <v>108</v>
      </c>
      <c r="V70" s="45">
        <v>3</v>
      </c>
      <c r="AD70" s="38" t="s">
        <v>768</v>
      </c>
      <c r="AE70" s="140">
        <v>110</v>
      </c>
      <c r="AF70" s="140">
        <v>7</v>
      </c>
      <c r="AG70" s="140">
        <v>12</v>
      </c>
      <c r="AH70" s="38" t="s">
        <v>882</v>
      </c>
      <c r="AI70" s="140">
        <v>200</v>
      </c>
      <c r="AJ70" s="140">
        <v>125</v>
      </c>
      <c r="AK70" s="140">
        <v>12</v>
      </c>
      <c r="AL70" s="45">
        <v>14</v>
      </c>
    </row>
    <row r="71" spans="6:38" x14ac:dyDescent="0.3">
      <c r="F71" s="6" t="s">
        <v>927</v>
      </c>
      <c r="G71" s="6">
        <v>504</v>
      </c>
      <c r="H71" s="6">
        <v>153</v>
      </c>
      <c r="I71" s="6">
        <v>10</v>
      </c>
      <c r="J71" s="6">
        <v>18</v>
      </c>
      <c r="K71" s="45">
        <v>13</v>
      </c>
      <c r="Q71" s="6" t="s">
        <v>348</v>
      </c>
      <c r="R71" s="6">
        <v>76</v>
      </c>
      <c r="S71" s="6">
        <v>4</v>
      </c>
      <c r="T71" s="38" t="s">
        <v>561</v>
      </c>
      <c r="U71" s="6">
        <v>108</v>
      </c>
      <c r="V71" s="45">
        <v>3.5</v>
      </c>
      <c r="AD71" s="38" t="s">
        <v>769</v>
      </c>
      <c r="AE71" s="140">
        <v>110</v>
      </c>
      <c r="AF71" s="140">
        <v>8</v>
      </c>
      <c r="AG71" s="140">
        <v>12</v>
      </c>
      <c r="AH71" s="38" t="s">
        <v>883</v>
      </c>
      <c r="AI71" s="140">
        <v>200</v>
      </c>
      <c r="AJ71" s="140">
        <v>125</v>
      </c>
      <c r="AK71" s="140">
        <v>14</v>
      </c>
      <c r="AL71" s="45">
        <v>14</v>
      </c>
    </row>
    <row r="72" spans="6:38" x14ac:dyDescent="0.3">
      <c r="F72" s="6" t="s">
        <v>164</v>
      </c>
      <c r="G72" s="6" t="s">
        <v>226</v>
      </c>
      <c r="H72" s="6" t="s">
        <v>222</v>
      </c>
      <c r="I72" s="6">
        <v>9</v>
      </c>
      <c r="J72" s="6">
        <v>14</v>
      </c>
      <c r="K72" s="45">
        <v>13</v>
      </c>
      <c r="Q72" s="6" t="s">
        <v>349</v>
      </c>
      <c r="R72" s="6">
        <v>76</v>
      </c>
      <c r="S72" s="6">
        <v>4.5</v>
      </c>
      <c r="T72" s="38" t="s">
        <v>387</v>
      </c>
      <c r="U72" s="6">
        <v>108</v>
      </c>
      <c r="V72" s="45">
        <v>4</v>
      </c>
      <c r="AD72" s="38" t="s">
        <v>770</v>
      </c>
      <c r="AE72" s="140">
        <v>110</v>
      </c>
      <c r="AF72" s="140">
        <v>10</v>
      </c>
      <c r="AG72" s="140">
        <v>12</v>
      </c>
      <c r="AH72" s="38" t="s">
        <v>884</v>
      </c>
      <c r="AI72" s="140">
        <v>200</v>
      </c>
      <c r="AJ72" s="140">
        <v>125</v>
      </c>
      <c r="AK72" s="140">
        <v>16</v>
      </c>
      <c r="AL72" s="45">
        <v>14</v>
      </c>
    </row>
    <row r="73" spans="6:38" x14ac:dyDescent="0.3">
      <c r="F73" s="6" t="s">
        <v>928</v>
      </c>
      <c r="G73" s="6" t="s">
        <v>225</v>
      </c>
      <c r="H73" s="6" t="s">
        <v>173</v>
      </c>
      <c r="I73" s="6">
        <v>10</v>
      </c>
      <c r="J73" s="6">
        <v>16</v>
      </c>
      <c r="K73" s="45">
        <v>13</v>
      </c>
      <c r="Q73" s="6" t="s">
        <v>350</v>
      </c>
      <c r="R73" s="6">
        <v>76</v>
      </c>
      <c r="S73" s="6">
        <v>5</v>
      </c>
      <c r="T73" s="38" t="s">
        <v>562</v>
      </c>
      <c r="U73" s="6">
        <v>114</v>
      </c>
      <c r="V73" s="45">
        <v>3</v>
      </c>
      <c r="AD73" s="38" t="s">
        <v>771</v>
      </c>
      <c r="AE73" s="140">
        <v>110</v>
      </c>
      <c r="AF73" s="140">
        <v>12</v>
      </c>
      <c r="AG73" s="140">
        <v>12</v>
      </c>
      <c r="AH73" s="38" t="s">
        <v>885</v>
      </c>
      <c r="AI73" s="140">
        <v>200</v>
      </c>
      <c r="AJ73" s="140">
        <v>125</v>
      </c>
      <c r="AK73" s="140">
        <v>18</v>
      </c>
      <c r="AL73" s="45">
        <v>14</v>
      </c>
    </row>
    <row r="74" spans="6:38" x14ac:dyDescent="0.3">
      <c r="F74" s="6" t="s">
        <v>165</v>
      </c>
      <c r="G74" s="6" t="s">
        <v>227</v>
      </c>
      <c r="H74" s="6" t="s">
        <v>228</v>
      </c>
      <c r="I74" s="6">
        <v>11</v>
      </c>
      <c r="J74" s="6">
        <v>19</v>
      </c>
      <c r="K74" s="45">
        <v>13</v>
      </c>
      <c r="Q74" s="6" t="s">
        <v>351</v>
      </c>
      <c r="R74" s="6">
        <v>76</v>
      </c>
      <c r="S74" s="6">
        <v>5.5</v>
      </c>
      <c r="T74" s="38" t="s">
        <v>563</v>
      </c>
      <c r="U74" s="6">
        <v>114</v>
      </c>
      <c r="V74" s="45">
        <v>3.5</v>
      </c>
      <c r="AD74" s="38" t="s">
        <v>772</v>
      </c>
      <c r="AE74" s="140">
        <v>110</v>
      </c>
      <c r="AF74" s="140">
        <v>14</v>
      </c>
      <c r="AG74" s="140">
        <v>12</v>
      </c>
    </row>
    <row r="75" spans="6:38" x14ac:dyDescent="0.3">
      <c r="F75" s="6" t="s">
        <v>929</v>
      </c>
      <c r="G75" s="6">
        <v>546</v>
      </c>
      <c r="H75" s="6">
        <v>199</v>
      </c>
      <c r="I75" s="6">
        <v>9</v>
      </c>
      <c r="J75" s="6">
        <v>14</v>
      </c>
      <c r="K75" s="45">
        <v>13</v>
      </c>
      <c r="Q75" s="6" t="s">
        <v>352</v>
      </c>
      <c r="R75" s="6">
        <v>76</v>
      </c>
      <c r="S75" s="6">
        <v>6</v>
      </c>
      <c r="T75" s="38" t="s">
        <v>395</v>
      </c>
      <c r="U75" s="6">
        <v>114</v>
      </c>
      <c r="V75" s="45">
        <v>4</v>
      </c>
      <c r="AD75" s="38" t="s">
        <v>773</v>
      </c>
      <c r="AE75" s="140">
        <v>125</v>
      </c>
      <c r="AF75" s="140">
        <v>8</v>
      </c>
      <c r="AG75" s="140">
        <v>14</v>
      </c>
    </row>
    <row r="76" spans="6:38" x14ac:dyDescent="0.3">
      <c r="F76" s="6" t="s">
        <v>930</v>
      </c>
      <c r="G76" s="6">
        <v>550</v>
      </c>
      <c r="H76" s="6">
        <v>200</v>
      </c>
      <c r="I76" s="6">
        <v>10</v>
      </c>
      <c r="J76" s="6">
        <v>16</v>
      </c>
      <c r="K76" s="45">
        <v>13</v>
      </c>
      <c r="Q76" s="6" t="s">
        <v>353</v>
      </c>
      <c r="R76" s="6">
        <v>76</v>
      </c>
      <c r="S76" s="6">
        <v>7</v>
      </c>
      <c r="T76" s="38" t="s">
        <v>396</v>
      </c>
      <c r="U76" s="6">
        <v>114</v>
      </c>
      <c r="V76" s="45">
        <v>4.5</v>
      </c>
      <c r="AD76" s="38" t="s">
        <v>774</v>
      </c>
      <c r="AE76" s="140">
        <v>125</v>
      </c>
      <c r="AF76" s="140">
        <v>10</v>
      </c>
      <c r="AG76" s="140">
        <v>14</v>
      </c>
    </row>
    <row r="77" spans="6:38" x14ac:dyDescent="0.3">
      <c r="F77" s="6" t="s">
        <v>166</v>
      </c>
      <c r="G77" s="6" t="s">
        <v>229</v>
      </c>
      <c r="H77" s="6" t="s">
        <v>222</v>
      </c>
      <c r="I77" s="6">
        <v>10</v>
      </c>
      <c r="J77" s="6">
        <v>15</v>
      </c>
      <c r="K77" s="45">
        <v>13</v>
      </c>
      <c r="Q77" s="6" t="s">
        <v>354</v>
      </c>
      <c r="R77" s="6">
        <v>83</v>
      </c>
      <c r="S77" s="6">
        <v>3.5</v>
      </c>
      <c r="T77" s="38" t="s">
        <v>397</v>
      </c>
      <c r="U77" s="6">
        <v>114</v>
      </c>
      <c r="V77" s="45">
        <v>5</v>
      </c>
      <c r="AD77" s="38" t="s">
        <v>775</v>
      </c>
      <c r="AE77" s="140">
        <v>125</v>
      </c>
      <c r="AF77" s="140">
        <v>12</v>
      </c>
      <c r="AG77" s="140">
        <v>14</v>
      </c>
    </row>
    <row r="78" spans="6:38" x14ac:dyDescent="0.3">
      <c r="F78" s="6" t="s">
        <v>931</v>
      </c>
      <c r="G78" s="6" t="s">
        <v>230</v>
      </c>
      <c r="H78" s="6" t="s">
        <v>173</v>
      </c>
      <c r="I78" s="6">
        <v>11</v>
      </c>
      <c r="J78" s="6">
        <v>17</v>
      </c>
      <c r="K78" s="45">
        <v>13</v>
      </c>
      <c r="Q78" s="6" t="s">
        <v>355</v>
      </c>
      <c r="R78" s="6">
        <v>83</v>
      </c>
      <c r="S78" s="6">
        <v>4</v>
      </c>
      <c r="T78" s="38" t="s">
        <v>564</v>
      </c>
      <c r="U78" s="6">
        <v>121</v>
      </c>
      <c r="V78" s="45">
        <v>3</v>
      </c>
      <c r="AD78" s="38" t="s">
        <v>776</v>
      </c>
      <c r="AE78" s="140">
        <v>125</v>
      </c>
      <c r="AF78" s="140">
        <v>14</v>
      </c>
      <c r="AG78" s="140">
        <v>14</v>
      </c>
    </row>
    <row r="79" spans="6:38" x14ac:dyDescent="0.3">
      <c r="F79" s="6" t="s">
        <v>932</v>
      </c>
      <c r="G79" s="6" t="s">
        <v>231</v>
      </c>
      <c r="H79" s="6" t="s">
        <v>228</v>
      </c>
      <c r="I79" s="6">
        <v>12</v>
      </c>
      <c r="J79" s="6">
        <v>20</v>
      </c>
      <c r="K79" s="45">
        <v>13</v>
      </c>
      <c r="Q79" s="6" t="s">
        <v>356</v>
      </c>
      <c r="R79" s="6">
        <v>83</v>
      </c>
      <c r="S79" s="6">
        <v>4.5</v>
      </c>
      <c r="T79" s="38" t="s">
        <v>565</v>
      </c>
      <c r="U79" s="6">
        <v>121</v>
      </c>
      <c r="V79" s="45">
        <v>3.5</v>
      </c>
      <c r="AD79" s="38" t="s">
        <v>777</v>
      </c>
      <c r="AE79" s="140">
        <v>125</v>
      </c>
      <c r="AF79" s="140">
        <v>16</v>
      </c>
      <c r="AG79" s="140">
        <v>14</v>
      </c>
    </row>
    <row r="80" spans="6:38" x14ac:dyDescent="0.3">
      <c r="F80" s="6" t="s">
        <v>933</v>
      </c>
      <c r="G80" s="6">
        <v>625</v>
      </c>
      <c r="H80" s="6">
        <v>198.5</v>
      </c>
      <c r="I80" s="6">
        <v>13.5</v>
      </c>
      <c r="J80" s="6">
        <v>17.5</v>
      </c>
      <c r="K80" s="45">
        <v>13</v>
      </c>
      <c r="Q80" s="6" t="s">
        <v>357</v>
      </c>
      <c r="R80" s="6">
        <v>83</v>
      </c>
      <c r="S80" s="6">
        <v>5</v>
      </c>
      <c r="T80" s="38" t="s">
        <v>403</v>
      </c>
      <c r="U80" s="6">
        <v>121</v>
      </c>
      <c r="V80" s="45">
        <v>4</v>
      </c>
      <c r="AD80" s="38" t="s">
        <v>778</v>
      </c>
      <c r="AE80" s="140">
        <v>140</v>
      </c>
      <c r="AF80" s="140">
        <v>10</v>
      </c>
      <c r="AG80" s="140">
        <v>14</v>
      </c>
    </row>
    <row r="81" spans="6:33" x14ac:dyDescent="0.3">
      <c r="F81" s="6" t="s">
        <v>934</v>
      </c>
      <c r="G81" s="6">
        <v>630</v>
      </c>
      <c r="H81" s="6">
        <v>200</v>
      </c>
      <c r="I81" s="6">
        <v>15</v>
      </c>
      <c r="J81" s="6">
        <v>20</v>
      </c>
      <c r="K81" s="45">
        <v>13</v>
      </c>
      <c r="Q81" s="6" t="s">
        <v>358</v>
      </c>
      <c r="R81" s="6">
        <v>83</v>
      </c>
      <c r="S81" s="6">
        <v>5.5</v>
      </c>
      <c r="T81" s="38" t="s">
        <v>566</v>
      </c>
      <c r="U81" s="6">
        <v>127</v>
      </c>
      <c r="V81" s="45">
        <v>3</v>
      </c>
      <c r="AD81" s="38" t="s">
        <v>779</v>
      </c>
      <c r="AE81" s="140">
        <v>140</v>
      </c>
      <c r="AF81" s="140">
        <v>12</v>
      </c>
      <c r="AG81" s="140">
        <v>14</v>
      </c>
    </row>
    <row r="82" spans="6:33" x14ac:dyDescent="0.3">
      <c r="F82" s="6" t="s">
        <v>935</v>
      </c>
      <c r="G82" s="6">
        <v>638</v>
      </c>
      <c r="H82" s="6">
        <v>202</v>
      </c>
      <c r="I82" s="6">
        <v>17</v>
      </c>
      <c r="J82" s="6">
        <v>24</v>
      </c>
      <c r="K82" s="45">
        <v>13</v>
      </c>
      <c r="Q82" s="6" t="s">
        <v>359</v>
      </c>
      <c r="R82" s="6">
        <v>83</v>
      </c>
      <c r="S82" s="6">
        <v>6</v>
      </c>
      <c r="T82" s="38" t="s">
        <v>567</v>
      </c>
      <c r="U82" s="6">
        <v>127</v>
      </c>
      <c r="V82" s="45">
        <v>3.5</v>
      </c>
      <c r="AD82" s="38" t="s">
        <v>780</v>
      </c>
      <c r="AE82" s="140">
        <v>140</v>
      </c>
      <c r="AF82" s="140">
        <v>14</v>
      </c>
      <c r="AG82" s="140">
        <v>14</v>
      </c>
    </row>
    <row r="83" spans="6:33" x14ac:dyDescent="0.3">
      <c r="F83" s="6" t="s">
        <v>936</v>
      </c>
      <c r="G83" s="6">
        <v>646</v>
      </c>
      <c r="H83" s="6">
        <v>299</v>
      </c>
      <c r="I83" s="6">
        <v>10</v>
      </c>
      <c r="J83" s="6">
        <v>15</v>
      </c>
      <c r="K83" s="45">
        <v>13</v>
      </c>
      <c r="Q83" s="6" t="s">
        <v>360</v>
      </c>
      <c r="R83" s="6">
        <v>83</v>
      </c>
      <c r="S83" s="6">
        <v>7</v>
      </c>
      <c r="T83" s="38" t="s">
        <v>411</v>
      </c>
      <c r="U83" s="6">
        <v>127</v>
      </c>
      <c r="V83" s="45">
        <v>4</v>
      </c>
      <c r="AD83" s="38" t="s">
        <v>781</v>
      </c>
      <c r="AE83" s="140">
        <v>140</v>
      </c>
      <c r="AF83" s="140">
        <v>16</v>
      </c>
      <c r="AG83" s="140">
        <v>14</v>
      </c>
    </row>
    <row r="84" spans="6:33" x14ac:dyDescent="0.3">
      <c r="F84" s="6" t="s">
        <v>937</v>
      </c>
      <c r="G84" s="6">
        <v>650</v>
      </c>
      <c r="H84" s="6">
        <v>300</v>
      </c>
      <c r="I84" s="6">
        <v>11</v>
      </c>
      <c r="J84" s="6">
        <v>17</v>
      </c>
      <c r="K84" s="45">
        <v>13</v>
      </c>
      <c r="Q84" s="6" t="s">
        <v>361</v>
      </c>
      <c r="R84" s="6">
        <v>83</v>
      </c>
      <c r="S84" s="6">
        <v>8</v>
      </c>
      <c r="T84" s="38" t="s">
        <v>412</v>
      </c>
      <c r="U84" s="6">
        <v>127</v>
      </c>
      <c r="V84" s="45">
        <v>4.5</v>
      </c>
      <c r="AD84" s="38" t="s">
        <v>782</v>
      </c>
      <c r="AE84" s="140">
        <v>150</v>
      </c>
      <c r="AF84" s="140">
        <v>8</v>
      </c>
      <c r="AG84" s="140">
        <v>14</v>
      </c>
    </row>
    <row r="85" spans="6:33" x14ac:dyDescent="0.3">
      <c r="F85" s="6" t="s">
        <v>938</v>
      </c>
      <c r="G85" s="6">
        <v>656</v>
      </c>
      <c r="H85" s="6">
        <v>301</v>
      </c>
      <c r="I85" s="6">
        <v>12</v>
      </c>
      <c r="J85" s="6">
        <v>20</v>
      </c>
      <c r="K85" s="45">
        <v>13</v>
      </c>
      <c r="Q85" s="6" t="s">
        <v>362</v>
      </c>
      <c r="R85" s="6">
        <v>89</v>
      </c>
      <c r="S85" s="6">
        <v>3.5</v>
      </c>
      <c r="T85" s="38" t="s">
        <v>413</v>
      </c>
      <c r="U85" s="6">
        <v>127</v>
      </c>
      <c r="V85" s="45">
        <v>5</v>
      </c>
      <c r="AD85" s="38" t="s">
        <v>783</v>
      </c>
      <c r="AE85" s="140">
        <v>150</v>
      </c>
      <c r="AF85" s="140">
        <v>10</v>
      </c>
      <c r="AG85" s="140">
        <v>14</v>
      </c>
    </row>
    <row r="86" spans="6:33" x14ac:dyDescent="0.3">
      <c r="F86" s="6" t="s">
        <v>167</v>
      </c>
      <c r="G86" s="6" t="s">
        <v>232</v>
      </c>
      <c r="H86" s="6" t="s">
        <v>179</v>
      </c>
      <c r="I86" s="6">
        <v>13</v>
      </c>
      <c r="J86" s="6">
        <v>20</v>
      </c>
      <c r="K86" s="45">
        <v>18</v>
      </c>
      <c r="Q86" s="6" t="s">
        <v>363</v>
      </c>
      <c r="R86" s="6">
        <v>89</v>
      </c>
      <c r="S86" s="6">
        <v>4</v>
      </c>
      <c r="T86" s="38" t="s">
        <v>420</v>
      </c>
      <c r="U86" s="6">
        <v>133</v>
      </c>
      <c r="V86" s="45">
        <v>4</v>
      </c>
      <c r="AD86" s="38" t="s">
        <v>784</v>
      </c>
      <c r="AE86" s="140">
        <v>150</v>
      </c>
      <c r="AF86" s="140">
        <v>12</v>
      </c>
      <c r="AG86" s="140">
        <v>14</v>
      </c>
    </row>
    <row r="87" spans="6:33" x14ac:dyDescent="0.3">
      <c r="F87" s="6" t="s">
        <v>939</v>
      </c>
      <c r="G87" s="6" t="s">
        <v>233</v>
      </c>
      <c r="H87" s="6" t="s">
        <v>179</v>
      </c>
      <c r="I87" s="6">
        <v>13</v>
      </c>
      <c r="J87" s="6">
        <v>24</v>
      </c>
      <c r="K87" s="45">
        <v>18</v>
      </c>
      <c r="Q87" s="6" t="s">
        <v>364</v>
      </c>
      <c r="R87" s="6">
        <v>89</v>
      </c>
      <c r="S87" s="6">
        <v>4.5</v>
      </c>
      <c r="T87" s="38" t="s">
        <v>421</v>
      </c>
      <c r="U87" s="6">
        <v>133</v>
      </c>
      <c r="V87" s="45">
        <v>4.5</v>
      </c>
      <c r="AD87" s="38" t="s">
        <v>785</v>
      </c>
      <c r="AE87" s="140">
        <v>150</v>
      </c>
      <c r="AF87" s="140">
        <v>14</v>
      </c>
      <c r="AG87" s="140">
        <v>14</v>
      </c>
    </row>
    <row r="88" spans="6:33" x14ac:dyDescent="0.3">
      <c r="F88" s="6" t="s">
        <v>940</v>
      </c>
      <c r="G88" s="6">
        <v>734</v>
      </c>
      <c r="H88" s="6">
        <v>299</v>
      </c>
      <c r="I88" s="6">
        <v>12</v>
      </c>
      <c r="J88" s="6">
        <v>16</v>
      </c>
      <c r="K88" s="45">
        <v>18</v>
      </c>
      <c r="Q88" s="6" t="s">
        <v>365</v>
      </c>
      <c r="R88" s="6">
        <v>89</v>
      </c>
      <c r="S88" s="6">
        <v>5</v>
      </c>
      <c r="T88" s="38" t="s">
        <v>422</v>
      </c>
      <c r="U88" s="6">
        <v>133</v>
      </c>
      <c r="V88" s="45">
        <v>5</v>
      </c>
      <c r="AD88" s="38" t="s">
        <v>786</v>
      </c>
      <c r="AE88" s="140">
        <v>150</v>
      </c>
      <c r="AF88" s="140">
        <v>15</v>
      </c>
      <c r="AG88" s="140">
        <v>14</v>
      </c>
    </row>
    <row r="89" spans="6:33" x14ac:dyDescent="0.3">
      <c r="F89" s="6" t="s">
        <v>941</v>
      </c>
      <c r="G89" s="6">
        <v>742</v>
      </c>
      <c r="H89" s="6">
        <v>300</v>
      </c>
      <c r="I89" s="6">
        <v>13</v>
      </c>
      <c r="J89" s="6">
        <v>20</v>
      </c>
      <c r="K89" s="45">
        <v>18</v>
      </c>
      <c r="Q89" s="6" t="s">
        <v>366</v>
      </c>
      <c r="R89" s="6">
        <v>89</v>
      </c>
      <c r="S89" s="6">
        <v>5.5</v>
      </c>
      <c r="T89" s="38" t="s">
        <v>568</v>
      </c>
      <c r="U89" s="6">
        <v>140</v>
      </c>
      <c r="V89" s="45">
        <v>4</v>
      </c>
      <c r="AD89" s="38" t="s">
        <v>787</v>
      </c>
      <c r="AE89" s="140">
        <v>150</v>
      </c>
      <c r="AF89" s="140">
        <v>16</v>
      </c>
      <c r="AG89" s="140">
        <v>14</v>
      </c>
    </row>
    <row r="90" spans="6:33" x14ac:dyDescent="0.3">
      <c r="F90" s="6" t="s">
        <v>942</v>
      </c>
      <c r="G90" s="6">
        <v>750</v>
      </c>
      <c r="H90" s="6">
        <v>300</v>
      </c>
      <c r="I90" s="6">
        <v>13</v>
      </c>
      <c r="J90" s="6">
        <v>24</v>
      </c>
      <c r="K90" s="45">
        <v>18</v>
      </c>
      <c r="Q90" s="6" t="s">
        <v>367</v>
      </c>
      <c r="R90" s="6">
        <v>89</v>
      </c>
      <c r="S90" s="6">
        <v>6</v>
      </c>
      <c r="T90" s="38" t="s">
        <v>429</v>
      </c>
      <c r="U90" s="6">
        <v>140</v>
      </c>
      <c r="V90" s="45">
        <v>4.5</v>
      </c>
      <c r="AD90" s="38" t="s">
        <v>788</v>
      </c>
      <c r="AE90" s="140">
        <v>160</v>
      </c>
      <c r="AF90" s="140">
        <v>10</v>
      </c>
      <c r="AG90" s="140">
        <v>16</v>
      </c>
    </row>
    <row r="91" spans="6:33" x14ac:dyDescent="0.3">
      <c r="F91" s="6" t="s">
        <v>943</v>
      </c>
      <c r="G91" s="6">
        <v>758</v>
      </c>
      <c r="H91" s="6">
        <v>303</v>
      </c>
      <c r="I91" s="6">
        <v>14</v>
      </c>
      <c r="J91" s="6">
        <v>22</v>
      </c>
      <c r="K91" s="45">
        <v>18</v>
      </c>
      <c r="Q91" s="6" t="s">
        <v>368</v>
      </c>
      <c r="R91" s="6">
        <v>89</v>
      </c>
      <c r="S91" s="6">
        <v>7</v>
      </c>
      <c r="T91" s="38" t="s">
        <v>430</v>
      </c>
      <c r="U91" s="6">
        <v>140</v>
      </c>
      <c r="V91" s="45">
        <v>5</v>
      </c>
      <c r="AD91" s="38" t="s">
        <v>789</v>
      </c>
      <c r="AE91" s="140">
        <v>160</v>
      </c>
      <c r="AF91" s="140">
        <v>12</v>
      </c>
      <c r="AG91" s="140">
        <v>16</v>
      </c>
    </row>
    <row r="92" spans="6:33" x14ac:dyDescent="0.3">
      <c r="F92" s="6" t="s">
        <v>944</v>
      </c>
      <c r="G92" s="6" t="s">
        <v>234</v>
      </c>
      <c r="H92" s="6" t="s">
        <v>179</v>
      </c>
      <c r="I92" s="6">
        <v>14</v>
      </c>
      <c r="J92" s="6">
        <v>22</v>
      </c>
      <c r="K92" s="45">
        <v>18</v>
      </c>
      <c r="Q92" s="6" t="s">
        <v>369</v>
      </c>
      <c r="R92" s="6">
        <v>89</v>
      </c>
      <c r="S92" s="6">
        <v>8</v>
      </c>
      <c r="T92" s="38" t="s">
        <v>431</v>
      </c>
      <c r="U92" s="6">
        <v>140</v>
      </c>
      <c r="V92" s="45">
        <v>5.5</v>
      </c>
      <c r="AD92" s="38" t="s">
        <v>790</v>
      </c>
      <c r="AE92" s="140">
        <v>160</v>
      </c>
      <c r="AF92" s="140">
        <v>14</v>
      </c>
      <c r="AG92" s="140">
        <v>16</v>
      </c>
    </row>
    <row r="93" spans="6:33" x14ac:dyDescent="0.3">
      <c r="F93" s="6" t="s">
        <v>945</v>
      </c>
      <c r="G93" s="6" t="s">
        <v>235</v>
      </c>
      <c r="H93" s="6" t="s">
        <v>179</v>
      </c>
      <c r="I93" s="6">
        <v>14</v>
      </c>
      <c r="J93" s="6">
        <v>26</v>
      </c>
      <c r="K93" s="45">
        <v>18</v>
      </c>
      <c r="Q93" s="6" t="s">
        <v>370</v>
      </c>
      <c r="R93" s="6">
        <v>95</v>
      </c>
      <c r="S93" s="6">
        <v>3.5</v>
      </c>
      <c r="T93" s="38" t="s">
        <v>446</v>
      </c>
      <c r="U93" s="6">
        <v>152</v>
      </c>
      <c r="V93" s="45">
        <v>5</v>
      </c>
      <c r="AD93" s="38" t="s">
        <v>791</v>
      </c>
      <c r="AE93" s="140">
        <v>160</v>
      </c>
      <c r="AF93" s="140">
        <v>16</v>
      </c>
      <c r="AG93" s="140">
        <v>16</v>
      </c>
    </row>
    <row r="94" spans="6:33" x14ac:dyDescent="0.3">
      <c r="F94" s="6" t="s">
        <v>946</v>
      </c>
      <c r="G94" s="6">
        <v>834</v>
      </c>
      <c r="H94" s="6">
        <v>298</v>
      </c>
      <c r="I94" s="6">
        <v>14</v>
      </c>
      <c r="J94" s="6">
        <v>19</v>
      </c>
      <c r="K94" s="45">
        <v>18</v>
      </c>
      <c r="Q94" s="6" t="s">
        <v>371</v>
      </c>
      <c r="R94" s="6">
        <v>95</v>
      </c>
      <c r="S94" s="6">
        <v>4</v>
      </c>
      <c r="T94" s="38" t="s">
        <v>447</v>
      </c>
      <c r="U94" s="6">
        <v>152</v>
      </c>
      <c r="V94" s="45">
        <v>5.5</v>
      </c>
      <c r="AD94" s="38" t="s">
        <v>792</v>
      </c>
      <c r="AE94" s="140">
        <v>180</v>
      </c>
      <c r="AF94" s="140">
        <v>12</v>
      </c>
      <c r="AG94" s="140">
        <v>16</v>
      </c>
    </row>
    <row r="95" spans="6:33" x14ac:dyDescent="0.3">
      <c r="F95" s="6" t="s">
        <v>947</v>
      </c>
      <c r="G95" s="6">
        <v>842</v>
      </c>
      <c r="H95" s="6">
        <v>299</v>
      </c>
      <c r="I95" s="6">
        <v>15</v>
      </c>
      <c r="J95" s="6">
        <v>23</v>
      </c>
      <c r="K95" s="45">
        <v>18</v>
      </c>
      <c r="Q95" s="6" t="s">
        <v>372</v>
      </c>
      <c r="R95" s="6">
        <v>95</v>
      </c>
      <c r="S95" s="6">
        <v>4.5</v>
      </c>
      <c r="AD95" s="38" t="s">
        <v>793</v>
      </c>
      <c r="AE95" s="140">
        <v>180</v>
      </c>
      <c r="AF95" s="140">
        <v>14</v>
      </c>
      <c r="AG95" s="140">
        <v>16</v>
      </c>
    </row>
    <row r="96" spans="6:33" x14ac:dyDescent="0.3">
      <c r="F96" s="6" t="s">
        <v>948</v>
      </c>
      <c r="G96" s="6">
        <v>850</v>
      </c>
      <c r="H96" s="6">
        <v>300</v>
      </c>
      <c r="I96" s="6">
        <v>16</v>
      </c>
      <c r="J96" s="6">
        <v>27</v>
      </c>
      <c r="K96" s="45">
        <v>18</v>
      </c>
      <c r="Q96" s="6" t="s">
        <v>373</v>
      </c>
      <c r="R96" s="6">
        <v>95</v>
      </c>
      <c r="S96" s="6">
        <v>5</v>
      </c>
      <c r="AD96" s="38" t="s">
        <v>794</v>
      </c>
      <c r="AE96" s="140">
        <v>180</v>
      </c>
      <c r="AF96" s="140">
        <v>16</v>
      </c>
      <c r="AG96" s="140">
        <v>16</v>
      </c>
    </row>
    <row r="97" spans="6:33" x14ac:dyDescent="0.3">
      <c r="F97" s="6" t="s">
        <v>949</v>
      </c>
      <c r="G97" s="6">
        <v>858</v>
      </c>
      <c r="H97" s="6">
        <v>301</v>
      </c>
      <c r="I97" s="6">
        <v>17</v>
      </c>
      <c r="J97" s="6">
        <v>31</v>
      </c>
      <c r="K97" s="45">
        <v>18</v>
      </c>
      <c r="Q97" s="6" t="s">
        <v>374</v>
      </c>
      <c r="R97" s="6">
        <v>95</v>
      </c>
      <c r="S97" s="6">
        <v>5.5</v>
      </c>
      <c r="AD97" s="38" t="s">
        <v>795</v>
      </c>
      <c r="AE97" s="140">
        <v>180</v>
      </c>
      <c r="AF97" s="140">
        <v>18</v>
      </c>
      <c r="AG97" s="140">
        <v>16</v>
      </c>
    </row>
    <row r="98" spans="6:33" x14ac:dyDescent="0.3">
      <c r="F98" s="6" t="s">
        <v>950</v>
      </c>
      <c r="G98" s="6" t="s">
        <v>236</v>
      </c>
      <c r="H98" s="6" t="s">
        <v>237</v>
      </c>
      <c r="I98" s="6">
        <v>15</v>
      </c>
      <c r="J98" s="6">
        <v>23</v>
      </c>
      <c r="K98" s="45">
        <v>18</v>
      </c>
      <c r="Q98" s="6" t="s">
        <v>375</v>
      </c>
      <c r="R98" s="6">
        <v>95</v>
      </c>
      <c r="S98" s="6">
        <v>6</v>
      </c>
      <c r="AD98" s="38" t="s">
        <v>796</v>
      </c>
      <c r="AE98" s="140">
        <v>200</v>
      </c>
      <c r="AF98" s="140">
        <v>14</v>
      </c>
      <c r="AG98" s="140">
        <v>18</v>
      </c>
    </row>
    <row r="99" spans="6:33" x14ac:dyDescent="0.3">
      <c r="F99" s="6" t="s">
        <v>951</v>
      </c>
      <c r="G99" s="6" t="s">
        <v>238</v>
      </c>
      <c r="H99" s="6" t="s">
        <v>179</v>
      </c>
      <c r="I99" s="6">
        <v>16</v>
      </c>
      <c r="J99" s="6">
        <v>28</v>
      </c>
      <c r="K99" s="45">
        <v>18</v>
      </c>
      <c r="Q99" s="6" t="s">
        <v>376</v>
      </c>
      <c r="R99" s="6">
        <v>95</v>
      </c>
      <c r="S99" s="6">
        <v>7</v>
      </c>
      <c r="AD99" s="38" t="s">
        <v>797</v>
      </c>
      <c r="AE99" s="140">
        <v>200</v>
      </c>
      <c r="AF99" s="140">
        <v>16</v>
      </c>
      <c r="AG99" s="140">
        <v>18</v>
      </c>
    </row>
    <row r="100" spans="6:33" x14ac:dyDescent="0.3">
      <c r="F100" s="6" t="s">
        <v>168</v>
      </c>
      <c r="G100" s="6" t="s">
        <v>239</v>
      </c>
      <c r="H100" s="6" t="s">
        <v>178</v>
      </c>
      <c r="I100" s="6">
        <v>18</v>
      </c>
      <c r="J100" s="6">
        <v>34</v>
      </c>
      <c r="K100" s="45">
        <v>18</v>
      </c>
      <c r="Q100" s="6" t="s">
        <v>377</v>
      </c>
      <c r="R100" s="6">
        <v>95</v>
      </c>
      <c r="S100" s="6">
        <v>8</v>
      </c>
      <c r="AD100" s="38" t="s">
        <v>798</v>
      </c>
      <c r="AE100" s="140">
        <v>200</v>
      </c>
      <c r="AF100" s="140">
        <v>18</v>
      </c>
      <c r="AG100" s="140">
        <v>18</v>
      </c>
    </row>
    <row r="101" spans="6:33" x14ac:dyDescent="0.3">
      <c r="F101" s="6" t="s">
        <v>952</v>
      </c>
      <c r="G101" s="6">
        <v>970</v>
      </c>
      <c r="H101" s="6">
        <v>297</v>
      </c>
      <c r="I101" s="6">
        <v>16</v>
      </c>
      <c r="J101" s="6">
        <v>21</v>
      </c>
      <c r="K101" s="45">
        <v>18</v>
      </c>
      <c r="Q101" s="6" t="s">
        <v>378</v>
      </c>
      <c r="R101" s="6">
        <v>102</v>
      </c>
      <c r="S101" s="6">
        <v>3.5</v>
      </c>
      <c r="AD101" s="38" t="s">
        <v>799</v>
      </c>
      <c r="AE101" s="140">
        <v>200</v>
      </c>
      <c r="AF101" s="140">
        <v>20</v>
      </c>
      <c r="AG101" s="140">
        <v>18</v>
      </c>
    </row>
    <row r="102" spans="6:33" x14ac:dyDescent="0.3">
      <c r="F102" s="6" t="s">
        <v>953</v>
      </c>
      <c r="G102" s="6">
        <v>980</v>
      </c>
      <c r="H102" s="6">
        <v>298</v>
      </c>
      <c r="I102" s="6">
        <v>17</v>
      </c>
      <c r="J102" s="6">
        <v>26</v>
      </c>
      <c r="K102" s="45">
        <v>18</v>
      </c>
      <c r="Q102" s="6" t="s">
        <v>379</v>
      </c>
      <c r="R102" s="6">
        <v>102</v>
      </c>
      <c r="S102" s="6">
        <v>4</v>
      </c>
      <c r="AD102" s="38" t="s">
        <v>800</v>
      </c>
      <c r="AE102" s="140">
        <v>200</v>
      </c>
      <c r="AF102" s="140">
        <v>24</v>
      </c>
      <c r="AG102" s="140">
        <v>18</v>
      </c>
    </row>
    <row r="103" spans="6:33" x14ac:dyDescent="0.3">
      <c r="F103" s="6" t="s">
        <v>954</v>
      </c>
      <c r="G103" s="6">
        <v>990</v>
      </c>
      <c r="H103" s="6">
        <v>298</v>
      </c>
      <c r="I103" s="6">
        <v>17</v>
      </c>
      <c r="J103" s="6">
        <v>31</v>
      </c>
      <c r="K103" s="45">
        <v>18</v>
      </c>
      <c r="Q103" s="6" t="s">
        <v>380</v>
      </c>
      <c r="R103" s="6">
        <v>102</v>
      </c>
      <c r="S103" s="6">
        <v>4.5</v>
      </c>
      <c r="AD103" s="38" t="s">
        <v>801</v>
      </c>
      <c r="AE103" s="140">
        <v>220</v>
      </c>
      <c r="AF103" s="140">
        <v>16</v>
      </c>
      <c r="AG103" s="140">
        <v>21</v>
      </c>
    </row>
    <row r="104" spans="6:33" x14ac:dyDescent="0.3">
      <c r="F104" s="6" t="s">
        <v>955</v>
      </c>
      <c r="G104" s="6">
        <v>1000</v>
      </c>
      <c r="H104" s="6">
        <v>300</v>
      </c>
      <c r="I104" s="6">
        <v>19</v>
      </c>
      <c r="J104" s="6">
        <v>36</v>
      </c>
      <c r="K104" s="45">
        <v>18</v>
      </c>
      <c r="Q104" s="6" t="s">
        <v>381</v>
      </c>
      <c r="R104" s="6">
        <v>102</v>
      </c>
      <c r="S104" s="6">
        <v>5</v>
      </c>
      <c r="AD104" s="38" t="s">
        <v>802</v>
      </c>
      <c r="AE104" s="140">
        <v>220</v>
      </c>
      <c r="AF104" s="140">
        <v>18</v>
      </c>
      <c r="AG104" s="140">
        <v>21</v>
      </c>
    </row>
    <row r="105" spans="6:33" x14ac:dyDescent="0.3">
      <c r="F105" s="6" t="s">
        <v>956</v>
      </c>
      <c r="G105" s="6">
        <v>1008</v>
      </c>
      <c r="H105" s="6">
        <v>302</v>
      </c>
      <c r="I105" s="6">
        <v>21</v>
      </c>
      <c r="J105" s="6">
        <v>40</v>
      </c>
      <c r="K105" s="45">
        <v>18</v>
      </c>
      <c r="Q105" s="6" t="s">
        <v>382</v>
      </c>
      <c r="R105" s="6">
        <v>102</v>
      </c>
      <c r="S105" s="6">
        <v>5.5</v>
      </c>
      <c r="AD105" s="38" t="s">
        <v>803</v>
      </c>
      <c r="AE105" s="140">
        <v>220</v>
      </c>
      <c r="AF105" s="140">
        <v>20</v>
      </c>
      <c r="AG105" s="140">
        <v>21</v>
      </c>
    </row>
    <row r="106" spans="6:33" x14ac:dyDescent="0.3">
      <c r="F106" s="6" t="s">
        <v>957</v>
      </c>
      <c r="G106" s="6">
        <v>95</v>
      </c>
      <c r="H106" s="6">
        <v>48</v>
      </c>
      <c r="I106" s="6">
        <v>3.2</v>
      </c>
      <c r="J106" s="6">
        <v>4.5</v>
      </c>
      <c r="K106" s="45">
        <v>8</v>
      </c>
      <c r="Q106" s="6" t="s">
        <v>383</v>
      </c>
      <c r="R106" s="6">
        <v>102</v>
      </c>
      <c r="S106" s="6">
        <v>6</v>
      </c>
      <c r="AD106" s="38" t="s">
        <v>804</v>
      </c>
      <c r="AE106" s="140">
        <v>220</v>
      </c>
      <c r="AF106" s="140">
        <v>22</v>
      </c>
      <c r="AG106" s="140">
        <v>21</v>
      </c>
    </row>
    <row r="107" spans="6:33" x14ac:dyDescent="0.3">
      <c r="F107" s="6" t="s">
        <v>958</v>
      </c>
      <c r="G107" s="6">
        <v>97</v>
      </c>
      <c r="H107" s="6">
        <v>49</v>
      </c>
      <c r="I107" s="6">
        <v>4</v>
      </c>
      <c r="J107" s="6">
        <v>5.5</v>
      </c>
      <c r="K107" s="45">
        <v>8</v>
      </c>
      <c r="Q107" s="6" t="s">
        <v>384</v>
      </c>
      <c r="R107" s="6">
        <v>102</v>
      </c>
      <c r="S107" s="6">
        <v>7</v>
      </c>
      <c r="AD107" s="38" t="s">
        <v>805</v>
      </c>
      <c r="AE107" s="140">
        <v>220</v>
      </c>
      <c r="AF107" s="140">
        <v>24</v>
      </c>
      <c r="AG107" s="140">
        <v>21</v>
      </c>
    </row>
    <row r="108" spans="6:33" x14ac:dyDescent="0.3">
      <c r="F108" s="6" t="s">
        <v>959</v>
      </c>
      <c r="G108" s="6">
        <v>96</v>
      </c>
      <c r="H108" s="6">
        <v>99</v>
      </c>
      <c r="I108" s="6">
        <v>4.5</v>
      </c>
      <c r="J108" s="6">
        <v>6</v>
      </c>
      <c r="K108" s="45">
        <v>8</v>
      </c>
      <c r="Q108" s="6" t="s">
        <v>385</v>
      </c>
      <c r="R108" s="6">
        <v>102</v>
      </c>
      <c r="S108" s="6">
        <v>8</v>
      </c>
      <c r="AD108" s="38" t="s">
        <v>806</v>
      </c>
      <c r="AE108" s="140">
        <v>220</v>
      </c>
      <c r="AF108" s="140">
        <v>26</v>
      </c>
      <c r="AG108" s="140">
        <v>21</v>
      </c>
    </row>
    <row r="109" spans="6:33" x14ac:dyDescent="0.3">
      <c r="F109" s="6" t="s">
        <v>960</v>
      </c>
      <c r="G109" s="6">
        <v>118</v>
      </c>
      <c r="H109" s="6">
        <v>58</v>
      </c>
      <c r="I109" s="6">
        <v>3.2</v>
      </c>
      <c r="J109" s="6">
        <v>4.5</v>
      </c>
      <c r="K109" s="45">
        <v>8</v>
      </c>
      <c r="Q109" s="6" t="s">
        <v>386</v>
      </c>
      <c r="R109" s="6">
        <v>102</v>
      </c>
      <c r="S109" s="6">
        <v>10</v>
      </c>
      <c r="AD109" s="38" t="s">
        <v>807</v>
      </c>
      <c r="AE109" s="140">
        <v>250</v>
      </c>
      <c r="AF109" s="140">
        <v>18</v>
      </c>
      <c r="AG109" s="140">
        <v>24</v>
      </c>
    </row>
    <row r="110" spans="6:33" x14ac:dyDescent="0.3">
      <c r="F110" s="6" t="s">
        <v>961</v>
      </c>
      <c r="G110" s="6">
        <v>120</v>
      </c>
      <c r="H110" s="6">
        <v>59</v>
      </c>
      <c r="I110" s="6">
        <v>4</v>
      </c>
      <c r="J110" s="6">
        <v>5.5</v>
      </c>
      <c r="K110" s="45">
        <v>8</v>
      </c>
      <c r="Q110" s="6" t="s">
        <v>387</v>
      </c>
      <c r="R110" s="6">
        <v>108</v>
      </c>
      <c r="S110" s="6">
        <v>4</v>
      </c>
      <c r="AD110" s="38" t="s">
        <v>808</v>
      </c>
      <c r="AE110" s="140">
        <v>250</v>
      </c>
      <c r="AF110" s="140">
        <v>20</v>
      </c>
      <c r="AG110" s="140">
        <v>24</v>
      </c>
    </row>
    <row r="111" spans="6:33" x14ac:dyDescent="0.3">
      <c r="F111" s="6" t="s">
        <v>962</v>
      </c>
      <c r="G111" s="6">
        <v>119</v>
      </c>
      <c r="H111" s="6">
        <v>123</v>
      </c>
      <c r="I111" s="6">
        <v>4.5</v>
      </c>
      <c r="J111" s="6">
        <v>6</v>
      </c>
      <c r="K111" s="45">
        <v>8</v>
      </c>
      <c r="Q111" s="6" t="s">
        <v>388</v>
      </c>
      <c r="R111" s="6">
        <v>108</v>
      </c>
      <c r="S111" s="6">
        <v>4.5</v>
      </c>
      <c r="AD111" s="38" t="s">
        <v>809</v>
      </c>
      <c r="AE111" s="140">
        <v>250</v>
      </c>
      <c r="AF111" s="140">
        <v>24</v>
      </c>
      <c r="AG111" s="140">
        <v>24</v>
      </c>
    </row>
    <row r="112" spans="6:33" x14ac:dyDescent="0.3">
      <c r="F112" s="6" t="s">
        <v>963</v>
      </c>
      <c r="G112" s="6">
        <v>145</v>
      </c>
      <c r="H112" s="6">
        <v>73</v>
      </c>
      <c r="I112" s="6">
        <v>3.2</v>
      </c>
      <c r="J112" s="6">
        <v>4.5</v>
      </c>
      <c r="K112" s="45">
        <v>8</v>
      </c>
      <c r="Q112" s="6" t="s">
        <v>389</v>
      </c>
      <c r="R112" s="6">
        <v>108</v>
      </c>
      <c r="S112" s="6">
        <v>5</v>
      </c>
      <c r="AD112" s="38" t="s">
        <v>810</v>
      </c>
      <c r="AE112" s="140">
        <v>250</v>
      </c>
      <c r="AF112" s="140">
        <v>26</v>
      </c>
      <c r="AG112" s="140">
        <v>24</v>
      </c>
    </row>
    <row r="113" spans="6:33" x14ac:dyDescent="0.3">
      <c r="F113" s="6" t="s">
        <v>964</v>
      </c>
      <c r="G113" s="6">
        <v>147</v>
      </c>
      <c r="H113" s="6">
        <v>74</v>
      </c>
      <c r="I113" s="6">
        <v>4</v>
      </c>
      <c r="J113" s="6">
        <v>5.5</v>
      </c>
      <c r="K113" s="45">
        <v>8</v>
      </c>
      <c r="Q113" s="6" t="s">
        <v>390</v>
      </c>
      <c r="R113" s="6">
        <v>108</v>
      </c>
      <c r="S113" s="6">
        <v>5.5</v>
      </c>
      <c r="AD113" s="38" t="s">
        <v>811</v>
      </c>
      <c r="AE113" s="140">
        <v>250</v>
      </c>
      <c r="AF113" s="140">
        <v>28</v>
      </c>
      <c r="AG113" s="140">
        <v>24</v>
      </c>
    </row>
    <row r="114" spans="6:33" x14ac:dyDescent="0.3">
      <c r="F114" s="6" t="s">
        <v>965</v>
      </c>
      <c r="G114" s="6">
        <v>139</v>
      </c>
      <c r="H114" s="6">
        <v>97</v>
      </c>
      <c r="I114" s="6">
        <v>3.2</v>
      </c>
      <c r="J114" s="6">
        <v>4.5</v>
      </c>
      <c r="K114" s="45">
        <v>8</v>
      </c>
      <c r="Q114" s="6" t="s">
        <v>391</v>
      </c>
      <c r="R114" s="6">
        <v>108</v>
      </c>
      <c r="S114" s="6">
        <v>6</v>
      </c>
      <c r="AD114" s="38" t="s">
        <v>812</v>
      </c>
      <c r="AE114" s="140">
        <v>250</v>
      </c>
      <c r="AF114" s="140">
        <v>30</v>
      </c>
      <c r="AG114" s="140">
        <v>24</v>
      </c>
    </row>
    <row r="115" spans="6:33" x14ac:dyDescent="0.3">
      <c r="F115" s="6" t="s">
        <v>966</v>
      </c>
      <c r="G115" s="6">
        <v>142</v>
      </c>
      <c r="H115" s="6">
        <v>99</v>
      </c>
      <c r="I115" s="6">
        <v>4.5</v>
      </c>
      <c r="J115" s="6">
        <v>6</v>
      </c>
      <c r="K115" s="45">
        <v>8</v>
      </c>
      <c r="Q115" s="6" t="s">
        <v>392</v>
      </c>
      <c r="R115" s="6">
        <v>108</v>
      </c>
      <c r="S115" s="6">
        <v>7</v>
      </c>
      <c r="AD115" s="38" t="s">
        <v>813</v>
      </c>
      <c r="AE115" s="140">
        <v>250</v>
      </c>
      <c r="AF115" s="140">
        <v>32</v>
      </c>
      <c r="AG115" s="140">
        <v>24</v>
      </c>
    </row>
    <row r="116" spans="6:33" x14ac:dyDescent="0.3">
      <c r="F116" s="6" t="s">
        <v>967</v>
      </c>
      <c r="G116" s="6">
        <v>144</v>
      </c>
      <c r="H116" s="6">
        <v>148</v>
      </c>
      <c r="I116" s="6">
        <v>5</v>
      </c>
      <c r="J116" s="6">
        <v>7</v>
      </c>
      <c r="K116" s="45">
        <v>8</v>
      </c>
      <c r="Q116" s="6" t="s">
        <v>393</v>
      </c>
      <c r="R116" s="6">
        <v>108</v>
      </c>
      <c r="S116" s="6">
        <v>8</v>
      </c>
      <c r="AD116" s="38" t="s">
        <v>814</v>
      </c>
      <c r="AE116" s="140">
        <v>250</v>
      </c>
      <c r="AF116" s="140">
        <v>35</v>
      </c>
      <c r="AG116" s="140">
        <v>24</v>
      </c>
    </row>
    <row r="117" spans="6:33" x14ac:dyDescent="0.3">
      <c r="F117" s="6" t="s">
        <v>968</v>
      </c>
      <c r="G117" s="6">
        <v>147</v>
      </c>
      <c r="H117" s="6">
        <v>149</v>
      </c>
      <c r="I117" s="6">
        <v>6</v>
      </c>
      <c r="J117" s="6">
        <v>8.5</v>
      </c>
      <c r="K117" s="45">
        <v>8</v>
      </c>
      <c r="Q117" s="6" t="s">
        <v>394</v>
      </c>
      <c r="R117" s="6">
        <v>108</v>
      </c>
      <c r="S117" s="6">
        <v>10</v>
      </c>
    </row>
    <row r="118" spans="6:33" x14ac:dyDescent="0.3">
      <c r="F118" s="6" t="s">
        <v>969</v>
      </c>
      <c r="G118" s="6">
        <v>168</v>
      </c>
      <c r="H118" s="6">
        <v>88</v>
      </c>
      <c r="I118" s="6">
        <v>3.2</v>
      </c>
      <c r="J118" s="6">
        <v>4.5</v>
      </c>
      <c r="K118" s="45">
        <v>8</v>
      </c>
      <c r="Q118" s="6" t="s">
        <v>395</v>
      </c>
      <c r="R118" s="6">
        <v>114</v>
      </c>
      <c r="S118" s="6">
        <v>4</v>
      </c>
    </row>
    <row r="119" spans="6:33" x14ac:dyDescent="0.3">
      <c r="F119" s="6" t="s">
        <v>970</v>
      </c>
      <c r="G119" s="6">
        <v>171</v>
      </c>
      <c r="H119" s="6">
        <v>89</v>
      </c>
      <c r="I119" s="6">
        <v>4</v>
      </c>
      <c r="J119" s="6">
        <v>6</v>
      </c>
      <c r="K119" s="45">
        <v>8</v>
      </c>
      <c r="Q119" s="6" t="s">
        <v>396</v>
      </c>
      <c r="R119" s="6">
        <v>114</v>
      </c>
      <c r="S119" s="6">
        <v>4.5</v>
      </c>
    </row>
    <row r="120" spans="6:33" x14ac:dyDescent="0.3">
      <c r="F120" s="6" t="s">
        <v>971</v>
      </c>
      <c r="G120" s="6">
        <v>167</v>
      </c>
      <c r="H120" s="6">
        <v>173</v>
      </c>
      <c r="I120" s="6">
        <v>5</v>
      </c>
      <c r="J120" s="6">
        <v>7</v>
      </c>
      <c r="K120" s="45">
        <v>13</v>
      </c>
      <c r="Q120" s="6" t="s">
        <v>397</v>
      </c>
      <c r="R120" s="6">
        <v>114</v>
      </c>
      <c r="S120" s="6">
        <v>5</v>
      </c>
    </row>
    <row r="121" spans="6:33" x14ac:dyDescent="0.3">
      <c r="F121" s="6" t="s">
        <v>972</v>
      </c>
      <c r="G121" s="6">
        <v>172</v>
      </c>
      <c r="H121" s="6">
        <v>175</v>
      </c>
      <c r="I121" s="6">
        <v>6.5</v>
      </c>
      <c r="J121" s="6">
        <v>9.5</v>
      </c>
      <c r="K121" s="45">
        <v>13</v>
      </c>
      <c r="Q121" s="6" t="s">
        <v>398</v>
      </c>
      <c r="R121" s="6">
        <v>114</v>
      </c>
      <c r="S121" s="6">
        <v>5.5</v>
      </c>
    </row>
    <row r="122" spans="6:33" x14ac:dyDescent="0.3">
      <c r="F122" s="6" t="s">
        <v>973</v>
      </c>
      <c r="G122" s="6">
        <v>193</v>
      </c>
      <c r="H122" s="6">
        <v>98</v>
      </c>
      <c r="I122" s="6">
        <v>3.2</v>
      </c>
      <c r="J122" s="6">
        <v>4.5</v>
      </c>
      <c r="K122" s="45">
        <v>8</v>
      </c>
      <c r="Q122" s="6" t="s">
        <v>399</v>
      </c>
      <c r="R122" s="6">
        <v>114</v>
      </c>
      <c r="S122" s="6">
        <v>6</v>
      </c>
    </row>
    <row r="123" spans="6:33" x14ac:dyDescent="0.3">
      <c r="F123" s="6" t="s">
        <v>974</v>
      </c>
      <c r="G123" s="6">
        <v>196</v>
      </c>
      <c r="H123" s="6">
        <v>99</v>
      </c>
      <c r="I123" s="6">
        <v>4</v>
      </c>
      <c r="J123" s="6">
        <v>6</v>
      </c>
      <c r="K123" s="45">
        <v>8</v>
      </c>
      <c r="Q123" s="6" t="s">
        <v>400</v>
      </c>
      <c r="R123" s="6">
        <v>114</v>
      </c>
      <c r="S123" s="6">
        <v>7</v>
      </c>
    </row>
    <row r="124" spans="6:33" x14ac:dyDescent="0.3">
      <c r="F124" s="6" t="s">
        <v>975</v>
      </c>
      <c r="G124" s="6">
        <v>188</v>
      </c>
      <c r="H124" s="6">
        <v>149</v>
      </c>
      <c r="I124" s="6">
        <v>4.5</v>
      </c>
      <c r="J124" s="6">
        <v>6</v>
      </c>
      <c r="K124" s="45">
        <v>8</v>
      </c>
      <c r="Q124" s="6" t="s">
        <v>401</v>
      </c>
      <c r="R124" s="6">
        <v>114</v>
      </c>
      <c r="S124" s="6">
        <v>8</v>
      </c>
    </row>
    <row r="125" spans="6:33" x14ac:dyDescent="0.3">
      <c r="F125" s="6" t="s">
        <v>976</v>
      </c>
      <c r="G125" s="6">
        <v>192</v>
      </c>
      <c r="H125" s="6">
        <v>198</v>
      </c>
      <c r="I125" s="6">
        <v>6</v>
      </c>
      <c r="J125" s="6">
        <v>8</v>
      </c>
      <c r="K125" s="45">
        <v>13</v>
      </c>
      <c r="Q125" s="6" t="s">
        <v>402</v>
      </c>
      <c r="R125" s="6">
        <v>114</v>
      </c>
      <c r="S125" s="6">
        <v>10</v>
      </c>
    </row>
    <row r="126" spans="6:33" x14ac:dyDescent="0.3">
      <c r="F126" s="6" t="s">
        <v>977</v>
      </c>
      <c r="G126" s="6">
        <v>244</v>
      </c>
      <c r="H126" s="6">
        <v>124</v>
      </c>
      <c r="I126" s="6">
        <v>4.5</v>
      </c>
      <c r="J126" s="6">
        <v>6</v>
      </c>
      <c r="K126" s="45">
        <v>8</v>
      </c>
      <c r="Q126" s="6" t="s">
        <v>403</v>
      </c>
      <c r="R126" s="6">
        <v>121</v>
      </c>
      <c r="S126" s="6">
        <v>4</v>
      </c>
    </row>
    <row r="127" spans="6:33" x14ac:dyDescent="0.3">
      <c r="F127" s="6" t="s">
        <v>978</v>
      </c>
      <c r="G127" s="6">
        <v>238</v>
      </c>
      <c r="H127" s="6">
        <v>173</v>
      </c>
      <c r="I127" s="6">
        <v>4.5</v>
      </c>
      <c r="J127" s="6">
        <v>8</v>
      </c>
      <c r="K127" s="45">
        <v>13</v>
      </c>
      <c r="Q127" s="6" t="s">
        <v>404</v>
      </c>
      <c r="R127" s="6">
        <v>121</v>
      </c>
      <c r="S127" s="6">
        <v>4.5</v>
      </c>
    </row>
    <row r="128" spans="6:33" x14ac:dyDescent="0.3">
      <c r="F128" s="6" t="s">
        <v>979</v>
      </c>
      <c r="G128" s="6">
        <v>294</v>
      </c>
      <c r="H128" s="6">
        <v>148</v>
      </c>
      <c r="I128" s="6">
        <v>4.5</v>
      </c>
      <c r="J128" s="6">
        <v>6</v>
      </c>
      <c r="K128" s="45">
        <v>13</v>
      </c>
      <c r="Q128" s="6" t="s">
        <v>405</v>
      </c>
      <c r="R128" s="6">
        <v>121</v>
      </c>
      <c r="S128" s="6">
        <v>5</v>
      </c>
    </row>
    <row r="129" spans="6:19" x14ac:dyDescent="0.3">
      <c r="F129" s="6" t="s">
        <v>980</v>
      </c>
      <c r="G129" s="6">
        <v>286</v>
      </c>
      <c r="H129" s="6">
        <v>198</v>
      </c>
      <c r="I129" s="6">
        <v>6</v>
      </c>
      <c r="J129" s="6">
        <v>8</v>
      </c>
      <c r="K129" s="45">
        <v>13</v>
      </c>
      <c r="Q129" s="6" t="s">
        <v>406</v>
      </c>
      <c r="R129" s="6">
        <v>121</v>
      </c>
      <c r="S129" s="6">
        <v>5.5</v>
      </c>
    </row>
    <row r="130" spans="6:19" x14ac:dyDescent="0.3">
      <c r="F130" s="6" t="s">
        <v>981</v>
      </c>
      <c r="G130" s="6">
        <v>340</v>
      </c>
      <c r="H130" s="6">
        <v>173</v>
      </c>
      <c r="I130" s="6">
        <v>4.5</v>
      </c>
      <c r="J130" s="6">
        <v>6</v>
      </c>
      <c r="K130" s="45">
        <v>13</v>
      </c>
      <c r="Q130" s="6" t="s">
        <v>407</v>
      </c>
      <c r="R130" s="6">
        <v>121</v>
      </c>
      <c r="S130" s="6">
        <v>6</v>
      </c>
    </row>
    <row r="131" spans="6:19" x14ac:dyDescent="0.3">
      <c r="F131" s="6" t="s">
        <v>982</v>
      </c>
      <c r="G131" s="6">
        <v>390</v>
      </c>
      <c r="H131" s="6">
        <v>148</v>
      </c>
      <c r="I131" s="6">
        <v>6</v>
      </c>
      <c r="J131" s="6">
        <v>8</v>
      </c>
      <c r="K131" s="45">
        <v>13</v>
      </c>
      <c r="Q131" s="6" t="s">
        <v>408</v>
      </c>
      <c r="R131" s="6">
        <v>121</v>
      </c>
      <c r="S131" s="6">
        <v>7</v>
      </c>
    </row>
    <row r="132" spans="6:19" x14ac:dyDescent="0.3">
      <c r="F132" s="6" t="s">
        <v>983</v>
      </c>
      <c r="G132" s="6">
        <v>390</v>
      </c>
      <c r="H132" s="6">
        <v>198</v>
      </c>
      <c r="I132" s="6">
        <v>6</v>
      </c>
      <c r="J132" s="6">
        <v>8</v>
      </c>
      <c r="K132" s="45">
        <v>13</v>
      </c>
      <c r="Q132" s="6" t="s">
        <v>409</v>
      </c>
      <c r="R132" s="6">
        <v>121</v>
      </c>
      <c r="S132" s="6">
        <v>8</v>
      </c>
    </row>
    <row r="133" spans="6:19" x14ac:dyDescent="0.3">
      <c r="Q133" s="6" t="s">
        <v>410</v>
      </c>
      <c r="R133" s="6">
        <v>121</v>
      </c>
      <c r="S133" s="6">
        <v>10</v>
      </c>
    </row>
    <row r="134" spans="6:19" x14ac:dyDescent="0.3">
      <c r="Q134" s="6" t="s">
        <v>411</v>
      </c>
      <c r="R134" s="6">
        <v>127</v>
      </c>
      <c r="S134" s="6">
        <v>4</v>
      </c>
    </row>
    <row r="135" spans="6:19" x14ac:dyDescent="0.3">
      <c r="Q135" s="6" t="s">
        <v>412</v>
      </c>
      <c r="R135" s="6">
        <v>127</v>
      </c>
      <c r="S135" s="6">
        <v>4.5</v>
      </c>
    </row>
    <row r="136" spans="6:19" x14ac:dyDescent="0.3">
      <c r="Q136" s="6" t="s">
        <v>413</v>
      </c>
      <c r="R136" s="6">
        <v>127</v>
      </c>
      <c r="S136" s="6">
        <v>5</v>
      </c>
    </row>
    <row r="137" spans="6:19" x14ac:dyDescent="0.3">
      <c r="Q137" s="6" t="s">
        <v>414</v>
      </c>
      <c r="R137" s="6">
        <v>127</v>
      </c>
      <c r="S137" s="6">
        <v>5.5</v>
      </c>
    </row>
    <row r="138" spans="6:19" x14ac:dyDescent="0.3">
      <c r="Q138" s="6" t="s">
        <v>415</v>
      </c>
      <c r="R138" s="6">
        <v>127</v>
      </c>
      <c r="S138" s="6">
        <v>6</v>
      </c>
    </row>
    <row r="139" spans="6:19" x14ac:dyDescent="0.3">
      <c r="Q139" s="6" t="s">
        <v>416</v>
      </c>
      <c r="R139" s="6">
        <v>127</v>
      </c>
      <c r="S139" s="6">
        <v>7</v>
      </c>
    </row>
    <row r="140" spans="6:19" x14ac:dyDescent="0.3">
      <c r="Q140" s="6" t="s">
        <v>417</v>
      </c>
      <c r="R140" s="6">
        <v>127</v>
      </c>
      <c r="S140" s="6">
        <v>8</v>
      </c>
    </row>
    <row r="141" spans="6:19" x14ac:dyDescent="0.3">
      <c r="Q141" s="6" t="s">
        <v>418</v>
      </c>
      <c r="R141" s="6">
        <v>127</v>
      </c>
      <c r="S141" s="6">
        <v>10</v>
      </c>
    </row>
    <row r="142" spans="6:19" x14ac:dyDescent="0.3">
      <c r="Q142" s="6" t="s">
        <v>419</v>
      </c>
      <c r="R142" s="6">
        <v>127</v>
      </c>
      <c r="S142" s="6">
        <v>12</v>
      </c>
    </row>
    <row r="143" spans="6:19" x14ac:dyDescent="0.3">
      <c r="Q143" s="6" t="s">
        <v>420</v>
      </c>
      <c r="R143" s="6">
        <v>133</v>
      </c>
      <c r="S143" s="6">
        <v>4</v>
      </c>
    </row>
    <row r="144" spans="6:19" x14ac:dyDescent="0.3">
      <c r="Q144" s="6" t="s">
        <v>421</v>
      </c>
      <c r="R144" s="6">
        <v>133</v>
      </c>
      <c r="S144" s="6">
        <v>4.5</v>
      </c>
    </row>
    <row r="145" spans="17:19" x14ac:dyDescent="0.3">
      <c r="Q145" s="6" t="s">
        <v>422</v>
      </c>
      <c r="R145" s="6">
        <v>133</v>
      </c>
      <c r="S145" s="6">
        <v>5</v>
      </c>
    </row>
    <row r="146" spans="17:19" x14ac:dyDescent="0.3">
      <c r="Q146" s="6" t="s">
        <v>423</v>
      </c>
      <c r="R146" s="6">
        <v>133</v>
      </c>
      <c r="S146" s="6">
        <v>5.5</v>
      </c>
    </row>
    <row r="147" spans="17:19" x14ac:dyDescent="0.3">
      <c r="Q147" s="6" t="s">
        <v>424</v>
      </c>
      <c r="R147" s="6">
        <v>133</v>
      </c>
      <c r="S147" s="6">
        <v>6</v>
      </c>
    </row>
    <row r="148" spans="17:19" x14ac:dyDescent="0.3">
      <c r="Q148" s="6" t="s">
        <v>425</v>
      </c>
      <c r="R148" s="6">
        <v>133</v>
      </c>
      <c r="S148" s="6">
        <v>7</v>
      </c>
    </row>
    <row r="149" spans="17:19" x14ac:dyDescent="0.3">
      <c r="Q149" s="6" t="s">
        <v>426</v>
      </c>
      <c r="R149" s="6">
        <v>133</v>
      </c>
      <c r="S149" s="6">
        <v>8</v>
      </c>
    </row>
    <row r="150" spans="17:19" x14ac:dyDescent="0.3">
      <c r="Q150" s="6" t="s">
        <v>427</v>
      </c>
      <c r="R150" s="6">
        <v>133</v>
      </c>
      <c r="S150" s="6">
        <v>10</v>
      </c>
    </row>
    <row r="151" spans="17:19" x14ac:dyDescent="0.3">
      <c r="Q151" s="6" t="s">
        <v>428</v>
      </c>
      <c r="R151" s="6">
        <v>133</v>
      </c>
      <c r="S151" s="6">
        <v>12</v>
      </c>
    </row>
    <row r="152" spans="17:19" x14ac:dyDescent="0.3">
      <c r="Q152" s="6" t="s">
        <v>429</v>
      </c>
      <c r="R152" s="6">
        <v>140</v>
      </c>
      <c r="S152" s="6">
        <v>4.5</v>
      </c>
    </row>
    <row r="153" spans="17:19" x14ac:dyDescent="0.3">
      <c r="Q153" s="6" t="s">
        <v>430</v>
      </c>
      <c r="R153" s="6">
        <v>140</v>
      </c>
      <c r="S153" s="6">
        <v>5</v>
      </c>
    </row>
    <row r="154" spans="17:19" x14ac:dyDescent="0.3">
      <c r="Q154" s="6" t="s">
        <v>431</v>
      </c>
      <c r="R154" s="6">
        <v>140</v>
      </c>
      <c r="S154" s="6">
        <v>5.5</v>
      </c>
    </row>
    <row r="155" spans="17:19" x14ac:dyDescent="0.3">
      <c r="Q155" s="6" t="s">
        <v>432</v>
      </c>
      <c r="R155" s="6">
        <v>140</v>
      </c>
      <c r="S155" s="6">
        <v>6</v>
      </c>
    </row>
    <row r="156" spans="17:19" x14ac:dyDescent="0.3">
      <c r="Q156" s="6" t="s">
        <v>433</v>
      </c>
      <c r="R156" s="6">
        <v>140</v>
      </c>
      <c r="S156" s="6">
        <v>7</v>
      </c>
    </row>
    <row r="157" spans="17:19" x14ac:dyDescent="0.3">
      <c r="Q157" s="6" t="s">
        <v>434</v>
      </c>
      <c r="R157" s="6">
        <v>140</v>
      </c>
      <c r="S157" s="6">
        <v>8</v>
      </c>
    </row>
    <row r="158" spans="17:19" x14ac:dyDescent="0.3">
      <c r="Q158" s="6" t="s">
        <v>435</v>
      </c>
      <c r="R158" s="6">
        <v>140</v>
      </c>
      <c r="S158" s="6">
        <v>10</v>
      </c>
    </row>
    <row r="159" spans="17:19" x14ac:dyDescent="0.3">
      <c r="Q159" s="6" t="s">
        <v>436</v>
      </c>
      <c r="R159" s="6">
        <v>140</v>
      </c>
      <c r="S159" s="6">
        <v>12</v>
      </c>
    </row>
    <row r="160" spans="17:19" x14ac:dyDescent="0.3">
      <c r="Q160" s="6" t="s">
        <v>437</v>
      </c>
      <c r="R160" s="6">
        <v>140</v>
      </c>
      <c r="S160" s="6">
        <v>14</v>
      </c>
    </row>
    <row r="161" spans="17:19" x14ac:dyDescent="0.3">
      <c r="Q161" s="6" t="s">
        <v>438</v>
      </c>
      <c r="R161" s="6">
        <v>146</v>
      </c>
      <c r="S161" s="6">
        <v>5</v>
      </c>
    </row>
    <row r="162" spans="17:19" x14ac:dyDescent="0.3">
      <c r="Q162" s="6" t="s">
        <v>439</v>
      </c>
      <c r="R162" s="6">
        <v>146</v>
      </c>
      <c r="S162" s="6">
        <v>5.5</v>
      </c>
    </row>
    <row r="163" spans="17:19" x14ac:dyDescent="0.3">
      <c r="Q163" s="6" t="s">
        <v>440</v>
      </c>
      <c r="R163" s="6">
        <v>146</v>
      </c>
      <c r="S163" s="6">
        <v>6</v>
      </c>
    </row>
    <row r="164" spans="17:19" x14ac:dyDescent="0.3">
      <c r="Q164" s="6" t="s">
        <v>441</v>
      </c>
      <c r="R164" s="6">
        <v>146</v>
      </c>
      <c r="S164" s="6">
        <v>7</v>
      </c>
    </row>
    <row r="165" spans="17:19" x14ac:dyDescent="0.3">
      <c r="Q165" s="6" t="s">
        <v>442</v>
      </c>
      <c r="R165" s="6">
        <v>146</v>
      </c>
      <c r="S165" s="6">
        <v>8</v>
      </c>
    </row>
    <row r="166" spans="17:19" x14ac:dyDescent="0.3">
      <c r="Q166" s="6" t="s">
        <v>443</v>
      </c>
      <c r="R166" s="6">
        <v>146</v>
      </c>
      <c r="S166" s="6">
        <v>10</v>
      </c>
    </row>
    <row r="167" spans="17:19" x14ac:dyDescent="0.3">
      <c r="Q167" s="6" t="s">
        <v>444</v>
      </c>
      <c r="R167" s="6">
        <v>146</v>
      </c>
      <c r="S167" s="6">
        <v>12</v>
      </c>
    </row>
    <row r="168" spans="17:19" x14ac:dyDescent="0.3">
      <c r="Q168" s="6" t="s">
        <v>445</v>
      </c>
      <c r="R168" s="6">
        <v>146</v>
      </c>
      <c r="S168" s="6">
        <v>14</v>
      </c>
    </row>
    <row r="169" spans="17:19" x14ac:dyDescent="0.3">
      <c r="Q169" s="6" t="s">
        <v>446</v>
      </c>
      <c r="R169" s="6">
        <v>152</v>
      </c>
      <c r="S169" s="6">
        <v>5</v>
      </c>
    </row>
    <row r="170" spans="17:19" x14ac:dyDescent="0.3">
      <c r="Q170" s="6" t="s">
        <v>447</v>
      </c>
      <c r="R170" s="6">
        <v>152</v>
      </c>
      <c r="S170" s="6">
        <v>5.5</v>
      </c>
    </row>
    <row r="171" spans="17:19" x14ac:dyDescent="0.3">
      <c r="Q171" s="6" t="s">
        <v>448</v>
      </c>
      <c r="R171" s="6">
        <v>152</v>
      </c>
      <c r="S171" s="6">
        <v>6</v>
      </c>
    </row>
    <row r="172" spans="17:19" x14ac:dyDescent="0.3">
      <c r="Q172" s="6" t="s">
        <v>449</v>
      </c>
      <c r="R172" s="6">
        <v>152</v>
      </c>
      <c r="S172" s="6">
        <v>7</v>
      </c>
    </row>
    <row r="173" spans="17:19" x14ac:dyDescent="0.3">
      <c r="Q173" s="6" t="s">
        <v>450</v>
      </c>
      <c r="R173" s="6">
        <v>152</v>
      </c>
      <c r="S173" s="6">
        <v>8</v>
      </c>
    </row>
    <row r="174" spans="17:19" x14ac:dyDescent="0.3">
      <c r="Q174" s="6" t="s">
        <v>451</v>
      </c>
      <c r="R174" s="6">
        <v>152</v>
      </c>
      <c r="S174" s="6">
        <v>10</v>
      </c>
    </row>
    <row r="175" spans="17:19" x14ac:dyDescent="0.3">
      <c r="Q175" s="6" t="s">
        <v>452</v>
      </c>
      <c r="R175" s="6">
        <v>152</v>
      </c>
      <c r="S175" s="6">
        <v>12</v>
      </c>
    </row>
    <row r="176" spans="17:19" x14ac:dyDescent="0.3">
      <c r="Q176" s="6" t="s">
        <v>453</v>
      </c>
      <c r="R176" s="6">
        <v>152</v>
      </c>
      <c r="S176" s="6">
        <v>14</v>
      </c>
    </row>
    <row r="177" spans="17:19" x14ac:dyDescent="0.3">
      <c r="Q177" s="6" t="s">
        <v>454</v>
      </c>
      <c r="R177" s="6">
        <v>159</v>
      </c>
      <c r="S177" s="6">
        <v>5</v>
      </c>
    </row>
    <row r="178" spans="17:19" x14ac:dyDescent="0.3">
      <c r="Q178" s="6" t="s">
        <v>455</v>
      </c>
      <c r="R178" s="6">
        <v>159</v>
      </c>
      <c r="S178" s="6">
        <v>6</v>
      </c>
    </row>
    <row r="179" spans="17:19" x14ac:dyDescent="0.3">
      <c r="Q179" s="6" t="s">
        <v>456</v>
      </c>
      <c r="R179" s="6">
        <v>159</v>
      </c>
      <c r="S179" s="6">
        <v>7</v>
      </c>
    </row>
    <row r="180" spans="17:19" x14ac:dyDescent="0.3">
      <c r="Q180" s="6" t="s">
        <v>457</v>
      </c>
      <c r="R180" s="6">
        <v>159</v>
      </c>
      <c r="S180" s="6">
        <v>8</v>
      </c>
    </row>
    <row r="181" spans="17:19" x14ac:dyDescent="0.3">
      <c r="Q181" s="6" t="s">
        <v>458</v>
      </c>
      <c r="R181" s="6">
        <v>159</v>
      </c>
      <c r="S181" s="6">
        <v>10</v>
      </c>
    </row>
    <row r="182" spans="17:19" x14ac:dyDescent="0.3">
      <c r="Q182" s="6" t="s">
        <v>459</v>
      </c>
      <c r="R182" s="6">
        <v>159</v>
      </c>
      <c r="S182" s="6">
        <v>12</v>
      </c>
    </row>
    <row r="183" spans="17:19" x14ac:dyDescent="0.3">
      <c r="Q183" s="6" t="s">
        <v>460</v>
      </c>
      <c r="R183" s="6">
        <v>159</v>
      </c>
      <c r="S183" s="6">
        <v>14</v>
      </c>
    </row>
    <row r="184" spans="17:19" x14ac:dyDescent="0.3">
      <c r="Q184" s="6" t="s">
        <v>461</v>
      </c>
      <c r="R184" s="6">
        <v>168</v>
      </c>
      <c r="S184" s="6">
        <v>5</v>
      </c>
    </row>
    <row r="185" spans="17:19" x14ac:dyDescent="0.3">
      <c r="Q185" s="6" t="s">
        <v>462</v>
      </c>
      <c r="R185" s="6">
        <v>168</v>
      </c>
      <c r="S185" s="6">
        <v>6</v>
      </c>
    </row>
    <row r="186" spans="17:19" x14ac:dyDescent="0.3">
      <c r="Q186" s="6" t="s">
        <v>463</v>
      </c>
      <c r="R186" s="6">
        <v>168</v>
      </c>
      <c r="S186" s="6">
        <v>7</v>
      </c>
    </row>
    <row r="187" spans="17:19" x14ac:dyDescent="0.3">
      <c r="Q187" s="6" t="s">
        <v>464</v>
      </c>
      <c r="R187" s="6">
        <v>168</v>
      </c>
      <c r="S187" s="6">
        <v>8</v>
      </c>
    </row>
    <row r="188" spans="17:19" x14ac:dyDescent="0.3">
      <c r="Q188" s="6" t="s">
        <v>465</v>
      </c>
      <c r="R188" s="6">
        <v>168</v>
      </c>
      <c r="S188" s="6">
        <v>10</v>
      </c>
    </row>
    <row r="189" spans="17:19" x14ac:dyDescent="0.3">
      <c r="Q189" s="6" t="s">
        <v>466</v>
      </c>
      <c r="R189" s="6">
        <v>168</v>
      </c>
      <c r="S189" s="6">
        <v>12</v>
      </c>
    </row>
    <row r="190" spans="17:19" x14ac:dyDescent="0.3">
      <c r="Q190" s="6" t="s">
        <v>467</v>
      </c>
      <c r="R190" s="6">
        <v>168</v>
      </c>
      <c r="S190" s="6">
        <v>14</v>
      </c>
    </row>
    <row r="191" spans="17:19" x14ac:dyDescent="0.3">
      <c r="Q191" s="6" t="s">
        <v>468</v>
      </c>
      <c r="R191" s="6">
        <v>168</v>
      </c>
      <c r="S191" s="6">
        <v>16</v>
      </c>
    </row>
    <row r="192" spans="17:19" x14ac:dyDescent="0.3">
      <c r="Q192" s="6" t="s">
        <v>469</v>
      </c>
      <c r="R192" s="6">
        <v>180</v>
      </c>
      <c r="S192" s="6">
        <v>5</v>
      </c>
    </row>
    <row r="193" spans="17:19" x14ac:dyDescent="0.3">
      <c r="Q193" s="6" t="s">
        <v>470</v>
      </c>
      <c r="R193" s="6">
        <v>180</v>
      </c>
      <c r="S193" s="6">
        <v>6</v>
      </c>
    </row>
    <row r="194" spans="17:19" x14ac:dyDescent="0.3">
      <c r="Q194" s="6" t="s">
        <v>471</v>
      </c>
      <c r="R194" s="6">
        <v>180</v>
      </c>
      <c r="S194" s="6">
        <v>7</v>
      </c>
    </row>
    <row r="195" spans="17:19" x14ac:dyDescent="0.3">
      <c r="Q195" s="6" t="s">
        <v>472</v>
      </c>
      <c r="R195" s="6">
        <v>180</v>
      </c>
      <c r="S195" s="6">
        <v>8</v>
      </c>
    </row>
    <row r="196" spans="17:19" x14ac:dyDescent="0.3">
      <c r="Q196" s="6" t="s">
        <v>473</v>
      </c>
      <c r="R196" s="6">
        <v>180</v>
      </c>
      <c r="S196" s="6">
        <v>10</v>
      </c>
    </row>
    <row r="197" spans="17:19" x14ac:dyDescent="0.3">
      <c r="Q197" s="6" t="s">
        <v>474</v>
      </c>
      <c r="R197" s="6">
        <v>180</v>
      </c>
      <c r="S197" s="6">
        <v>12</v>
      </c>
    </row>
    <row r="198" spans="17:19" x14ac:dyDescent="0.3">
      <c r="Q198" s="6" t="s">
        <v>475</v>
      </c>
      <c r="R198" s="6">
        <v>180</v>
      </c>
      <c r="S198" s="6">
        <v>14</v>
      </c>
    </row>
    <row r="199" spans="17:19" x14ac:dyDescent="0.3">
      <c r="Q199" s="6" t="s">
        <v>476</v>
      </c>
      <c r="R199" s="6">
        <v>180</v>
      </c>
      <c r="S199" s="6">
        <v>16</v>
      </c>
    </row>
    <row r="200" spans="17:19" x14ac:dyDescent="0.3">
      <c r="Q200" s="6" t="s">
        <v>477</v>
      </c>
      <c r="R200" s="6">
        <v>194</v>
      </c>
      <c r="S200" s="6">
        <v>5</v>
      </c>
    </row>
    <row r="201" spans="17:19" x14ac:dyDescent="0.3">
      <c r="Q201" s="6" t="s">
        <v>478</v>
      </c>
      <c r="R201" s="6">
        <v>194</v>
      </c>
      <c r="S201" s="6">
        <v>6</v>
      </c>
    </row>
    <row r="202" spans="17:19" x14ac:dyDescent="0.3">
      <c r="Q202" s="6" t="s">
        <v>479</v>
      </c>
      <c r="R202" s="6">
        <v>194</v>
      </c>
      <c r="S202" s="6">
        <v>7</v>
      </c>
    </row>
    <row r="203" spans="17:19" x14ac:dyDescent="0.3">
      <c r="Q203" s="6" t="s">
        <v>480</v>
      </c>
      <c r="R203" s="6">
        <v>194</v>
      </c>
      <c r="S203" s="6">
        <v>8</v>
      </c>
    </row>
    <row r="204" spans="17:19" x14ac:dyDescent="0.3">
      <c r="Q204" s="6" t="s">
        <v>481</v>
      </c>
      <c r="R204" s="6">
        <v>194</v>
      </c>
      <c r="S204" s="6">
        <v>10</v>
      </c>
    </row>
    <row r="205" spans="17:19" x14ac:dyDescent="0.3">
      <c r="Q205" s="6" t="s">
        <v>482</v>
      </c>
      <c r="R205" s="6">
        <v>194</v>
      </c>
      <c r="S205" s="6">
        <v>12</v>
      </c>
    </row>
    <row r="206" spans="17:19" x14ac:dyDescent="0.3">
      <c r="Q206" s="6" t="s">
        <v>483</v>
      </c>
      <c r="R206" s="6">
        <v>194</v>
      </c>
      <c r="S206" s="6">
        <v>14</v>
      </c>
    </row>
    <row r="207" spans="17:19" x14ac:dyDescent="0.3">
      <c r="Q207" s="6" t="s">
        <v>484</v>
      </c>
      <c r="R207" s="6">
        <v>194</v>
      </c>
      <c r="S207" s="6">
        <v>16</v>
      </c>
    </row>
    <row r="208" spans="17:19" x14ac:dyDescent="0.3">
      <c r="Q208" s="6" t="s">
        <v>485</v>
      </c>
      <c r="R208" s="6">
        <v>194</v>
      </c>
      <c r="S208" s="6">
        <v>18</v>
      </c>
    </row>
    <row r="209" spans="17:19" x14ac:dyDescent="0.3">
      <c r="Q209" s="6" t="s">
        <v>486</v>
      </c>
      <c r="R209" s="6">
        <v>203</v>
      </c>
      <c r="S209" s="6">
        <v>6</v>
      </c>
    </row>
    <row r="210" spans="17:19" x14ac:dyDescent="0.3">
      <c r="Q210" s="6" t="s">
        <v>487</v>
      </c>
      <c r="R210" s="6">
        <v>203</v>
      </c>
      <c r="S210" s="6">
        <v>8</v>
      </c>
    </row>
    <row r="211" spans="17:19" x14ac:dyDescent="0.3">
      <c r="Q211" s="6" t="s">
        <v>488</v>
      </c>
      <c r="R211" s="6">
        <v>203</v>
      </c>
      <c r="S211" s="6">
        <v>10</v>
      </c>
    </row>
    <row r="212" spans="17:19" x14ac:dyDescent="0.3">
      <c r="Q212" s="6" t="s">
        <v>489</v>
      </c>
      <c r="R212" s="6">
        <v>203</v>
      </c>
      <c r="S212" s="6">
        <v>12</v>
      </c>
    </row>
    <row r="213" spans="17:19" x14ac:dyDescent="0.3">
      <c r="Q213" s="6" t="s">
        <v>490</v>
      </c>
      <c r="R213" s="6">
        <v>203</v>
      </c>
      <c r="S213" s="6">
        <v>14</v>
      </c>
    </row>
    <row r="214" spans="17:19" x14ac:dyDescent="0.3">
      <c r="Q214" s="6" t="s">
        <v>491</v>
      </c>
      <c r="R214" s="6">
        <v>203</v>
      </c>
      <c r="S214" s="6">
        <v>16</v>
      </c>
    </row>
    <row r="215" spans="17:19" x14ac:dyDescent="0.3">
      <c r="Q215" s="6" t="s">
        <v>492</v>
      </c>
      <c r="R215" s="6">
        <v>203</v>
      </c>
      <c r="S215" s="6">
        <v>18</v>
      </c>
    </row>
    <row r="216" spans="17:19" x14ac:dyDescent="0.3">
      <c r="Q216" s="6" t="s">
        <v>493</v>
      </c>
      <c r="R216" s="6">
        <v>219</v>
      </c>
      <c r="S216" s="6">
        <v>6</v>
      </c>
    </row>
    <row r="217" spans="17:19" x14ac:dyDescent="0.3">
      <c r="Q217" s="6" t="s">
        <v>494</v>
      </c>
      <c r="R217" s="6">
        <v>219</v>
      </c>
      <c r="S217" s="6">
        <v>8</v>
      </c>
    </row>
    <row r="218" spans="17:19" x14ac:dyDescent="0.3">
      <c r="Q218" s="6" t="s">
        <v>495</v>
      </c>
      <c r="R218" s="6">
        <v>219</v>
      </c>
      <c r="S218" s="6">
        <v>10</v>
      </c>
    </row>
    <row r="219" spans="17:19" x14ac:dyDescent="0.3">
      <c r="Q219" s="6" t="s">
        <v>496</v>
      </c>
      <c r="R219" s="6">
        <v>219</v>
      </c>
      <c r="S219" s="6">
        <v>12</v>
      </c>
    </row>
    <row r="220" spans="17:19" x14ac:dyDescent="0.3">
      <c r="Q220" s="6" t="s">
        <v>497</v>
      </c>
      <c r="R220" s="6">
        <v>219</v>
      </c>
      <c r="S220" s="6">
        <v>14</v>
      </c>
    </row>
    <row r="221" spans="17:19" x14ac:dyDescent="0.3">
      <c r="Q221" s="6" t="s">
        <v>498</v>
      </c>
      <c r="R221" s="6">
        <v>219</v>
      </c>
      <c r="S221" s="6">
        <v>16</v>
      </c>
    </row>
    <row r="222" spans="17:19" x14ac:dyDescent="0.3">
      <c r="Q222" s="6" t="s">
        <v>499</v>
      </c>
      <c r="R222" s="6">
        <v>219</v>
      </c>
      <c r="S222" s="6">
        <v>18</v>
      </c>
    </row>
    <row r="223" spans="17:19" x14ac:dyDescent="0.3">
      <c r="Q223" s="6" t="s">
        <v>500</v>
      </c>
      <c r="R223" s="6">
        <v>219</v>
      </c>
      <c r="S223" s="6">
        <v>20</v>
      </c>
    </row>
    <row r="224" spans="17:19" x14ac:dyDescent="0.3">
      <c r="Q224" s="6" t="s">
        <v>501</v>
      </c>
      <c r="R224" s="6">
        <v>245</v>
      </c>
      <c r="S224" s="6">
        <v>7</v>
      </c>
    </row>
    <row r="225" spans="17:19" x14ac:dyDescent="0.3">
      <c r="Q225" s="6" t="s">
        <v>502</v>
      </c>
      <c r="R225" s="6">
        <v>245</v>
      </c>
      <c r="S225" s="6">
        <v>8</v>
      </c>
    </row>
    <row r="226" spans="17:19" x14ac:dyDescent="0.3">
      <c r="Q226" s="6" t="s">
        <v>503</v>
      </c>
      <c r="R226" s="6">
        <v>245</v>
      </c>
      <c r="S226" s="6">
        <v>10</v>
      </c>
    </row>
    <row r="227" spans="17:19" x14ac:dyDescent="0.3">
      <c r="Q227" s="6" t="s">
        <v>504</v>
      </c>
      <c r="R227" s="6">
        <v>245</v>
      </c>
      <c r="S227" s="6">
        <v>12</v>
      </c>
    </row>
    <row r="228" spans="17:19" x14ac:dyDescent="0.3">
      <c r="Q228" s="6" t="s">
        <v>505</v>
      </c>
      <c r="R228" s="6">
        <v>245</v>
      </c>
      <c r="S228" s="6">
        <v>14</v>
      </c>
    </row>
    <row r="229" spans="17:19" x14ac:dyDescent="0.3">
      <c r="Q229" s="6" t="s">
        <v>506</v>
      </c>
      <c r="R229" s="6">
        <v>245</v>
      </c>
      <c r="S229" s="6">
        <v>16</v>
      </c>
    </row>
    <row r="230" spans="17:19" x14ac:dyDescent="0.3">
      <c r="Q230" s="6" t="s">
        <v>507</v>
      </c>
      <c r="R230" s="6">
        <v>245</v>
      </c>
      <c r="S230" s="6">
        <v>18</v>
      </c>
    </row>
    <row r="231" spans="17:19" x14ac:dyDescent="0.3">
      <c r="Q231" s="6" t="s">
        <v>508</v>
      </c>
      <c r="R231" s="6">
        <v>245</v>
      </c>
      <c r="S231" s="6">
        <v>20</v>
      </c>
    </row>
    <row r="232" spans="17:19" x14ac:dyDescent="0.3">
      <c r="Q232" s="6" t="s">
        <v>509</v>
      </c>
      <c r="R232" s="6">
        <v>273</v>
      </c>
      <c r="S232" s="6">
        <v>8</v>
      </c>
    </row>
    <row r="233" spans="17:19" x14ac:dyDescent="0.3">
      <c r="Q233" s="6" t="s">
        <v>510</v>
      </c>
      <c r="R233" s="6">
        <v>273</v>
      </c>
      <c r="S233" s="6">
        <v>10</v>
      </c>
    </row>
    <row r="234" spans="17:19" x14ac:dyDescent="0.3">
      <c r="Q234" s="6" t="s">
        <v>511</v>
      </c>
      <c r="R234" s="6">
        <v>273</v>
      </c>
      <c r="S234" s="6">
        <v>12</v>
      </c>
    </row>
    <row r="235" spans="17:19" x14ac:dyDescent="0.3">
      <c r="Q235" s="6" t="s">
        <v>512</v>
      </c>
      <c r="R235" s="6">
        <v>273</v>
      </c>
      <c r="S235" s="6">
        <v>14</v>
      </c>
    </row>
    <row r="236" spans="17:19" x14ac:dyDescent="0.3">
      <c r="Q236" s="6" t="s">
        <v>513</v>
      </c>
      <c r="R236" s="6">
        <v>273</v>
      </c>
      <c r="S236" s="6">
        <v>16</v>
      </c>
    </row>
    <row r="237" spans="17:19" x14ac:dyDescent="0.3">
      <c r="Q237" s="6" t="s">
        <v>514</v>
      </c>
      <c r="R237" s="6">
        <v>273</v>
      </c>
      <c r="S237" s="6">
        <v>18</v>
      </c>
    </row>
    <row r="238" spans="17:19" x14ac:dyDescent="0.3">
      <c r="Q238" s="6" t="s">
        <v>515</v>
      </c>
      <c r="R238" s="6">
        <v>273</v>
      </c>
      <c r="S238" s="6">
        <v>20</v>
      </c>
    </row>
    <row r="239" spans="17:19" x14ac:dyDescent="0.3">
      <c r="Q239" s="6" t="s">
        <v>516</v>
      </c>
      <c r="R239" s="6">
        <v>299</v>
      </c>
      <c r="S239" s="6">
        <v>8</v>
      </c>
    </row>
    <row r="240" spans="17:19" x14ac:dyDescent="0.3">
      <c r="Q240" s="6" t="s">
        <v>517</v>
      </c>
      <c r="R240" s="6">
        <v>299</v>
      </c>
      <c r="S240" s="6">
        <v>10</v>
      </c>
    </row>
    <row r="241" spans="17:19" x14ac:dyDescent="0.3">
      <c r="Q241" s="6" t="s">
        <v>518</v>
      </c>
      <c r="R241" s="6">
        <v>299</v>
      </c>
      <c r="S241" s="6">
        <v>12</v>
      </c>
    </row>
    <row r="242" spans="17:19" x14ac:dyDescent="0.3">
      <c r="Q242" s="6" t="s">
        <v>519</v>
      </c>
      <c r="R242" s="6">
        <v>299</v>
      </c>
      <c r="S242" s="6">
        <v>14</v>
      </c>
    </row>
    <row r="243" spans="17:19" x14ac:dyDescent="0.3">
      <c r="Q243" s="6" t="s">
        <v>520</v>
      </c>
      <c r="R243" s="6">
        <v>299</v>
      </c>
      <c r="S243" s="6">
        <v>16</v>
      </c>
    </row>
    <row r="244" spans="17:19" x14ac:dyDescent="0.3">
      <c r="Q244" s="6" t="s">
        <v>521</v>
      </c>
      <c r="R244" s="6">
        <v>299</v>
      </c>
      <c r="S244" s="6">
        <v>18</v>
      </c>
    </row>
    <row r="245" spans="17:19" x14ac:dyDescent="0.3">
      <c r="Q245" s="6" t="s">
        <v>522</v>
      </c>
      <c r="R245" s="6">
        <v>299</v>
      </c>
      <c r="S245" s="6">
        <v>20</v>
      </c>
    </row>
  </sheetData>
  <mergeCells count="8">
    <mergeCell ref="AD1:AG1"/>
    <mergeCell ref="AH1:AL1"/>
    <mergeCell ref="F1:K1"/>
    <mergeCell ref="W1:AC1"/>
    <mergeCell ref="A1:E1"/>
    <mergeCell ref="L1:P1"/>
    <mergeCell ref="Q1:S1"/>
    <mergeCell ref="T1:V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DFC48-541E-4AFB-B672-22E532F294A4}">
  <sheetPr codeName="Sheet6"/>
  <dimension ref="A1:C54"/>
  <sheetViews>
    <sheetView zoomScaleNormal="100" workbookViewId="0">
      <selection activeCell="M33" sqref="M33"/>
    </sheetView>
  </sheetViews>
  <sheetFormatPr defaultRowHeight="14" x14ac:dyDescent="0.3"/>
  <cols>
    <col min="1" max="1" width="10.25" style="38" customWidth="1"/>
    <col min="2" max="2" width="11.4140625" style="6" bestFit="1" customWidth="1"/>
    <col min="3" max="3" width="13.4140625" style="45" bestFit="1" customWidth="1"/>
    <col min="4" max="16384" width="8.6640625" style="6"/>
  </cols>
  <sheetData>
    <row r="1" spans="1:3" s="44" customFormat="1" ht="23" x14ac:dyDescent="0.3">
      <c r="A1" s="53" t="s">
        <v>577</v>
      </c>
      <c r="B1" s="50"/>
      <c r="C1" s="51"/>
    </row>
    <row r="2" spans="1:3" x14ac:dyDescent="0.3">
      <c r="A2" s="48" t="s">
        <v>574</v>
      </c>
      <c r="B2" s="46" t="s">
        <v>575</v>
      </c>
      <c r="C2" s="47" t="s">
        <v>576</v>
      </c>
    </row>
    <row r="3" spans="1:3" x14ac:dyDescent="0.3">
      <c r="A3" s="38" t="str">
        <f xml:space="preserve"> "ST" &amp; B3 &amp; "x" &amp; TEXT(C3, "0.0")</f>
        <v>ST120x2.5</v>
      </c>
      <c r="B3" s="6">
        <v>120</v>
      </c>
      <c r="C3" s="45">
        <v>2.5</v>
      </c>
    </row>
    <row r="4" spans="1:3" x14ac:dyDescent="0.3">
      <c r="A4" s="38" t="str">
        <f t="shared" ref="A4:A54" si="0" xml:space="preserve"> "ST" &amp; B4 &amp; "x" &amp; TEXT(C4, "0.0")</f>
        <v>ST120x2.6</v>
      </c>
      <c r="B4" s="6">
        <v>120</v>
      </c>
      <c r="C4" s="45">
        <v>2.6</v>
      </c>
    </row>
    <row r="5" spans="1:3" x14ac:dyDescent="0.3">
      <c r="A5" s="38" t="str">
        <f t="shared" si="0"/>
        <v>ST120x2.7</v>
      </c>
      <c r="B5" s="6">
        <v>120</v>
      </c>
      <c r="C5" s="45">
        <v>2.7</v>
      </c>
    </row>
    <row r="6" spans="1:3" x14ac:dyDescent="0.3">
      <c r="A6" s="38" t="str">
        <f t="shared" si="0"/>
        <v>ST120x2.8</v>
      </c>
      <c r="B6" s="6">
        <v>120</v>
      </c>
      <c r="C6" s="45">
        <v>2.8</v>
      </c>
    </row>
    <row r="7" spans="1:3" x14ac:dyDescent="0.3">
      <c r="A7" s="38" t="str">
        <f t="shared" si="0"/>
        <v>ST120x2.9</v>
      </c>
      <c r="B7" s="6">
        <v>120</v>
      </c>
      <c r="C7" s="45">
        <v>2.9</v>
      </c>
    </row>
    <row r="8" spans="1:3" x14ac:dyDescent="0.3">
      <c r="A8" s="38" t="str">
        <f t="shared" si="0"/>
        <v>ST120x3.0</v>
      </c>
      <c r="B8" s="6">
        <v>120</v>
      </c>
      <c r="C8" s="45">
        <v>3</v>
      </c>
    </row>
    <row r="9" spans="1:3" x14ac:dyDescent="0.3">
      <c r="A9" s="38" t="str">
        <f t="shared" si="0"/>
        <v>ST120x3.1</v>
      </c>
      <c r="B9" s="6">
        <v>120</v>
      </c>
      <c r="C9" s="45">
        <v>3.1</v>
      </c>
    </row>
    <row r="10" spans="1:3" x14ac:dyDescent="0.3">
      <c r="A10" s="38" t="str">
        <f t="shared" si="0"/>
        <v>ST120x3.2</v>
      </c>
      <c r="B10" s="6">
        <v>120</v>
      </c>
      <c r="C10" s="45">
        <v>3.2</v>
      </c>
    </row>
    <row r="11" spans="1:3" x14ac:dyDescent="0.3">
      <c r="A11" s="38" t="str">
        <f t="shared" si="0"/>
        <v>ST120x3.3</v>
      </c>
      <c r="B11" s="6">
        <v>120</v>
      </c>
      <c r="C11" s="45">
        <v>3.3</v>
      </c>
    </row>
    <row r="12" spans="1:3" x14ac:dyDescent="0.3">
      <c r="A12" s="38" t="str">
        <f t="shared" si="0"/>
        <v>ST120x3.4</v>
      </c>
      <c r="B12" s="6">
        <v>120</v>
      </c>
      <c r="C12" s="45">
        <v>3.4</v>
      </c>
    </row>
    <row r="13" spans="1:3" x14ac:dyDescent="0.3">
      <c r="A13" s="38" t="str">
        <f t="shared" si="0"/>
        <v>ST120x3.5</v>
      </c>
      <c r="B13" s="6">
        <v>120</v>
      </c>
      <c r="C13" s="45">
        <v>3.5</v>
      </c>
    </row>
    <row r="14" spans="1:3" x14ac:dyDescent="0.3">
      <c r="A14" s="38" t="str">
        <f t="shared" si="0"/>
        <v>ST120x3.6</v>
      </c>
      <c r="B14" s="6">
        <v>120</v>
      </c>
      <c r="C14" s="45">
        <v>3.6</v>
      </c>
    </row>
    <row r="15" spans="1:3" x14ac:dyDescent="0.3">
      <c r="A15" s="38" t="str">
        <f t="shared" si="0"/>
        <v>ST120x3.7</v>
      </c>
      <c r="B15" s="6">
        <v>120</v>
      </c>
      <c r="C15" s="45">
        <v>3.7</v>
      </c>
    </row>
    <row r="16" spans="1:3" x14ac:dyDescent="0.3">
      <c r="A16" s="38" t="str">
        <f t="shared" si="0"/>
        <v>ST120x3.8</v>
      </c>
      <c r="B16" s="6">
        <v>120</v>
      </c>
      <c r="C16" s="45">
        <v>3.8</v>
      </c>
    </row>
    <row r="17" spans="1:3" x14ac:dyDescent="0.3">
      <c r="A17" s="38" t="str">
        <f t="shared" si="0"/>
        <v>ST120x3.9</v>
      </c>
      <c r="B17" s="6">
        <v>120</v>
      </c>
      <c r="C17" s="45">
        <v>3.9</v>
      </c>
    </row>
    <row r="18" spans="1:3" x14ac:dyDescent="0.3">
      <c r="A18" s="38" t="str">
        <f t="shared" si="0"/>
        <v>ST120x4.0</v>
      </c>
      <c r="B18" s="6">
        <v>120</v>
      </c>
      <c r="C18" s="45">
        <v>4</v>
      </c>
    </row>
    <row r="19" spans="1:3" x14ac:dyDescent="0.3">
      <c r="A19" s="38" t="str">
        <f t="shared" si="0"/>
        <v>ST120x4.1</v>
      </c>
      <c r="B19" s="6">
        <v>120</v>
      </c>
      <c r="C19" s="45">
        <v>4.0999999999999996</v>
      </c>
    </row>
    <row r="20" spans="1:3" x14ac:dyDescent="0.3">
      <c r="A20" s="38" t="str">
        <f t="shared" si="0"/>
        <v>ST120x4.2</v>
      </c>
      <c r="B20" s="6">
        <v>120</v>
      </c>
      <c r="C20" s="45">
        <v>4.2</v>
      </c>
    </row>
    <row r="21" spans="1:3" x14ac:dyDescent="0.3">
      <c r="A21" s="38" t="str">
        <f t="shared" si="0"/>
        <v>ST120x4.3</v>
      </c>
      <c r="B21" s="6">
        <v>120</v>
      </c>
      <c r="C21" s="45">
        <v>4.3</v>
      </c>
    </row>
    <row r="22" spans="1:3" x14ac:dyDescent="0.3">
      <c r="A22" s="38" t="str">
        <f t="shared" si="0"/>
        <v>ST120x4.4</v>
      </c>
      <c r="B22" s="6">
        <v>120</v>
      </c>
      <c r="C22" s="45">
        <v>4.4000000000000004</v>
      </c>
    </row>
    <row r="23" spans="1:3" x14ac:dyDescent="0.3">
      <c r="A23" s="38" t="str">
        <f t="shared" si="0"/>
        <v>ST120x4.5</v>
      </c>
      <c r="B23" s="6">
        <v>120</v>
      </c>
      <c r="C23" s="45">
        <v>4.5</v>
      </c>
    </row>
    <row r="24" spans="1:3" x14ac:dyDescent="0.3">
      <c r="A24" s="38" t="str">
        <f t="shared" si="0"/>
        <v>ST120x4.6</v>
      </c>
      <c r="B24" s="6">
        <v>120</v>
      </c>
      <c r="C24" s="45">
        <v>4.5999999999999996</v>
      </c>
    </row>
    <row r="25" spans="1:3" x14ac:dyDescent="0.3">
      <c r="A25" s="38" t="str">
        <f t="shared" si="0"/>
        <v>ST120x4.7</v>
      </c>
      <c r="B25" s="6">
        <v>120</v>
      </c>
      <c r="C25" s="45">
        <v>4.7</v>
      </c>
    </row>
    <row r="26" spans="1:3" x14ac:dyDescent="0.3">
      <c r="A26" s="38" t="str">
        <f t="shared" si="0"/>
        <v>ST120x4.8</v>
      </c>
      <c r="B26" s="6">
        <v>120</v>
      </c>
      <c r="C26" s="45">
        <v>4.8</v>
      </c>
    </row>
    <row r="27" spans="1:3" x14ac:dyDescent="0.3">
      <c r="A27" s="38" t="str">
        <f t="shared" si="0"/>
        <v>ST120x4.9</v>
      </c>
      <c r="B27" s="6">
        <v>120</v>
      </c>
      <c r="C27" s="45">
        <v>4.9000000000000004</v>
      </c>
    </row>
    <row r="28" spans="1:3" x14ac:dyDescent="0.3">
      <c r="A28" s="38" t="str">
        <f t="shared" si="0"/>
        <v>ST120x5.0</v>
      </c>
      <c r="B28" s="6">
        <v>120</v>
      </c>
      <c r="C28" s="45">
        <v>5</v>
      </c>
    </row>
    <row r="29" spans="1:3" x14ac:dyDescent="0.3">
      <c r="A29" s="38" t="str">
        <f t="shared" si="0"/>
        <v>ST140x2.5</v>
      </c>
      <c r="B29" s="6">
        <v>140</v>
      </c>
      <c r="C29" s="45">
        <v>2.5</v>
      </c>
    </row>
    <row r="30" spans="1:3" x14ac:dyDescent="0.3">
      <c r="A30" s="38" t="str">
        <f t="shared" si="0"/>
        <v>ST140x2.6</v>
      </c>
      <c r="B30" s="6">
        <v>140</v>
      </c>
      <c r="C30" s="45">
        <v>2.6</v>
      </c>
    </row>
    <row r="31" spans="1:3" x14ac:dyDescent="0.3">
      <c r="A31" s="38" t="str">
        <f t="shared" si="0"/>
        <v>ST140x2.7</v>
      </c>
      <c r="B31" s="6">
        <v>140</v>
      </c>
      <c r="C31" s="45">
        <v>2.7</v>
      </c>
    </row>
    <row r="32" spans="1:3" x14ac:dyDescent="0.3">
      <c r="A32" s="38" t="str">
        <f t="shared" si="0"/>
        <v>ST140x2.8</v>
      </c>
      <c r="B32" s="6">
        <v>140</v>
      </c>
      <c r="C32" s="45">
        <v>2.8</v>
      </c>
    </row>
    <row r="33" spans="1:3" x14ac:dyDescent="0.3">
      <c r="A33" s="38" t="str">
        <f t="shared" si="0"/>
        <v>ST140x2.9</v>
      </c>
      <c r="B33" s="6">
        <v>140</v>
      </c>
      <c r="C33" s="45">
        <v>2.9</v>
      </c>
    </row>
    <row r="34" spans="1:3" x14ac:dyDescent="0.3">
      <c r="A34" s="38" t="str">
        <f t="shared" si="0"/>
        <v>ST140x3.0</v>
      </c>
      <c r="B34" s="6">
        <v>140</v>
      </c>
      <c r="C34" s="45">
        <v>3</v>
      </c>
    </row>
    <row r="35" spans="1:3" x14ac:dyDescent="0.3">
      <c r="A35" s="38" t="str">
        <f t="shared" si="0"/>
        <v>ST140x3.1</v>
      </c>
      <c r="B35" s="6">
        <v>140</v>
      </c>
      <c r="C35" s="45">
        <v>3.1</v>
      </c>
    </row>
    <row r="36" spans="1:3" x14ac:dyDescent="0.3">
      <c r="A36" s="38" t="str">
        <f t="shared" si="0"/>
        <v>ST140x3.2</v>
      </c>
      <c r="B36" s="6">
        <v>140</v>
      </c>
      <c r="C36" s="45">
        <v>3.2</v>
      </c>
    </row>
    <row r="37" spans="1:3" x14ac:dyDescent="0.3">
      <c r="A37" s="38" t="str">
        <f t="shared" si="0"/>
        <v>ST140x3.3</v>
      </c>
      <c r="B37" s="6">
        <v>140</v>
      </c>
      <c r="C37" s="45">
        <v>3.3</v>
      </c>
    </row>
    <row r="38" spans="1:3" x14ac:dyDescent="0.3">
      <c r="A38" s="38" t="str">
        <f t="shared" si="0"/>
        <v>ST140x3.4</v>
      </c>
      <c r="B38" s="6">
        <v>140</v>
      </c>
      <c r="C38" s="45">
        <v>3.4</v>
      </c>
    </row>
    <row r="39" spans="1:3" x14ac:dyDescent="0.3">
      <c r="A39" s="38" t="str">
        <f t="shared" si="0"/>
        <v>ST140x3.5</v>
      </c>
      <c r="B39" s="6">
        <v>140</v>
      </c>
      <c r="C39" s="45">
        <v>3.5</v>
      </c>
    </row>
    <row r="40" spans="1:3" x14ac:dyDescent="0.3">
      <c r="A40" s="38" t="str">
        <f t="shared" si="0"/>
        <v>ST140x3.6</v>
      </c>
      <c r="B40" s="6">
        <v>140</v>
      </c>
      <c r="C40" s="45">
        <v>3.6</v>
      </c>
    </row>
    <row r="41" spans="1:3" x14ac:dyDescent="0.3">
      <c r="A41" s="38" t="str">
        <f t="shared" si="0"/>
        <v>ST140x3.7</v>
      </c>
      <c r="B41" s="6">
        <v>140</v>
      </c>
      <c r="C41" s="45">
        <v>3.7</v>
      </c>
    </row>
    <row r="42" spans="1:3" x14ac:dyDescent="0.3">
      <c r="A42" s="38" t="str">
        <f t="shared" si="0"/>
        <v>ST140x3.8</v>
      </c>
      <c r="B42" s="6">
        <v>140</v>
      </c>
      <c r="C42" s="45">
        <v>3.8</v>
      </c>
    </row>
    <row r="43" spans="1:3" x14ac:dyDescent="0.3">
      <c r="A43" s="38" t="str">
        <f t="shared" si="0"/>
        <v>ST140x3.9</v>
      </c>
      <c r="B43" s="6">
        <v>140</v>
      </c>
      <c r="C43" s="45">
        <v>3.9</v>
      </c>
    </row>
    <row r="44" spans="1:3" x14ac:dyDescent="0.3">
      <c r="A44" s="38" t="str">
        <f t="shared" si="0"/>
        <v>ST140x4.0</v>
      </c>
      <c r="B44" s="6">
        <v>140</v>
      </c>
      <c r="C44" s="45">
        <v>4</v>
      </c>
    </row>
    <row r="45" spans="1:3" x14ac:dyDescent="0.3">
      <c r="A45" s="38" t="str">
        <f t="shared" si="0"/>
        <v>ST140x4.1</v>
      </c>
      <c r="B45" s="6">
        <v>140</v>
      </c>
      <c r="C45" s="45">
        <v>4.0999999999999996</v>
      </c>
    </row>
    <row r="46" spans="1:3" x14ac:dyDescent="0.3">
      <c r="A46" s="38" t="str">
        <f t="shared" si="0"/>
        <v>ST140x4.2</v>
      </c>
      <c r="B46" s="6">
        <v>140</v>
      </c>
      <c r="C46" s="45">
        <v>4.2</v>
      </c>
    </row>
    <row r="47" spans="1:3" x14ac:dyDescent="0.3">
      <c r="A47" s="38" t="str">
        <f t="shared" si="0"/>
        <v>ST140x4.3</v>
      </c>
      <c r="B47" s="6">
        <v>140</v>
      </c>
      <c r="C47" s="45">
        <v>4.3</v>
      </c>
    </row>
    <row r="48" spans="1:3" x14ac:dyDescent="0.3">
      <c r="A48" s="38" t="str">
        <f t="shared" si="0"/>
        <v>ST140x4.4</v>
      </c>
      <c r="B48" s="6">
        <v>140</v>
      </c>
      <c r="C48" s="45">
        <v>4.4000000000000004</v>
      </c>
    </row>
    <row r="49" spans="1:3" x14ac:dyDescent="0.3">
      <c r="A49" s="38" t="str">
        <f t="shared" si="0"/>
        <v>ST140x4.5</v>
      </c>
      <c r="B49" s="6">
        <v>140</v>
      </c>
      <c r="C49" s="45">
        <v>4.5</v>
      </c>
    </row>
    <row r="50" spans="1:3" x14ac:dyDescent="0.3">
      <c r="A50" s="38" t="str">
        <f t="shared" si="0"/>
        <v>ST140x4.6</v>
      </c>
      <c r="B50" s="6">
        <v>140</v>
      </c>
      <c r="C50" s="45">
        <v>4.5999999999999996</v>
      </c>
    </row>
    <row r="51" spans="1:3" x14ac:dyDescent="0.3">
      <c r="A51" s="38" t="str">
        <f t="shared" si="0"/>
        <v>ST140x4.7</v>
      </c>
      <c r="B51" s="6">
        <v>140</v>
      </c>
      <c r="C51" s="45">
        <v>4.7</v>
      </c>
    </row>
    <row r="52" spans="1:3" x14ac:dyDescent="0.3">
      <c r="A52" s="38" t="str">
        <f t="shared" si="0"/>
        <v>ST140x4.8</v>
      </c>
      <c r="B52" s="6">
        <v>140</v>
      </c>
      <c r="C52" s="45">
        <v>4.8</v>
      </c>
    </row>
    <row r="53" spans="1:3" x14ac:dyDescent="0.3">
      <c r="A53" s="38" t="str">
        <f t="shared" si="0"/>
        <v>ST140x4.9</v>
      </c>
      <c r="B53" s="6">
        <v>140</v>
      </c>
      <c r="C53" s="45">
        <v>4.9000000000000004</v>
      </c>
    </row>
    <row r="54" spans="1:3" x14ac:dyDescent="0.3">
      <c r="A54" s="38" t="str">
        <f t="shared" si="0"/>
        <v>ST140x5.0</v>
      </c>
      <c r="B54" s="6">
        <v>140</v>
      </c>
      <c r="C54" s="45">
        <v>5</v>
      </c>
    </row>
  </sheetData>
  <mergeCells count="1">
    <mergeCell ref="A1:C1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991A9-F69E-4C06-9480-283937B983B8}">
  <sheetPr codeName="Sheet2"/>
  <dimension ref="A1:K87"/>
  <sheetViews>
    <sheetView zoomScale="85" zoomScaleNormal="85" workbookViewId="0">
      <selection activeCell="M51" sqref="M51"/>
    </sheetView>
  </sheetViews>
  <sheetFormatPr defaultRowHeight="15.5" x14ac:dyDescent="0.3"/>
  <cols>
    <col min="1" max="1" width="5.08203125" style="6" bestFit="1" customWidth="1"/>
    <col min="2" max="2" width="5.25" style="8" bestFit="1" customWidth="1"/>
    <col min="3" max="3" width="12.6640625" style="8" bestFit="1" customWidth="1"/>
    <col min="4" max="4" width="9.1640625" style="8" bestFit="1" customWidth="1"/>
    <col min="5" max="10" width="7.1640625" style="8" customWidth="1"/>
    <col min="11" max="11" width="17.4140625" style="6" bestFit="1" customWidth="1"/>
    <col min="12" max="16384" width="8.6640625" style="6"/>
  </cols>
  <sheetData>
    <row r="1" spans="1:11" ht="14" customHeight="1" thickTop="1" x14ac:dyDescent="0.3">
      <c r="A1" s="63" t="s">
        <v>240</v>
      </c>
      <c r="B1" s="58" t="s">
        <v>53</v>
      </c>
      <c r="C1" s="59" t="s">
        <v>93</v>
      </c>
      <c r="D1" s="61" t="s">
        <v>91</v>
      </c>
      <c r="E1" s="61"/>
      <c r="F1" s="61"/>
      <c r="G1" s="61"/>
      <c r="H1" s="61"/>
      <c r="I1" s="61"/>
      <c r="J1" s="62"/>
    </row>
    <row r="2" spans="1:11" ht="15" x14ac:dyDescent="0.3">
      <c r="A2" s="64"/>
      <c r="B2" s="55"/>
      <c r="C2" s="60"/>
      <c r="D2" s="7" t="s">
        <v>50</v>
      </c>
      <c r="E2" s="7" t="s">
        <v>94</v>
      </c>
      <c r="F2" s="7" t="s">
        <v>14</v>
      </c>
      <c r="G2" s="7" t="s">
        <v>92</v>
      </c>
      <c r="H2" s="5" t="s">
        <v>20</v>
      </c>
      <c r="I2" s="5" t="s">
        <v>16</v>
      </c>
      <c r="J2" s="20" t="s">
        <v>17</v>
      </c>
      <c r="K2" s="28" t="s">
        <v>248</v>
      </c>
    </row>
    <row r="3" spans="1:11" x14ac:dyDescent="0.3">
      <c r="A3" s="19">
        <v>1</v>
      </c>
      <c r="B3" s="4" t="s">
        <v>49</v>
      </c>
      <c r="C3" s="1" t="s">
        <v>51</v>
      </c>
      <c r="D3" s="1" t="s">
        <v>95</v>
      </c>
      <c r="E3" s="4" t="str">
        <f xml:space="preserve"> IF(OR(LEFT(D4) &lt; "0", LEFT(D4) &gt; "9"), LEFT(D4),"")</f>
        <v/>
      </c>
      <c r="F3" s="1" t="str" cm="1">
        <f t="array" ref="F3" xml:space="preserve"> MySplit(D3, "x", 1)</f>
        <v>100</v>
      </c>
      <c r="G3" s="1" t="str" cm="1">
        <f t="array" ref="G3" xml:space="preserve"> MySplit(D3, "x", 2)</f>
        <v>100</v>
      </c>
      <c r="H3" s="2">
        <v>6</v>
      </c>
      <c r="I3" s="2">
        <v>8</v>
      </c>
      <c r="J3" s="21">
        <v>10</v>
      </c>
      <c r="K3" s="6" t="str">
        <f>B3 &amp; F3 &amp; "x" &amp; G3 &amp; "x" &amp; H3 &amp; "x" &amp; I3 &amp; E3</f>
        <v>HW100x100x6x8</v>
      </c>
    </row>
    <row r="4" spans="1:11" ht="14" customHeight="1" x14ac:dyDescent="0.3">
      <c r="A4" s="19">
        <v>2</v>
      </c>
      <c r="B4" s="4" t="s">
        <v>49</v>
      </c>
      <c r="C4" s="1" t="s">
        <v>21</v>
      </c>
      <c r="D4" s="1" t="s">
        <v>21</v>
      </c>
      <c r="E4" s="4" t="str">
        <f t="shared" ref="E4:E67" si="0" xml:space="preserve"> IF(OR(LEFT(D5) &lt; "0", LEFT(D5) &gt; "9"), LEFT(D5),"")</f>
        <v/>
      </c>
      <c r="F4" s="1" t="str" cm="1">
        <f t="array" ref="F4" xml:space="preserve"> MySplit(D4, "x", 1)</f>
        <v>125</v>
      </c>
      <c r="G4" s="1" t="str" cm="1">
        <f t="array" ref="G4" xml:space="preserve"> MySplit(D4, "x", 2)</f>
        <v>125</v>
      </c>
      <c r="H4" s="1">
        <v>6.5</v>
      </c>
      <c r="I4" s="2">
        <v>9</v>
      </c>
      <c r="J4" s="21">
        <v>10</v>
      </c>
      <c r="K4" s="6" t="str">
        <f t="shared" ref="K4:K67" si="1">B4 &amp; F4 &amp; "x" &amp; G4 &amp; "x" &amp; H4 &amp; "x" &amp; I4 &amp; E4</f>
        <v>HW125x125x6.5x9</v>
      </c>
    </row>
    <row r="5" spans="1:11" ht="14" customHeight="1" x14ac:dyDescent="0.3">
      <c r="A5" s="19">
        <v>3</v>
      </c>
      <c r="B5" s="4" t="s">
        <v>49</v>
      </c>
      <c r="C5" s="1" t="s">
        <v>96</v>
      </c>
      <c r="D5" s="1" t="s">
        <v>96</v>
      </c>
      <c r="E5" s="4" t="str">
        <f t="shared" si="0"/>
        <v/>
      </c>
      <c r="F5" s="1" t="str" cm="1">
        <f t="array" ref="F5" xml:space="preserve"> MySplit(D5, "x", 1)</f>
        <v>150</v>
      </c>
      <c r="G5" s="1" t="str" cm="1">
        <f t="array" ref="G5" xml:space="preserve"> MySplit(D5, "x", 2)</f>
        <v>150</v>
      </c>
      <c r="H5" s="2">
        <v>7</v>
      </c>
      <c r="I5" s="2">
        <v>10</v>
      </c>
      <c r="J5" s="21">
        <v>13</v>
      </c>
      <c r="K5" s="6" t="str">
        <f t="shared" si="1"/>
        <v>HW150x150x7x10</v>
      </c>
    </row>
    <row r="6" spans="1:11" x14ac:dyDescent="0.3">
      <c r="A6" s="19">
        <v>4</v>
      </c>
      <c r="B6" s="4" t="s">
        <v>49</v>
      </c>
      <c r="C6" s="1" t="s">
        <v>22</v>
      </c>
      <c r="D6" s="1" t="s">
        <v>22</v>
      </c>
      <c r="E6" s="4" t="str">
        <f t="shared" si="0"/>
        <v/>
      </c>
      <c r="F6" s="1" t="str" cm="1">
        <f t="array" ref="F6" xml:space="preserve"> MySplit(D6, "x", 1)</f>
        <v>175</v>
      </c>
      <c r="G6" s="1" t="str" cm="1">
        <f t="array" ref="G6" xml:space="preserve"> MySplit(D6, "x", 2)</f>
        <v>175</v>
      </c>
      <c r="H6" s="1">
        <v>7.5</v>
      </c>
      <c r="I6" s="2">
        <v>11</v>
      </c>
      <c r="J6" s="21">
        <v>13</v>
      </c>
      <c r="K6" s="6" t="str">
        <f t="shared" si="1"/>
        <v>HW175x175x7.5x11</v>
      </c>
    </row>
    <row r="7" spans="1:11" x14ac:dyDescent="0.3">
      <c r="A7" s="19">
        <v>5</v>
      </c>
      <c r="B7" s="4" t="s">
        <v>49</v>
      </c>
      <c r="C7" s="57" t="s">
        <v>23</v>
      </c>
      <c r="D7" s="1" t="s">
        <v>23</v>
      </c>
      <c r="E7" s="4" t="str">
        <f t="shared" si="0"/>
        <v>#</v>
      </c>
      <c r="F7" s="1" t="str" cm="1">
        <f t="array" ref="F7" xml:space="preserve"> MySplit(D7, "x", 1)</f>
        <v>200</v>
      </c>
      <c r="G7" s="1" t="str" cm="1">
        <f t="array" ref="G7" xml:space="preserve"> MySplit(D7, "x", 2)</f>
        <v>200</v>
      </c>
      <c r="H7" s="2">
        <v>8</v>
      </c>
      <c r="I7" s="2">
        <v>12</v>
      </c>
      <c r="J7" s="21">
        <v>16</v>
      </c>
      <c r="K7" s="6" t="str">
        <f t="shared" si="1"/>
        <v>HW200x200x8x12#</v>
      </c>
    </row>
    <row r="8" spans="1:11" x14ac:dyDescent="0.3">
      <c r="A8" s="19">
        <v>6</v>
      </c>
      <c r="B8" s="4" t="s">
        <v>49</v>
      </c>
      <c r="C8" s="55"/>
      <c r="D8" s="4" t="s">
        <v>97</v>
      </c>
      <c r="E8" s="4" t="str">
        <f t="shared" si="0"/>
        <v/>
      </c>
      <c r="F8" s="1" t="str" cm="1">
        <f t="array" ref="F8" xml:space="preserve"> MySplit(D8, "x", 1)</f>
        <v>200</v>
      </c>
      <c r="G8" s="1" t="str" cm="1">
        <f t="array" ref="G8" xml:space="preserve"> MySplit(D8, "x", 2)</f>
        <v>204</v>
      </c>
      <c r="H8" s="2">
        <v>12</v>
      </c>
      <c r="I8" s="2">
        <v>12</v>
      </c>
      <c r="J8" s="21">
        <v>16</v>
      </c>
      <c r="K8" s="6" t="str">
        <f t="shared" si="1"/>
        <v>HW200x204x12x12</v>
      </c>
    </row>
    <row r="9" spans="1:11" x14ac:dyDescent="0.3">
      <c r="A9" s="19">
        <v>7</v>
      </c>
      <c r="B9" s="4" t="s">
        <v>49</v>
      </c>
      <c r="C9" s="57" t="s">
        <v>52</v>
      </c>
      <c r="D9" s="4" t="s">
        <v>52</v>
      </c>
      <c r="E9" s="4" t="str">
        <f t="shared" si="0"/>
        <v>#</v>
      </c>
      <c r="F9" s="1" t="str" cm="1">
        <f t="array" ref="F9" xml:space="preserve"> MySplit(D9, "x", 1)</f>
        <v>250</v>
      </c>
      <c r="G9" s="1" t="str" cm="1">
        <f t="array" ref="G9" xml:space="preserve"> MySplit(D9, "x", 2)</f>
        <v>250</v>
      </c>
      <c r="H9" s="2">
        <v>9</v>
      </c>
      <c r="I9" s="2">
        <v>14</v>
      </c>
      <c r="J9" s="21">
        <v>16</v>
      </c>
      <c r="K9" s="6" t="str">
        <f t="shared" si="1"/>
        <v>HW250x250x9x14#</v>
      </c>
    </row>
    <row r="10" spans="1:11" x14ac:dyDescent="0.3">
      <c r="A10" s="19">
        <v>8</v>
      </c>
      <c r="B10" s="4" t="s">
        <v>49</v>
      </c>
      <c r="C10" s="55"/>
      <c r="D10" s="1" t="s">
        <v>98</v>
      </c>
      <c r="E10" s="4" t="str">
        <f t="shared" si="0"/>
        <v>#</v>
      </c>
      <c r="F10" s="1" t="str" cm="1">
        <f t="array" ref="F10" xml:space="preserve"> MySplit(D10, "x", 1)</f>
        <v>250</v>
      </c>
      <c r="G10" s="1" t="str" cm="1">
        <f t="array" ref="G10" xml:space="preserve"> MySplit(D10, "x", 2)</f>
        <v>255</v>
      </c>
      <c r="H10" s="2">
        <v>14</v>
      </c>
      <c r="I10" s="2">
        <v>14</v>
      </c>
      <c r="J10" s="21">
        <v>16</v>
      </c>
      <c r="K10" s="6" t="str">
        <f t="shared" si="1"/>
        <v>HW250x255x14x14#</v>
      </c>
    </row>
    <row r="11" spans="1:11" x14ac:dyDescent="0.3">
      <c r="A11" s="19">
        <v>9</v>
      </c>
      <c r="B11" s="4" t="s">
        <v>49</v>
      </c>
      <c r="C11" s="54" t="s">
        <v>76</v>
      </c>
      <c r="D11" s="4" t="s">
        <v>99</v>
      </c>
      <c r="E11" s="4" t="str">
        <f t="shared" si="0"/>
        <v/>
      </c>
      <c r="F11" s="1" t="str" cm="1">
        <f t="array" ref="F11" xml:space="preserve"> MySplit(D11, "x", 1)</f>
        <v>294</v>
      </c>
      <c r="G11" s="1" t="str" cm="1">
        <f t="array" ref="G11" xml:space="preserve"> MySplit(D11, "x", 2)</f>
        <v>302</v>
      </c>
      <c r="H11" s="2">
        <v>12</v>
      </c>
      <c r="I11" s="2">
        <v>12</v>
      </c>
      <c r="J11" s="21">
        <v>20</v>
      </c>
      <c r="K11" s="6" t="str">
        <f t="shared" si="1"/>
        <v>HW294x302x12x12</v>
      </c>
    </row>
    <row r="12" spans="1:11" x14ac:dyDescent="0.3">
      <c r="A12" s="19">
        <v>10</v>
      </c>
      <c r="B12" s="4" t="s">
        <v>49</v>
      </c>
      <c r="C12" s="55"/>
      <c r="D12" s="4" t="s">
        <v>76</v>
      </c>
      <c r="E12" s="4" t="str">
        <f t="shared" si="0"/>
        <v/>
      </c>
      <c r="F12" s="1" t="str" cm="1">
        <f t="array" ref="F12" xml:space="preserve"> MySplit(D12, "x", 1)</f>
        <v>300</v>
      </c>
      <c r="G12" s="1" t="str" cm="1">
        <f t="array" ref="G12" xml:space="preserve"> MySplit(D12, "x", 2)</f>
        <v>300</v>
      </c>
      <c r="H12" s="2">
        <v>10</v>
      </c>
      <c r="I12" s="2">
        <v>15</v>
      </c>
      <c r="J12" s="21">
        <v>20</v>
      </c>
      <c r="K12" s="6" t="str">
        <f t="shared" si="1"/>
        <v>HW300x300x10x15</v>
      </c>
    </row>
    <row r="13" spans="1:11" ht="14" customHeight="1" x14ac:dyDescent="0.3">
      <c r="A13" s="19">
        <v>11</v>
      </c>
      <c r="B13" s="4" t="s">
        <v>49</v>
      </c>
      <c r="C13" s="55"/>
      <c r="D13" s="4" t="s">
        <v>100</v>
      </c>
      <c r="E13" s="4" t="str">
        <f t="shared" si="0"/>
        <v>#</v>
      </c>
      <c r="F13" s="1" t="str" cm="1">
        <f t="array" ref="F13" xml:space="preserve"> MySplit(D13, "x", 1)</f>
        <v>300</v>
      </c>
      <c r="G13" s="1" t="str" cm="1">
        <f t="array" ref="G13" xml:space="preserve"> MySplit(D13, "x", 2)</f>
        <v>305</v>
      </c>
      <c r="H13" s="2">
        <v>15</v>
      </c>
      <c r="I13" s="2">
        <v>15</v>
      </c>
      <c r="J13" s="21">
        <v>20</v>
      </c>
      <c r="K13" s="6" t="str">
        <f t="shared" si="1"/>
        <v>HW300x305x15x15#</v>
      </c>
    </row>
    <row r="14" spans="1:11" x14ac:dyDescent="0.3">
      <c r="A14" s="19">
        <v>12</v>
      </c>
      <c r="B14" s="4" t="s">
        <v>49</v>
      </c>
      <c r="C14" s="57" t="s">
        <v>54</v>
      </c>
      <c r="D14" s="4" t="s">
        <v>101</v>
      </c>
      <c r="E14" s="4" t="str">
        <f t="shared" si="0"/>
        <v/>
      </c>
      <c r="F14" s="1" t="str" cm="1">
        <f t="array" ref="F14" xml:space="preserve"> MySplit(D14, "x", 1)</f>
        <v>344</v>
      </c>
      <c r="G14" s="1" t="str" cm="1">
        <f t="array" ref="G14" xml:space="preserve"> MySplit(D14, "x", 2)</f>
        <v>348</v>
      </c>
      <c r="H14" s="2">
        <v>10</v>
      </c>
      <c r="I14" s="2">
        <v>16</v>
      </c>
      <c r="J14" s="21">
        <v>20</v>
      </c>
      <c r="K14" s="6" t="str">
        <f t="shared" si="1"/>
        <v>HW344x348x10x16</v>
      </c>
    </row>
    <row r="15" spans="1:11" ht="14" customHeight="1" x14ac:dyDescent="0.3">
      <c r="A15" s="19">
        <v>13</v>
      </c>
      <c r="B15" s="4" t="s">
        <v>49</v>
      </c>
      <c r="C15" s="55"/>
      <c r="D15" s="4" t="s">
        <v>54</v>
      </c>
      <c r="E15" s="4" t="str">
        <f t="shared" si="0"/>
        <v>#</v>
      </c>
      <c r="F15" s="1" t="str" cm="1">
        <f t="array" ref="F15" xml:space="preserve"> MySplit(D15, "x", 1)</f>
        <v>350</v>
      </c>
      <c r="G15" s="1" t="str" cm="1">
        <f t="array" ref="G15" xml:space="preserve"> MySplit(D15, "x", 2)</f>
        <v>350</v>
      </c>
      <c r="H15" s="2">
        <v>12</v>
      </c>
      <c r="I15" s="2">
        <v>19</v>
      </c>
      <c r="J15" s="21">
        <v>20</v>
      </c>
      <c r="K15" s="6" t="str">
        <f t="shared" si="1"/>
        <v>HW350x350x12x19#</v>
      </c>
    </row>
    <row r="16" spans="1:11" x14ac:dyDescent="0.3">
      <c r="A16" s="19">
        <v>14</v>
      </c>
      <c r="B16" s="4" t="s">
        <v>49</v>
      </c>
      <c r="C16" s="55" t="s">
        <v>24</v>
      </c>
      <c r="D16" s="1" t="s">
        <v>25</v>
      </c>
      <c r="E16" s="4" t="str">
        <f t="shared" si="0"/>
        <v>#</v>
      </c>
      <c r="F16" s="1" t="str" cm="1">
        <f t="array" ref="F16" xml:space="preserve"> MySplit(D16, "x", 1)</f>
        <v>388</v>
      </c>
      <c r="G16" s="1" t="str" cm="1">
        <f t="array" ref="G16" xml:space="preserve"> MySplit(D16, "x", 2)</f>
        <v>402</v>
      </c>
      <c r="H16" s="2">
        <v>15</v>
      </c>
      <c r="I16" s="2">
        <v>15</v>
      </c>
      <c r="J16" s="21">
        <v>24</v>
      </c>
      <c r="K16" s="6" t="str">
        <f t="shared" si="1"/>
        <v>HW388x402x15x15#</v>
      </c>
    </row>
    <row r="17" spans="1:11" ht="14" customHeight="1" x14ac:dyDescent="0.3">
      <c r="A17" s="19">
        <v>15</v>
      </c>
      <c r="B17" s="4" t="s">
        <v>49</v>
      </c>
      <c r="C17" s="55"/>
      <c r="D17" s="1" t="s">
        <v>26</v>
      </c>
      <c r="E17" s="4" t="str">
        <f t="shared" si="0"/>
        <v/>
      </c>
      <c r="F17" s="1" t="str" cm="1">
        <f t="array" ref="F17" xml:space="preserve"> MySplit(D17, "x", 1)</f>
        <v>394</v>
      </c>
      <c r="G17" s="1" t="str" cm="1">
        <f t="array" ref="G17" xml:space="preserve"> MySplit(D17, "x", 2)</f>
        <v>398</v>
      </c>
      <c r="H17" s="2">
        <v>11</v>
      </c>
      <c r="I17" s="2">
        <v>18</v>
      </c>
      <c r="J17" s="21">
        <v>24</v>
      </c>
      <c r="K17" s="6" t="str">
        <f t="shared" si="1"/>
        <v>HW394x398x11x18</v>
      </c>
    </row>
    <row r="18" spans="1:11" x14ac:dyDescent="0.3">
      <c r="A18" s="19">
        <v>16</v>
      </c>
      <c r="B18" s="4" t="s">
        <v>49</v>
      </c>
      <c r="C18" s="55"/>
      <c r="D18" s="1" t="s">
        <v>24</v>
      </c>
      <c r="E18" s="4" t="str">
        <f t="shared" si="0"/>
        <v>#</v>
      </c>
      <c r="F18" s="1" t="str" cm="1">
        <f t="array" ref="F18" xml:space="preserve"> MySplit(D18, "x", 1)</f>
        <v>400</v>
      </c>
      <c r="G18" s="1" t="str" cm="1">
        <f t="array" ref="G18" xml:space="preserve"> MySplit(D18, "x", 2)</f>
        <v>400</v>
      </c>
      <c r="H18" s="2">
        <v>13</v>
      </c>
      <c r="I18" s="2">
        <v>21</v>
      </c>
      <c r="J18" s="21">
        <v>24</v>
      </c>
      <c r="K18" s="6" t="str">
        <f t="shared" si="1"/>
        <v>HW400x400x13x21#</v>
      </c>
    </row>
    <row r="19" spans="1:11" x14ac:dyDescent="0.3">
      <c r="A19" s="19">
        <v>17</v>
      </c>
      <c r="B19" s="4" t="s">
        <v>49</v>
      </c>
      <c r="C19" s="55"/>
      <c r="D19" s="1" t="s">
        <v>27</v>
      </c>
      <c r="E19" s="4" t="str">
        <f t="shared" si="0"/>
        <v>#</v>
      </c>
      <c r="F19" s="1" t="str" cm="1">
        <f t="array" ref="F19" xml:space="preserve"> MySplit(D19, "x", 1)</f>
        <v>400</v>
      </c>
      <c r="G19" s="1" t="str" cm="1">
        <f t="array" ref="G19" xml:space="preserve"> MySplit(D19, "x", 2)</f>
        <v>408</v>
      </c>
      <c r="H19" s="2">
        <v>21</v>
      </c>
      <c r="I19" s="2">
        <v>21</v>
      </c>
      <c r="J19" s="21">
        <v>24</v>
      </c>
      <c r="K19" s="6" t="str">
        <f t="shared" si="1"/>
        <v>HW400x408x21x21#</v>
      </c>
    </row>
    <row r="20" spans="1:11" x14ac:dyDescent="0.3">
      <c r="A20" s="19">
        <v>18</v>
      </c>
      <c r="B20" s="4" t="s">
        <v>49</v>
      </c>
      <c r="C20" s="55"/>
      <c r="D20" s="4" t="s">
        <v>102</v>
      </c>
      <c r="E20" s="4" t="str">
        <f t="shared" si="0"/>
        <v>#</v>
      </c>
      <c r="F20" s="1" t="str" cm="1">
        <f t="array" ref="F20" xml:space="preserve"> MySplit(D20, "x", 1)</f>
        <v>414</v>
      </c>
      <c r="G20" s="1" t="str" cm="1">
        <f t="array" ref="G20" xml:space="preserve"> MySplit(D20, "x", 2)</f>
        <v>405</v>
      </c>
      <c r="H20" s="2">
        <v>18</v>
      </c>
      <c r="I20" s="2">
        <v>28</v>
      </c>
      <c r="J20" s="21">
        <v>24</v>
      </c>
      <c r="K20" s="6" t="str">
        <f t="shared" si="1"/>
        <v>HW414x405x18x28#</v>
      </c>
    </row>
    <row r="21" spans="1:11" x14ac:dyDescent="0.3">
      <c r="A21" s="19">
        <v>19</v>
      </c>
      <c r="B21" s="4" t="s">
        <v>49</v>
      </c>
      <c r="C21" s="55"/>
      <c r="D21" s="4" t="s">
        <v>103</v>
      </c>
      <c r="E21" s="4" t="str">
        <f t="shared" si="0"/>
        <v>*</v>
      </c>
      <c r="F21" s="1" t="str" cm="1">
        <f t="array" ref="F21" xml:space="preserve"> MySplit(D21, "x", 1)</f>
        <v>428</v>
      </c>
      <c r="G21" s="1" t="str" cm="1">
        <f t="array" ref="G21" xml:space="preserve"> MySplit(D21, "x", 2)</f>
        <v>407</v>
      </c>
      <c r="H21" s="2">
        <v>20</v>
      </c>
      <c r="I21" s="2">
        <v>35</v>
      </c>
      <c r="J21" s="21">
        <v>24</v>
      </c>
      <c r="K21" s="6" t="str">
        <f t="shared" si="1"/>
        <v>HW428x407x20x35*</v>
      </c>
    </row>
    <row r="22" spans="1:11" x14ac:dyDescent="0.3">
      <c r="A22" s="19">
        <v>20</v>
      </c>
      <c r="B22" s="4" t="s">
        <v>49</v>
      </c>
      <c r="C22" s="55"/>
      <c r="D22" s="4" t="s">
        <v>104</v>
      </c>
      <c r="E22" s="4" t="str">
        <f t="shared" si="0"/>
        <v>*</v>
      </c>
      <c r="F22" s="1" t="str" cm="1">
        <f t="array" ref="F22" xml:space="preserve"> MySplit(D22, "x", 1)</f>
        <v>458</v>
      </c>
      <c r="G22" s="1" t="str" cm="1">
        <f t="array" ref="G22" xml:space="preserve"> MySplit(D22, "x", 2)</f>
        <v>417</v>
      </c>
      <c r="H22" s="2">
        <v>30</v>
      </c>
      <c r="I22" s="1">
        <v>50</v>
      </c>
      <c r="J22" s="21">
        <v>24</v>
      </c>
      <c r="K22" s="6" t="str">
        <f t="shared" si="1"/>
        <v>HW458x417x30x50*</v>
      </c>
    </row>
    <row r="23" spans="1:11" x14ac:dyDescent="0.3">
      <c r="A23" s="19">
        <v>21</v>
      </c>
      <c r="B23" s="4" t="s">
        <v>49</v>
      </c>
      <c r="C23" s="55"/>
      <c r="D23" s="4" t="s">
        <v>105</v>
      </c>
      <c r="E23" s="4" t="str">
        <f t="shared" si="0"/>
        <v/>
      </c>
      <c r="F23" s="1" t="str" cm="1">
        <f t="array" ref="F23" xml:space="preserve"> MySplit(D23, "x", 1)</f>
        <v>498</v>
      </c>
      <c r="G23" s="1" t="str" cm="1">
        <f t="array" ref="G23" xml:space="preserve"> MySplit(D23, "x", 2)</f>
        <v>432</v>
      </c>
      <c r="H23" s="2">
        <v>45</v>
      </c>
      <c r="I23" s="2">
        <v>70</v>
      </c>
      <c r="J23" s="21">
        <v>24</v>
      </c>
      <c r="K23" s="6" t="str">
        <f t="shared" si="1"/>
        <v>HW498x432x45x70</v>
      </c>
    </row>
    <row r="24" spans="1:11" ht="14" customHeight="1" x14ac:dyDescent="0.3">
      <c r="A24" s="19">
        <v>22</v>
      </c>
      <c r="B24" s="1" t="s">
        <v>15</v>
      </c>
      <c r="C24" s="4" t="s">
        <v>56</v>
      </c>
      <c r="D24" s="4" t="s">
        <v>70</v>
      </c>
      <c r="E24" s="4" t="str">
        <f t="shared" si="0"/>
        <v/>
      </c>
      <c r="F24" s="1" t="str" cm="1">
        <f t="array" ref="F24" xml:space="preserve"> MySplit(D24, "x", 1)</f>
        <v>148</v>
      </c>
      <c r="G24" s="1" t="str" cm="1">
        <f t="array" ref="G24" xml:space="preserve"> MySplit(D24, "x", 2)</f>
        <v>100</v>
      </c>
      <c r="H24" s="2">
        <v>6</v>
      </c>
      <c r="I24" s="2">
        <v>9</v>
      </c>
      <c r="J24" s="21">
        <v>13</v>
      </c>
      <c r="K24" s="6" t="str">
        <f t="shared" si="1"/>
        <v>HM148x100x6x9</v>
      </c>
    </row>
    <row r="25" spans="1:11" x14ac:dyDescent="0.3">
      <c r="A25" s="19">
        <v>23</v>
      </c>
      <c r="B25" s="1" t="s">
        <v>15</v>
      </c>
      <c r="C25" s="4" t="s">
        <v>106</v>
      </c>
      <c r="D25" s="1" t="s">
        <v>107</v>
      </c>
      <c r="E25" s="4" t="str">
        <f t="shared" si="0"/>
        <v/>
      </c>
      <c r="F25" s="1" t="str" cm="1">
        <f t="array" ref="F25" xml:space="preserve"> MySplit(D25, "x", 1)</f>
        <v>194</v>
      </c>
      <c r="G25" s="1" t="str" cm="1">
        <f t="array" ref="G25" xml:space="preserve"> MySplit(D25, "x", 2)</f>
        <v>150</v>
      </c>
      <c r="H25" s="2">
        <v>6</v>
      </c>
      <c r="I25" s="2">
        <v>9</v>
      </c>
      <c r="J25" s="21">
        <v>16</v>
      </c>
      <c r="K25" s="6" t="str">
        <f t="shared" si="1"/>
        <v>HM194x150x6x9</v>
      </c>
    </row>
    <row r="26" spans="1:11" x14ac:dyDescent="0.3">
      <c r="A26" s="19">
        <v>24</v>
      </c>
      <c r="B26" s="1" t="s">
        <v>15</v>
      </c>
      <c r="C26" s="1" t="s">
        <v>28</v>
      </c>
      <c r="D26" s="1" t="s">
        <v>29</v>
      </c>
      <c r="E26" s="4" t="str">
        <f t="shared" si="0"/>
        <v/>
      </c>
      <c r="F26" s="1" t="str" cm="1">
        <f t="array" ref="F26" xml:space="preserve"> MySplit(D26, "x", 1)</f>
        <v>244</v>
      </c>
      <c r="G26" s="1" t="str" cm="1">
        <f t="array" ref="G26" xml:space="preserve"> MySplit(D26, "x", 2)</f>
        <v>175</v>
      </c>
      <c r="H26" s="2">
        <v>7</v>
      </c>
      <c r="I26" s="2">
        <v>11</v>
      </c>
      <c r="J26" s="21">
        <v>16</v>
      </c>
      <c r="K26" s="6" t="str">
        <f t="shared" si="1"/>
        <v>HM244x175x7x11</v>
      </c>
    </row>
    <row r="27" spans="1:11" x14ac:dyDescent="0.3">
      <c r="A27" s="19">
        <v>25</v>
      </c>
      <c r="B27" s="1" t="s">
        <v>15</v>
      </c>
      <c r="C27" s="4" t="s">
        <v>57</v>
      </c>
      <c r="D27" s="4" t="s">
        <v>78</v>
      </c>
      <c r="E27" s="4" t="str">
        <f t="shared" si="0"/>
        <v/>
      </c>
      <c r="F27" s="1" t="str" cm="1">
        <f t="array" ref="F27" xml:space="preserve"> MySplit(D27, "x", 1)</f>
        <v>294</v>
      </c>
      <c r="G27" s="1" t="str" cm="1">
        <f t="array" ref="G27" xml:space="preserve"> MySplit(D27, "x", 2)</f>
        <v>200</v>
      </c>
      <c r="H27" s="2">
        <v>8</v>
      </c>
      <c r="I27" s="2">
        <v>12</v>
      </c>
      <c r="J27" s="21">
        <v>20</v>
      </c>
      <c r="K27" s="6" t="str">
        <f t="shared" si="1"/>
        <v>HM294x200x8x12</v>
      </c>
    </row>
    <row r="28" spans="1:11" x14ac:dyDescent="0.3">
      <c r="A28" s="19">
        <v>26</v>
      </c>
      <c r="B28" s="1" t="s">
        <v>15</v>
      </c>
      <c r="C28" s="4" t="s">
        <v>58</v>
      </c>
      <c r="D28" s="1" t="s">
        <v>108</v>
      </c>
      <c r="E28" s="4" t="str">
        <f t="shared" si="0"/>
        <v/>
      </c>
      <c r="F28" s="1" t="str" cm="1">
        <f t="array" ref="F28" xml:space="preserve"> MySplit(D28, "x", 1)</f>
        <v>340</v>
      </c>
      <c r="G28" s="1" t="str" cm="1">
        <f t="array" ref="G28" xml:space="preserve"> MySplit(D28, "x", 2)</f>
        <v>250</v>
      </c>
      <c r="H28" s="2">
        <v>9</v>
      </c>
      <c r="I28" s="2">
        <v>14</v>
      </c>
      <c r="J28" s="21">
        <v>20</v>
      </c>
      <c r="K28" s="6" t="str">
        <f t="shared" si="1"/>
        <v>HM340x250x9x14</v>
      </c>
    </row>
    <row r="29" spans="1:11" x14ac:dyDescent="0.3">
      <c r="A29" s="19">
        <v>27</v>
      </c>
      <c r="B29" s="1" t="s">
        <v>15</v>
      </c>
      <c r="C29" s="4" t="s">
        <v>59</v>
      </c>
      <c r="D29" s="4" t="s">
        <v>79</v>
      </c>
      <c r="E29" s="4" t="str">
        <f t="shared" si="0"/>
        <v/>
      </c>
      <c r="F29" s="1" t="str" cm="1">
        <f t="array" ref="F29" xml:space="preserve"> MySplit(D29, "x", 1)</f>
        <v>390</v>
      </c>
      <c r="G29" s="1" t="str" cm="1">
        <f t="array" ref="G29" xml:space="preserve"> MySplit(D29, "x", 2)</f>
        <v>300</v>
      </c>
      <c r="H29" s="2">
        <v>10</v>
      </c>
      <c r="I29" s="2">
        <v>16</v>
      </c>
      <c r="J29" s="21">
        <v>24</v>
      </c>
      <c r="K29" s="6" t="str">
        <f t="shared" si="1"/>
        <v>HM390x300x10x16</v>
      </c>
    </row>
    <row r="30" spans="1:11" x14ac:dyDescent="0.3">
      <c r="A30" s="19">
        <v>28</v>
      </c>
      <c r="B30" s="1" t="s">
        <v>15</v>
      </c>
      <c r="C30" s="4" t="s">
        <v>60</v>
      </c>
      <c r="D30" s="4" t="s">
        <v>80</v>
      </c>
      <c r="E30" s="4" t="str">
        <f t="shared" si="0"/>
        <v/>
      </c>
      <c r="F30" s="1" t="str" cm="1">
        <f t="array" ref="F30" xml:space="preserve"> MySplit(D30, "x", 1)</f>
        <v>440</v>
      </c>
      <c r="G30" s="1" t="str" cm="1">
        <f t="array" ref="G30" xml:space="preserve"> MySplit(D30, "x", 2)</f>
        <v>300</v>
      </c>
      <c r="H30" s="1">
        <v>11</v>
      </c>
      <c r="I30" s="2">
        <v>18</v>
      </c>
      <c r="J30" s="21">
        <v>24</v>
      </c>
      <c r="K30" s="6" t="str">
        <f t="shared" si="1"/>
        <v>HM440x300x11x18</v>
      </c>
    </row>
    <row r="31" spans="1:11" x14ac:dyDescent="0.3">
      <c r="A31" s="19">
        <v>29</v>
      </c>
      <c r="B31" s="1" t="s">
        <v>15</v>
      </c>
      <c r="C31" s="54" t="s">
        <v>109</v>
      </c>
      <c r="D31" s="4" t="s">
        <v>81</v>
      </c>
      <c r="E31" s="4" t="str">
        <f t="shared" si="0"/>
        <v/>
      </c>
      <c r="F31" s="1" t="str" cm="1">
        <f t="array" ref="F31" xml:space="preserve"> MySplit(D31, "x", 1)</f>
        <v>482</v>
      </c>
      <c r="G31" s="1" t="str" cm="1">
        <f t="array" ref="G31" xml:space="preserve"> MySplit(D31, "x", 2)</f>
        <v>300</v>
      </c>
      <c r="H31" s="2">
        <v>11</v>
      </c>
      <c r="I31" s="2">
        <v>15</v>
      </c>
      <c r="J31" s="21">
        <v>28</v>
      </c>
      <c r="K31" s="6" t="str">
        <f t="shared" si="1"/>
        <v>HM482x300x11x15</v>
      </c>
    </row>
    <row r="32" spans="1:11" x14ac:dyDescent="0.3">
      <c r="A32" s="19">
        <v>30</v>
      </c>
      <c r="B32" s="1" t="s">
        <v>15</v>
      </c>
      <c r="C32" s="55"/>
      <c r="D32" s="4" t="s">
        <v>82</v>
      </c>
      <c r="E32" s="4" t="str">
        <f t="shared" si="0"/>
        <v/>
      </c>
      <c r="F32" s="1" t="str" cm="1">
        <f t="array" ref="F32" xml:space="preserve"> MySplit(D32, "x", 1)</f>
        <v>488</v>
      </c>
      <c r="G32" s="1" t="str" cm="1">
        <f t="array" ref="G32" xml:space="preserve"> MySplit(D32, "x", 2)</f>
        <v>300</v>
      </c>
      <c r="H32" s="2">
        <v>11</v>
      </c>
      <c r="I32" s="2">
        <v>18</v>
      </c>
      <c r="J32" s="21">
        <v>28</v>
      </c>
      <c r="K32" s="6" t="str">
        <f t="shared" si="1"/>
        <v>HM488x300x11x18</v>
      </c>
    </row>
    <row r="33" spans="1:11" x14ac:dyDescent="0.3">
      <c r="A33" s="19">
        <v>31</v>
      </c>
      <c r="B33" s="1" t="s">
        <v>15</v>
      </c>
      <c r="C33" s="54" t="s">
        <v>61</v>
      </c>
      <c r="D33" s="4" t="s">
        <v>83</v>
      </c>
      <c r="E33" s="4" t="str">
        <f t="shared" si="0"/>
        <v/>
      </c>
      <c r="F33" s="1" t="str" cm="1">
        <f t="array" ref="F33" xml:space="preserve"> MySplit(D33, "x", 1)</f>
        <v>582</v>
      </c>
      <c r="G33" s="1" t="str" cm="1">
        <f t="array" ref="G33" xml:space="preserve"> MySplit(D33, "x", 2)</f>
        <v>300</v>
      </c>
      <c r="H33" s="2">
        <v>12</v>
      </c>
      <c r="I33" s="2">
        <v>17</v>
      </c>
      <c r="J33" s="21">
        <v>28</v>
      </c>
      <c r="K33" s="6" t="str">
        <f t="shared" si="1"/>
        <v>HM582x300x12x17</v>
      </c>
    </row>
    <row r="34" spans="1:11" x14ac:dyDescent="0.3">
      <c r="A34" s="19">
        <v>32</v>
      </c>
      <c r="B34" s="1" t="s">
        <v>15</v>
      </c>
      <c r="C34" s="55"/>
      <c r="D34" s="4" t="s">
        <v>84</v>
      </c>
      <c r="E34" s="4" t="str">
        <f t="shared" si="0"/>
        <v>#</v>
      </c>
      <c r="F34" s="1" t="str" cm="1">
        <f t="array" ref="F34" xml:space="preserve"> MySplit(D34, "x", 1)</f>
        <v>588</v>
      </c>
      <c r="G34" s="1" t="str" cm="1">
        <f t="array" ref="G34" xml:space="preserve"> MySplit(D34, "x", 2)</f>
        <v>300</v>
      </c>
      <c r="H34" s="2">
        <v>12</v>
      </c>
      <c r="I34" s="2">
        <v>20</v>
      </c>
      <c r="J34" s="21">
        <v>28</v>
      </c>
      <c r="K34" s="6" t="str">
        <f t="shared" si="1"/>
        <v>HM588x300x12x20#</v>
      </c>
    </row>
    <row r="35" spans="1:11" x14ac:dyDescent="0.3">
      <c r="A35" s="19">
        <v>33</v>
      </c>
      <c r="B35" s="1" t="s">
        <v>15</v>
      </c>
      <c r="C35" s="55"/>
      <c r="D35" s="1" t="s">
        <v>30</v>
      </c>
      <c r="E35" s="4" t="str">
        <f t="shared" si="0"/>
        <v/>
      </c>
      <c r="F35" s="1" t="str" cm="1">
        <f t="array" ref="F35" xml:space="preserve"> MySplit(D35, "x", 1)</f>
        <v>594</v>
      </c>
      <c r="G35" s="1" t="str" cm="1">
        <f t="array" ref="G35" xml:space="preserve"> MySplit(D35, "x", 2)</f>
        <v>302</v>
      </c>
      <c r="H35" s="2">
        <v>14</v>
      </c>
      <c r="I35" s="2">
        <v>23</v>
      </c>
      <c r="J35" s="21">
        <v>28</v>
      </c>
      <c r="K35" s="6" t="str">
        <f t="shared" si="1"/>
        <v>HM594x302x14x23</v>
      </c>
    </row>
    <row r="36" spans="1:11" x14ac:dyDescent="0.3">
      <c r="A36" s="19">
        <v>34</v>
      </c>
      <c r="B36" s="1" t="s">
        <v>18</v>
      </c>
      <c r="C36" s="4" t="s">
        <v>62</v>
      </c>
      <c r="D36" s="1" t="s">
        <v>110</v>
      </c>
      <c r="E36" s="4" t="str">
        <f t="shared" si="0"/>
        <v/>
      </c>
      <c r="F36" s="1" t="str" cm="1">
        <f t="array" ref="F36" xml:space="preserve"> MySplit(D36, "x", 1)</f>
        <v>100</v>
      </c>
      <c r="G36" s="1" t="str" cm="1">
        <f t="array" ref="G36" xml:space="preserve"> MySplit(D36, "x", 2)</f>
        <v>50</v>
      </c>
      <c r="H36" s="2">
        <v>5</v>
      </c>
      <c r="I36" s="2">
        <v>7</v>
      </c>
      <c r="J36" s="21">
        <v>10</v>
      </c>
      <c r="K36" s="6" t="str">
        <f t="shared" si="1"/>
        <v>HN100x50x5x7</v>
      </c>
    </row>
    <row r="37" spans="1:11" x14ac:dyDescent="0.3">
      <c r="A37" s="19">
        <v>35</v>
      </c>
      <c r="B37" s="1" t="s">
        <v>18</v>
      </c>
      <c r="C37" s="4" t="s">
        <v>63</v>
      </c>
      <c r="D37" s="4" t="s">
        <v>63</v>
      </c>
      <c r="E37" s="4" t="str">
        <f t="shared" si="0"/>
        <v/>
      </c>
      <c r="F37" s="1" t="str" cm="1">
        <f t="array" ref="F37" xml:space="preserve"> MySplit(D37, "x", 1)</f>
        <v>125</v>
      </c>
      <c r="G37" s="1" t="str" cm="1">
        <f t="array" ref="G37" xml:space="preserve"> MySplit(D37, "x", 2)</f>
        <v>60</v>
      </c>
      <c r="H37" s="2">
        <v>6</v>
      </c>
      <c r="I37" s="2">
        <v>8</v>
      </c>
      <c r="J37" s="21">
        <v>10</v>
      </c>
      <c r="K37" s="6" t="str">
        <f t="shared" si="1"/>
        <v>HN125x60x6x8</v>
      </c>
    </row>
    <row r="38" spans="1:11" x14ac:dyDescent="0.3">
      <c r="A38" s="19">
        <v>36</v>
      </c>
      <c r="B38" s="1" t="s">
        <v>18</v>
      </c>
      <c r="C38" s="4" t="s">
        <v>64</v>
      </c>
      <c r="D38" s="4" t="s">
        <v>64</v>
      </c>
      <c r="E38" s="4" t="str">
        <f t="shared" si="0"/>
        <v/>
      </c>
      <c r="F38" s="1" t="str" cm="1">
        <f t="array" ref="F38" xml:space="preserve"> MySplit(D38, "x", 1)</f>
        <v>150</v>
      </c>
      <c r="G38" s="1" t="str" cm="1">
        <f t="array" ref="G38" xml:space="preserve"> MySplit(D38, "x", 2)</f>
        <v>75</v>
      </c>
      <c r="H38" s="2">
        <v>5</v>
      </c>
      <c r="I38" s="2">
        <v>7</v>
      </c>
      <c r="J38" s="21">
        <v>10</v>
      </c>
      <c r="K38" s="6" t="str">
        <f t="shared" si="1"/>
        <v>HN150x75x5x7</v>
      </c>
    </row>
    <row r="39" spans="1:11" x14ac:dyDescent="0.3">
      <c r="A39" s="19">
        <v>37</v>
      </c>
      <c r="B39" s="1" t="s">
        <v>18</v>
      </c>
      <c r="C39" s="4" t="s">
        <v>65</v>
      </c>
      <c r="D39" s="1" t="s">
        <v>111</v>
      </c>
      <c r="E39" s="4" t="str">
        <f t="shared" si="0"/>
        <v/>
      </c>
      <c r="F39" s="1" t="str" cm="1">
        <f t="array" ref="F39" xml:space="preserve"> MySplit(D39, "x", 1)</f>
        <v>175</v>
      </c>
      <c r="G39" s="1" t="str" cm="1">
        <f t="array" ref="G39" xml:space="preserve"> MySplit(D39, "x", 2)</f>
        <v>90</v>
      </c>
      <c r="H39" s="2">
        <v>5</v>
      </c>
      <c r="I39" s="2">
        <v>8</v>
      </c>
      <c r="J39" s="21">
        <v>10</v>
      </c>
      <c r="K39" s="6" t="str">
        <f t="shared" si="1"/>
        <v>HN175x90x5x8</v>
      </c>
    </row>
    <row r="40" spans="1:11" x14ac:dyDescent="0.3">
      <c r="A40" s="19">
        <v>38</v>
      </c>
      <c r="B40" s="1" t="s">
        <v>18</v>
      </c>
      <c r="C40" s="54" t="s">
        <v>112</v>
      </c>
      <c r="D40" s="4" t="s">
        <v>85</v>
      </c>
      <c r="E40" s="4" t="str">
        <f t="shared" si="0"/>
        <v/>
      </c>
      <c r="F40" s="1" t="str" cm="1">
        <f t="array" ref="F40" xml:space="preserve"> MySplit(D40, "x", 1)</f>
        <v>198</v>
      </c>
      <c r="G40" s="1" t="str" cm="1">
        <f t="array" ref="G40" xml:space="preserve"> MySplit(D40, "x", 2)</f>
        <v>99</v>
      </c>
      <c r="H40" s="1">
        <v>4.5</v>
      </c>
      <c r="I40" s="2">
        <v>7</v>
      </c>
      <c r="J40" s="21">
        <v>13</v>
      </c>
      <c r="K40" s="6" t="str">
        <f t="shared" si="1"/>
        <v>HN198x99x4.5x7</v>
      </c>
    </row>
    <row r="41" spans="1:11" x14ac:dyDescent="0.3">
      <c r="A41" s="19">
        <v>39</v>
      </c>
      <c r="B41" s="1" t="s">
        <v>18</v>
      </c>
      <c r="C41" s="55"/>
      <c r="D41" s="1" t="s">
        <v>31</v>
      </c>
      <c r="E41" s="4" t="str">
        <f t="shared" si="0"/>
        <v/>
      </c>
      <c r="F41" s="1" t="str" cm="1">
        <f t="array" ref="F41" xml:space="preserve"> MySplit(D41, "x", 1)</f>
        <v>200</v>
      </c>
      <c r="G41" s="1" t="str" cm="1">
        <f t="array" ref="G41" xml:space="preserve"> MySplit(D41, "x", 2)</f>
        <v>100</v>
      </c>
      <c r="H41" s="1">
        <v>5.5</v>
      </c>
      <c r="I41" s="2">
        <v>8</v>
      </c>
      <c r="J41" s="21">
        <v>13</v>
      </c>
      <c r="K41" s="6" t="str">
        <f t="shared" si="1"/>
        <v>HN200x100x5.5x8</v>
      </c>
    </row>
    <row r="42" spans="1:11" x14ac:dyDescent="0.3">
      <c r="A42" s="19">
        <v>40</v>
      </c>
      <c r="B42" s="1" t="s">
        <v>18</v>
      </c>
      <c r="C42" s="57" t="s">
        <v>66</v>
      </c>
      <c r="D42" s="1" t="s">
        <v>32</v>
      </c>
      <c r="E42" s="4" t="str">
        <f t="shared" si="0"/>
        <v/>
      </c>
      <c r="F42" s="1" t="str" cm="1">
        <f t="array" ref="F42" xml:space="preserve"> MySplit(D42, "x", 1)</f>
        <v>248</v>
      </c>
      <c r="G42" s="1" t="str" cm="1">
        <f t="array" ref="G42" xml:space="preserve"> MySplit(D42, "x", 2)</f>
        <v>124</v>
      </c>
      <c r="H42" s="2">
        <v>5</v>
      </c>
      <c r="I42" s="2">
        <v>8</v>
      </c>
      <c r="J42" s="21">
        <v>13</v>
      </c>
      <c r="K42" s="6" t="str">
        <f t="shared" si="1"/>
        <v>HN248x124x5x8</v>
      </c>
    </row>
    <row r="43" spans="1:11" x14ac:dyDescent="0.3">
      <c r="A43" s="19">
        <v>41</v>
      </c>
      <c r="B43" s="1" t="s">
        <v>18</v>
      </c>
      <c r="C43" s="55"/>
      <c r="D43" s="1" t="s">
        <v>113</v>
      </c>
      <c r="E43" s="4" t="str">
        <f t="shared" si="0"/>
        <v/>
      </c>
      <c r="F43" s="1" t="str" cm="1">
        <f t="array" ref="F43" xml:space="preserve"> MySplit(D43, "x", 1)</f>
        <v>250</v>
      </c>
      <c r="G43" s="1" t="str" cm="1">
        <f t="array" ref="G43" xml:space="preserve"> MySplit(D43, "x", 2)</f>
        <v>125</v>
      </c>
      <c r="H43" s="2">
        <v>6</v>
      </c>
      <c r="I43" s="2">
        <v>9</v>
      </c>
      <c r="J43" s="21">
        <v>13</v>
      </c>
      <c r="K43" s="6" t="str">
        <f t="shared" si="1"/>
        <v>HN250x125x6x9</v>
      </c>
    </row>
    <row r="44" spans="1:11" x14ac:dyDescent="0.3">
      <c r="A44" s="19">
        <v>42</v>
      </c>
      <c r="B44" s="1" t="s">
        <v>18</v>
      </c>
      <c r="C44" s="54" t="s">
        <v>114</v>
      </c>
      <c r="D44" s="1" t="s">
        <v>33</v>
      </c>
      <c r="E44" s="4" t="str">
        <f t="shared" si="0"/>
        <v/>
      </c>
      <c r="F44" s="1" t="str" cm="1">
        <f t="array" ref="F44" xml:space="preserve"> MySplit(D44, "x", 1)</f>
        <v>298</v>
      </c>
      <c r="G44" s="1" t="str" cm="1">
        <f t="array" ref="G44" xml:space="preserve"> MySplit(D44, "x", 2)</f>
        <v>149</v>
      </c>
      <c r="H44" s="1">
        <v>5.5</v>
      </c>
      <c r="I44" s="2">
        <v>8</v>
      </c>
      <c r="J44" s="21">
        <v>16</v>
      </c>
      <c r="K44" s="6" t="str">
        <f t="shared" si="1"/>
        <v>HN298x149x5.5x8</v>
      </c>
    </row>
    <row r="45" spans="1:11" x14ac:dyDescent="0.3">
      <c r="A45" s="19">
        <v>43</v>
      </c>
      <c r="B45" s="1" t="s">
        <v>18</v>
      </c>
      <c r="C45" s="55"/>
      <c r="D45" s="1" t="s">
        <v>115</v>
      </c>
      <c r="E45" s="4" t="str">
        <f t="shared" si="0"/>
        <v/>
      </c>
      <c r="F45" s="1" t="str" cm="1">
        <f t="array" ref="F45" xml:space="preserve"> MySplit(D45, "x", 1)</f>
        <v>300</v>
      </c>
      <c r="G45" s="1" t="str" cm="1">
        <f t="array" ref="G45" xml:space="preserve"> MySplit(D45, "x", 2)</f>
        <v>150</v>
      </c>
      <c r="H45" s="1">
        <v>6.5</v>
      </c>
      <c r="I45" s="2">
        <v>9</v>
      </c>
      <c r="J45" s="21">
        <v>16</v>
      </c>
      <c r="K45" s="6" t="str">
        <f t="shared" si="1"/>
        <v>HN300x150x6.5x9</v>
      </c>
    </row>
    <row r="46" spans="1:11" x14ac:dyDescent="0.3">
      <c r="A46" s="19">
        <v>44</v>
      </c>
      <c r="B46" s="1" t="s">
        <v>18</v>
      </c>
      <c r="C46" s="57" t="s">
        <v>67</v>
      </c>
      <c r="D46" s="1" t="s">
        <v>116</v>
      </c>
      <c r="E46" s="4" t="str">
        <f t="shared" si="0"/>
        <v/>
      </c>
      <c r="F46" s="1" t="str" cm="1">
        <f t="array" ref="F46" xml:space="preserve"> MySplit(D46, "x", 1)</f>
        <v>346</v>
      </c>
      <c r="G46" s="1" t="str" cm="1">
        <f t="array" ref="G46" xml:space="preserve"> MySplit(D46, "x", 2)</f>
        <v>174</v>
      </c>
      <c r="H46" s="2">
        <v>6</v>
      </c>
      <c r="I46" s="1">
        <v>9</v>
      </c>
      <c r="J46" s="21">
        <v>16</v>
      </c>
      <c r="K46" s="6" t="str">
        <f t="shared" si="1"/>
        <v>HN346x174x6x9</v>
      </c>
    </row>
    <row r="47" spans="1:11" x14ac:dyDescent="0.3">
      <c r="A47" s="19">
        <v>45</v>
      </c>
      <c r="B47" s="1" t="s">
        <v>18</v>
      </c>
      <c r="C47" s="55"/>
      <c r="D47" s="1" t="s">
        <v>34</v>
      </c>
      <c r="E47" s="4" t="str">
        <f t="shared" si="0"/>
        <v>#</v>
      </c>
      <c r="F47" s="1" t="str" cm="1">
        <f t="array" ref="F47" xml:space="preserve"> MySplit(D47, "x", 1)</f>
        <v>300</v>
      </c>
      <c r="G47" s="1" t="str" cm="1">
        <f t="array" ref="G47" xml:space="preserve"> MySplit(D47, "x", 2)</f>
        <v>175</v>
      </c>
      <c r="H47" s="2">
        <v>7</v>
      </c>
      <c r="I47" s="2">
        <v>11</v>
      </c>
      <c r="J47" s="21">
        <v>16</v>
      </c>
      <c r="K47" s="6" t="str">
        <f t="shared" si="1"/>
        <v>HN300x175x7x11#</v>
      </c>
    </row>
    <row r="48" spans="1:11" x14ac:dyDescent="0.3">
      <c r="A48" s="19">
        <v>46</v>
      </c>
      <c r="B48" s="1" t="s">
        <v>18</v>
      </c>
      <c r="C48" s="4" t="s">
        <v>68</v>
      </c>
      <c r="D48" s="1" t="s">
        <v>117</v>
      </c>
      <c r="E48" s="4" t="str">
        <f t="shared" si="0"/>
        <v/>
      </c>
      <c r="F48" s="1" t="str" cm="1">
        <f t="array" ref="F48" xml:space="preserve"> MySplit(D48, "x", 1)</f>
        <v>400</v>
      </c>
      <c r="G48" s="1" t="str" cm="1">
        <f t="array" ref="G48" xml:space="preserve"> MySplit(D48, "x", 2)</f>
        <v>150</v>
      </c>
      <c r="H48" s="2">
        <v>8</v>
      </c>
      <c r="I48" s="2">
        <v>13</v>
      </c>
      <c r="J48" s="21">
        <v>16</v>
      </c>
      <c r="K48" s="6" t="str">
        <f t="shared" si="1"/>
        <v>HN400x150x8x13</v>
      </c>
    </row>
    <row r="49" spans="1:11" x14ac:dyDescent="0.3">
      <c r="A49" s="19">
        <v>47</v>
      </c>
      <c r="B49" s="1" t="s">
        <v>18</v>
      </c>
      <c r="C49" s="57" t="s">
        <v>71</v>
      </c>
      <c r="D49" s="1" t="s">
        <v>118</v>
      </c>
      <c r="E49" s="4" t="str">
        <f t="shared" si="0"/>
        <v/>
      </c>
      <c r="F49" s="1" t="str" cm="1">
        <f t="array" ref="F49" xml:space="preserve"> MySplit(D49, "x", 1)</f>
        <v>396</v>
      </c>
      <c r="G49" s="1" t="str" cm="1">
        <f t="array" ref="G49" xml:space="preserve"> MySplit(D49, "x", 2)</f>
        <v>199</v>
      </c>
      <c r="H49" s="2">
        <v>7</v>
      </c>
      <c r="I49" s="3">
        <v>11</v>
      </c>
      <c r="J49" s="21">
        <v>16</v>
      </c>
      <c r="K49" s="6" t="str">
        <f t="shared" si="1"/>
        <v>HN396x199x7x11</v>
      </c>
    </row>
    <row r="50" spans="1:11" x14ac:dyDescent="0.3">
      <c r="A50" s="19">
        <v>48</v>
      </c>
      <c r="B50" s="1" t="s">
        <v>18</v>
      </c>
      <c r="C50" s="55"/>
      <c r="D50" s="1" t="s">
        <v>35</v>
      </c>
      <c r="E50" s="4" t="str">
        <f t="shared" si="0"/>
        <v>#</v>
      </c>
      <c r="F50" s="1" t="str" cm="1">
        <f t="array" ref="F50" xml:space="preserve"> MySplit(D50, "x", 1)</f>
        <v>400</v>
      </c>
      <c r="G50" s="1" t="str" cm="1">
        <f t="array" ref="G50" xml:space="preserve"> MySplit(D50, "x", 2)</f>
        <v>200</v>
      </c>
      <c r="H50" s="2">
        <v>8</v>
      </c>
      <c r="I50" s="2">
        <v>13</v>
      </c>
      <c r="J50" s="21">
        <v>16</v>
      </c>
      <c r="K50" s="6" t="str">
        <f t="shared" si="1"/>
        <v>HN400x200x8x13#</v>
      </c>
    </row>
    <row r="51" spans="1:11" x14ac:dyDescent="0.3">
      <c r="A51" s="19">
        <v>49</v>
      </c>
      <c r="B51" s="1" t="s">
        <v>18</v>
      </c>
      <c r="C51" s="4" t="s">
        <v>72</v>
      </c>
      <c r="D51" s="1" t="s">
        <v>119</v>
      </c>
      <c r="E51" s="4" t="str">
        <f t="shared" si="0"/>
        <v/>
      </c>
      <c r="F51" s="1" t="str" cm="1">
        <f t="array" ref="F51" xml:space="preserve"> MySplit(D51, "x", 1)</f>
        <v>450</v>
      </c>
      <c r="G51" s="1" t="str" cm="1">
        <f t="array" ref="G51" xml:space="preserve"> MySplit(D51, "x", 2)</f>
        <v>150</v>
      </c>
      <c r="H51" s="1">
        <v>9</v>
      </c>
      <c r="I51" s="2">
        <v>14</v>
      </c>
      <c r="J51" s="22">
        <v>20</v>
      </c>
      <c r="K51" s="6" t="str">
        <f t="shared" si="1"/>
        <v>HN450x150x9x14</v>
      </c>
    </row>
    <row r="52" spans="1:11" x14ac:dyDescent="0.3">
      <c r="A52" s="19">
        <v>50</v>
      </c>
      <c r="B52" s="1" t="s">
        <v>18</v>
      </c>
      <c r="C52" s="57" t="s">
        <v>69</v>
      </c>
      <c r="D52" s="1" t="s">
        <v>120</v>
      </c>
      <c r="E52" s="4" t="str">
        <f t="shared" si="0"/>
        <v/>
      </c>
      <c r="F52" s="1" t="str" cm="1">
        <f t="array" ref="F52" xml:space="preserve"> MySplit(D52, "x", 1)</f>
        <v>446</v>
      </c>
      <c r="G52" s="1" t="str" cm="1">
        <f t="array" ref="G52" xml:space="preserve"> MySplit(D52, "x", 2)</f>
        <v>199</v>
      </c>
      <c r="H52" s="2">
        <v>8</v>
      </c>
      <c r="I52" s="2">
        <v>12</v>
      </c>
      <c r="J52" s="22">
        <v>20</v>
      </c>
      <c r="K52" s="6" t="str">
        <f t="shared" si="1"/>
        <v>HN446x199x8x12</v>
      </c>
    </row>
    <row r="53" spans="1:11" x14ac:dyDescent="0.3">
      <c r="A53" s="19">
        <v>51</v>
      </c>
      <c r="B53" s="1" t="s">
        <v>18</v>
      </c>
      <c r="C53" s="55"/>
      <c r="D53" s="1" t="s">
        <v>36</v>
      </c>
      <c r="E53" s="4" t="str">
        <f t="shared" si="0"/>
        <v>#</v>
      </c>
      <c r="F53" s="1" t="str" cm="1">
        <f t="array" ref="F53" xml:space="preserve"> MySplit(D53, "x", 1)</f>
        <v>450</v>
      </c>
      <c r="G53" s="1" t="str" cm="1">
        <f t="array" ref="G53" xml:space="preserve"> MySplit(D53, "x", 2)</f>
        <v>200</v>
      </c>
      <c r="H53" s="2">
        <v>9</v>
      </c>
      <c r="I53" s="2">
        <v>14</v>
      </c>
      <c r="J53" s="21">
        <v>20</v>
      </c>
      <c r="K53" s="6" t="str">
        <f t="shared" si="1"/>
        <v>HN450x200x9x14#</v>
      </c>
    </row>
    <row r="54" spans="1:11" x14ac:dyDescent="0.3">
      <c r="A54" s="19">
        <v>52</v>
      </c>
      <c r="B54" s="1" t="s">
        <v>18</v>
      </c>
      <c r="C54" s="1" t="s">
        <v>37</v>
      </c>
      <c r="D54" s="1" t="s">
        <v>121</v>
      </c>
      <c r="E54" s="4" t="str">
        <f t="shared" si="0"/>
        <v/>
      </c>
      <c r="F54" s="1" t="str" cm="1">
        <f t="array" ref="F54" xml:space="preserve"> MySplit(D54, "x", 1)</f>
        <v>500</v>
      </c>
      <c r="G54" s="1" t="str" cm="1">
        <f t="array" ref="G54" xml:space="preserve"> MySplit(D54, "x", 2)</f>
        <v>150</v>
      </c>
      <c r="H54" s="2">
        <v>10</v>
      </c>
      <c r="I54" s="2">
        <v>16</v>
      </c>
      <c r="J54" s="21">
        <v>20</v>
      </c>
      <c r="K54" s="6" t="str">
        <f t="shared" si="1"/>
        <v>HN500x150x10x16</v>
      </c>
    </row>
    <row r="55" spans="1:11" x14ac:dyDescent="0.3">
      <c r="A55" s="19">
        <v>53</v>
      </c>
      <c r="B55" s="1" t="s">
        <v>18</v>
      </c>
      <c r="C55" s="54" t="s">
        <v>122</v>
      </c>
      <c r="D55" s="1" t="s">
        <v>123</v>
      </c>
      <c r="E55" s="4" t="str">
        <f t="shared" si="0"/>
        <v/>
      </c>
      <c r="F55" s="1" t="str" cm="1">
        <f t="array" ref="F55" xml:space="preserve"> MySplit(D55, "x", 1)</f>
        <v>496</v>
      </c>
      <c r="G55" s="1" t="str" cm="1">
        <f t="array" ref="G55" xml:space="preserve"> MySplit(D55, "x", 2)</f>
        <v>199</v>
      </c>
      <c r="H55" s="2">
        <v>9</v>
      </c>
      <c r="I55" s="2">
        <v>14</v>
      </c>
      <c r="J55" s="21">
        <v>20</v>
      </c>
      <c r="K55" s="6" t="str">
        <f t="shared" si="1"/>
        <v>HN496x199x9x14</v>
      </c>
    </row>
    <row r="56" spans="1:11" x14ac:dyDescent="0.3">
      <c r="A56" s="19">
        <v>54</v>
      </c>
      <c r="B56" s="1" t="s">
        <v>18</v>
      </c>
      <c r="C56" s="55"/>
      <c r="D56" s="1" t="s">
        <v>124</v>
      </c>
      <c r="E56" s="4" t="str">
        <f t="shared" si="0"/>
        <v>#</v>
      </c>
      <c r="F56" s="1" t="str" cm="1">
        <f t="array" ref="F56" xml:space="preserve"> MySplit(D56, "x", 1)</f>
        <v>500</v>
      </c>
      <c r="G56" s="1" t="str" cm="1">
        <f t="array" ref="G56" xml:space="preserve"> MySplit(D56, "x", 2)</f>
        <v>200</v>
      </c>
      <c r="H56" s="2">
        <v>10</v>
      </c>
      <c r="I56" s="2">
        <v>16</v>
      </c>
      <c r="J56" s="21">
        <v>20</v>
      </c>
      <c r="K56" s="6" t="str">
        <f t="shared" si="1"/>
        <v>HN500x200x10x16#</v>
      </c>
    </row>
    <row r="57" spans="1:11" x14ac:dyDescent="0.3">
      <c r="A57" s="19">
        <v>55</v>
      </c>
      <c r="B57" s="1" t="s">
        <v>18</v>
      </c>
      <c r="C57" s="55"/>
      <c r="D57" s="4" t="s">
        <v>86</v>
      </c>
      <c r="E57" s="4" t="str">
        <f t="shared" si="0"/>
        <v/>
      </c>
      <c r="F57" s="1" t="str" cm="1">
        <f t="array" ref="F57" xml:space="preserve"> MySplit(D57, "x", 1)</f>
        <v>506</v>
      </c>
      <c r="G57" s="1" t="str" cm="1">
        <f t="array" ref="G57" xml:space="preserve"> MySplit(D57, "x", 2)</f>
        <v>201</v>
      </c>
      <c r="H57" s="2">
        <v>11</v>
      </c>
      <c r="I57" s="2">
        <v>19</v>
      </c>
      <c r="J57" s="21">
        <v>20</v>
      </c>
      <c r="K57" s="6" t="str">
        <f t="shared" si="1"/>
        <v>HN506x201x11x19</v>
      </c>
    </row>
    <row r="58" spans="1:11" x14ac:dyDescent="0.3">
      <c r="A58" s="19">
        <v>56</v>
      </c>
      <c r="B58" s="1" t="s">
        <v>18</v>
      </c>
      <c r="C58" s="54" t="s">
        <v>125</v>
      </c>
      <c r="D58" s="1" t="s">
        <v>126</v>
      </c>
      <c r="E58" s="4" t="str">
        <f t="shared" si="0"/>
        <v/>
      </c>
      <c r="F58" s="1" t="str" cm="1">
        <f t="array" ref="F58" xml:space="preserve"> MySplit(D58, "x", 1)</f>
        <v>596</v>
      </c>
      <c r="G58" s="1" t="str" cm="1">
        <f t="array" ref="G58" xml:space="preserve"> MySplit(D58, "x", 2)</f>
        <v>199</v>
      </c>
      <c r="H58" s="2">
        <v>10</v>
      </c>
      <c r="I58" s="2">
        <v>15</v>
      </c>
      <c r="J58" s="21">
        <v>24</v>
      </c>
      <c r="K58" s="6" t="str">
        <f t="shared" si="1"/>
        <v>HN596x199x10x15</v>
      </c>
    </row>
    <row r="59" spans="1:11" x14ac:dyDescent="0.3">
      <c r="A59" s="19">
        <v>57</v>
      </c>
      <c r="B59" s="1" t="s">
        <v>18</v>
      </c>
      <c r="C59" s="55"/>
      <c r="D59" s="1" t="s">
        <v>127</v>
      </c>
      <c r="E59" s="4" t="str">
        <f t="shared" si="0"/>
        <v>#</v>
      </c>
      <c r="F59" s="1" t="str" cm="1">
        <f t="array" ref="F59" xml:space="preserve"> MySplit(D59, "x", 1)</f>
        <v>600</v>
      </c>
      <c r="G59" s="1" t="str" cm="1">
        <f t="array" ref="G59" xml:space="preserve"> MySplit(D59, "x", 2)</f>
        <v>200</v>
      </c>
      <c r="H59" s="2">
        <v>11</v>
      </c>
      <c r="I59" s="2">
        <v>17</v>
      </c>
      <c r="J59" s="21">
        <v>24</v>
      </c>
      <c r="K59" s="6" t="str">
        <f t="shared" si="1"/>
        <v>HN600x200x11x17#</v>
      </c>
    </row>
    <row r="60" spans="1:11" x14ac:dyDescent="0.3">
      <c r="A60" s="19">
        <v>58</v>
      </c>
      <c r="B60" s="1" t="s">
        <v>18</v>
      </c>
      <c r="C60" s="55"/>
      <c r="D60" s="4" t="s">
        <v>128</v>
      </c>
      <c r="E60" s="4" t="str">
        <f t="shared" si="0"/>
        <v>#</v>
      </c>
      <c r="F60" s="1" t="str" cm="1">
        <f t="array" ref="F60" xml:space="preserve"> MySplit(D60, "x", 1)</f>
        <v>606</v>
      </c>
      <c r="G60" s="1" t="str" cm="1">
        <f t="array" ref="G60" xml:space="preserve"> MySplit(D60, "x", 2)</f>
        <v>201</v>
      </c>
      <c r="H60" s="2">
        <v>12</v>
      </c>
      <c r="I60" s="1">
        <v>20</v>
      </c>
      <c r="J60" s="21">
        <v>24</v>
      </c>
      <c r="K60" s="6" t="str">
        <f t="shared" si="1"/>
        <v>HN606x201x12x20#</v>
      </c>
    </row>
    <row r="61" spans="1:11" x14ac:dyDescent="0.3">
      <c r="A61" s="19">
        <v>59</v>
      </c>
      <c r="B61" s="1" t="s">
        <v>18</v>
      </c>
      <c r="C61" s="57" t="s">
        <v>73</v>
      </c>
      <c r="D61" s="1" t="s">
        <v>129</v>
      </c>
      <c r="E61" s="4" t="str">
        <f t="shared" si="0"/>
        <v/>
      </c>
      <c r="F61" s="1" t="str" cm="1">
        <f t="array" ref="F61" xml:space="preserve"> MySplit(D61, "x", 1)</f>
        <v>692</v>
      </c>
      <c r="G61" s="1" t="str" cm="1">
        <f t="array" ref="G61" xml:space="preserve"> MySplit(D61, "x", 2)</f>
        <v>300</v>
      </c>
      <c r="H61" s="2">
        <v>13</v>
      </c>
      <c r="I61" s="1">
        <v>20</v>
      </c>
      <c r="J61" s="21">
        <v>28</v>
      </c>
      <c r="K61" s="6" t="str">
        <f t="shared" si="1"/>
        <v>HN692x300x13x20</v>
      </c>
    </row>
    <row r="62" spans="1:11" x14ac:dyDescent="0.3">
      <c r="A62" s="19">
        <v>60</v>
      </c>
      <c r="B62" s="1" t="s">
        <v>18</v>
      </c>
      <c r="C62" s="55"/>
      <c r="D62" s="1" t="s">
        <v>38</v>
      </c>
      <c r="E62" s="4" t="str">
        <f t="shared" si="0"/>
        <v>*</v>
      </c>
      <c r="F62" s="1" t="str" cm="1">
        <f t="array" ref="F62" xml:space="preserve"> MySplit(D62, "x", 1)</f>
        <v>700</v>
      </c>
      <c r="G62" s="1" t="str" cm="1">
        <f t="array" ref="G62" xml:space="preserve"> MySplit(D62, "x", 2)</f>
        <v>300</v>
      </c>
      <c r="H62" s="2">
        <v>13</v>
      </c>
      <c r="I62" s="2">
        <v>24</v>
      </c>
      <c r="J62" s="21">
        <v>28</v>
      </c>
      <c r="K62" s="6" t="str">
        <f t="shared" si="1"/>
        <v>HN700x300x13x24*</v>
      </c>
    </row>
    <row r="63" spans="1:11" x14ac:dyDescent="0.3">
      <c r="A63" s="19">
        <v>61</v>
      </c>
      <c r="B63" s="1" t="s">
        <v>18</v>
      </c>
      <c r="C63" s="57" t="s">
        <v>74</v>
      </c>
      <c r="D63" s="4" t="s">
        <v>87</v>
      </c>
      <c r="E63" s="4" t="str">
        <f t="shared" si="0"/>
        <v>*</v>
      </c>
      <c r="F63" s="1" t="str" cm="1">
        <f t="array" ref="F63" xml:space="preserve"> MySplit(D63, "x", 1)</f>
        <v>792</v>
      </c>
      <c r="G63" s="1" t="str" cm="1">
        <f t="array" ref="G63" xml:space="preserve"> MySplit(D63, "x", 2)</f>
        <v>300</v>
      </c>
      <c r="H63" s="2">
        <v>14</v>
      </c>
      <c r="I63" s="2">
        <v>22</v>
      </c>
      <c r="J63" s="21">
        <v>28</v>
      </c>
      <c r="K63" s="6" t="str">
        <f t="shared" si="1"/>
        <v>HN792x300x14x22*</v>
      </c>
    </row>
    <row r="64" spans="1:11" x14ac:dyDescent="0.3">
      <c r="A64" s="19">
        <v>62</v>
      </c>
      <c r="B64" s="1" t="s">
        <v>18</v>
      </c>
      <c r="C64" s="55"/>
      <c r="D64" s="4" t="s">
        <v>74</v>
      </c>
      <c r="E64" s="4" t="str">
        <f t="shared" si="0"/>
        <v>*</v>
      </c>
      <c r="F64" s="1" t="str" cm="1">
        <f t="array" ref="F64" xml:space="preserve"> MySplit(D64, "x", 1)</f>
        <v>800</v>
      </c>
      <c r="G64" s="1" t="str" cm="1">
        <f t="array" ref="G64" xml:space="preserve"> MySplit(D64, "x", 2)</f>
        <v>300</v>
      </c>
      <c r="H64" s="2">
        <v>14</v>
      </c>
      <c r="I64" s="2">
        <v>26</v>
      </c>
      <c r="J64" s="21">
        <v>28</v>
      </c>
      <c r="K64" s="6" t="str">
        <f t="shared" si="1"/>
        <v>HN800x300x14x26*</v>
      </c>
    </row>
    <row r="65" spans="1:11" x14ac:dyDescent="0.3">
      <c r="A65" s="19">
        <v>63</v>
      </c>
      <c r="B65" s="1" t="s">
        <v>18</v>
      </c>
      <c r="C65" s="54" t="s">
        <v>75</v>
      </c>
      <c r="D65" s="4" t="s">
        <v>88</v>
      </c>
      <c r="E65" s="4" t="str">
        <f t="shared" si="0"/>
        <v>*</v>
      </c>
      <c r="F65" s="1" t="str" cm="1">
        <f t="array" ref="F65" xml:space="preserve"> MySplit(D65, "x", 1)</f>
        <v>890</v>
      </c>
      <c r="G65" s="1" t="str" cm="1">
        <f t="array" ref="G65" xml:space="preserve"> MySplit(D65, "x", 2)</f>
        <v>299</v>
      </c>
      <c r="H65" s="2">
        <v>15</v>
      </c>
      <c r="I65" s="2">
        <v>23</v>
      </c>
      <c r="J65" s="21">
        <v>28</v>
      </c>
      <c r="K65" s="6" t="str">
        <f t="shared" si="1"/>
        <v>HN890x299x15x23*</v>
      </c>
    </row>
    <row r="66" spans="1:11" x14ac:dyDescent="0.3">
      <c r="A66" s="19">
        <v>64</v>
      </c>
      <c r="B66" s="1" t="s">
        <v>18</v>
      </c>
      <c r="C66" s="55"/>
      <c r="D66" s="4" t="s">
        <v>75</v>
      </c>
      <c r="E66" s="4" t="str">
        <f t="shared" si="0"/>
        <v>*</v>
      </c>
      <c r="F66" s="1" t="str" cm="1">
        <f t="array" ref="F66" xml:space="preserve"> MySplit(D66, "x", 1)</f>
        <v>900</v>
      </c>
      <c r="G66" s="1" t="str" cm="1">
        <f t="array" ref="G66" xml:space="preserve"> MySplit(D66, "x", 2)</f>
        <v>300</v>
      </c>
      <c r="H66" s="2">
        <v>16</v>
      </c>
      <c r="I66" s="2">
        <v>28</v>
      </c>
      <c r="J66" s="21">
        <v>28</v>
      </c>
      <c r="K66" s="6" t="str">
        <f t="shared" si="1"/>
        <v>HN900x300x16x28*</v>
      </c>
    </row>
    <row r="67" spans="1:11" x14ac:dyDescent="0.3">
      <c r="A67" s="19">
        <v>65</v>
      </c>
      <c r="B67" s="1" t="s">
        <v>18</v>
      </c>
      <c r="C67" s="55"/>
      <c r="D67" s="4" t="s">
        <v>89</v>
      </c>
      <c r="E67" s="4" t="str">
        <f t="shared" si="0"/>
        <v/>
      </c>
      <c r="F67" s="1" t="str" cm="1">
        <f t="array" ref="F67" xml:space="preserve"> MySplit(D67, "x", 1)</f>
        <v>912</v>
      </c>
      <c r="G67" s="1" t="str" cm="1">
        <f t="array" ref="G67" xml:space="preserve"> MySplit(D67, "x", 2)</f>
        <v>302</v>
      </c>
      <c r="H67" s="2">
        <v>18</v>
      </c>
      <c r="I67" s="2">
        <v>34</v>
      </c>
      <c r="J67" s="21">
        <v>28</v>
      </c>
      <c r="K67" s="6" t="str">
        <f t="shared" si="1"/>
        <v>HN912x302x18x34</v>
      </c>
    </row>
    <row r="68" spans="1:11" x14ac:dyDescent="0.3">
      <c r="A68" s="19">
        <v>66</v>
      </c>
      <c r="B68" s="1" t="s">
        <v>19</v>
      </c>
      <c r="C68" s="4" t="s">
        <v>55</v>
      </c>
      <c r="D68" s="4" t="s">
        <v>130</v>
      </c>
      <c r="E68" s="4" t="str">
        <f t="shared" ref="E68:E86" si="2" xml:space="preserve"> IF(OR(LEFT(D69) &lt; "0", LEFT(D69) &gt; "9"), LEFT(D69),"")</f>
        <v/>
      </c>
      <c r="F68" s="1" t="str" cm="1">
        <f t="array" ref="F68" xml:space="preserve"> MySplit(D68, "x", 1)</f>
        <v>200</v>
      </c>
      <c r="G68" s="1" t="str" cm="1">
        <f t="array" ref="G68" xml:space="preserve"> MySplit(D68, "x", 2)</f>
        <v>204</v>
      </c>
      <c r="H68" s="2">
        <v>12</v>
      </c>
      <c r="I68" s="2">
        <v>12</v>
      </c>
      <c r="J68" s="21">
        <v>16</v>
      </c>
      <c r="K68" s="6" t="str">
        <f t="shared" ref="K68:K86" si="3">B68 &amp; F68 &amp; "x" &amp; G68 &amp; "x" &amp; H68 &amp; "x" &amp; I68 &amp; E68</f>
        <v>HP200x204x12x12</v>
      </c>
    </row>
    <row r="69" spans="1:11" x14ac:dyDescent="0.3">
      <c r="A69" s="19">
        <v>67</v>
      </c>
      <c r="B69" s="1" t="s">
        <v>19</v>
      </c>
      <c r="C69" s="57" t="s">
        <v>52</v>
      </c>
      <c r="D69" s="1" t="s">
        <v>39</v>
      </c>
      <c r="E69" s="4" t="str">
        <f t="shared" si="2"/>
        <v/>
      </c>
      <c r="F69" s="1" t="str" cm="1">
        <f t="array" ref="F69" xml:space="preserve"> MySplit(D69, "x", 1)</f>
        <v>244</v>
      </c>
      <c r="G69" s="1" t="str" cm="1">
        <f t="array" ref="G69" xml:space="preserve"> MySplit(D69, "x", 2)</f>
        <v>252</v>
      </c>
      <c r="H69" s="2">
        <v>11</v>
      </c>
      <c r="I69" s="2">
        <v>11</v>
      </c>
      <c r="J69" s="21">
        <v>16</v>
      </c>
      <c r="K69" s="6" t="str">
        <f t="shared" si="3"/>
        <v>HP244x252x11x11</v>
      </c>
    </row>
    <row r="70" spans="1:11" x14ac:dyDescent="0.3">
      <c r="A70" s="19">
        <v>68</v>
      </c>
      <c r="B70" s="1" t="s">
        <v>19</v>
      </c>
      <c r="C70" s="55"/>
      <c r="D70" s="1" t="s">
        <v>40</v>
      </c>
      <c r="E70" s="4" t="str">
        <f t="shared" si="2"/>
        <v/>
      </c>
      <c r="F70" s="1" t="str" cm="1">
        <f t="array" ref="F70" xml:space="preserve"> MySplit(D70, "x", 1)</f>
        <v>250</v>
      </c>
      <c r="G70" s="1" t="str" cm="1">
        <f t="array" ref="G70" xml:space="preserve"> MySplit(D70, "x", 2)</f>
        <v>255</v>
      </c>
      <c r="H70" s="2">
        <v>14</v>
      </c>
      <c r="I70" s="2">
        <v>14</v>
      </c>
      <c r="J70" s="21">
        <v>16</v>
      </c>
      <c r="K70" s="6" t="str">
        <f t="shared" si="3"/>
        <v>HP250x255x14x14</v>
      </c>
    </row>
    <row r="71" spans="1:11" x14ac:dyDescent="0.3">
      <c r="A71" s="19">
        <v>69</v>
      </c>
      <c r="B71" s="1" t="s">
        <v>19</v>
      </c>
      <c r="C71" s="54" t="s">
        <v>76</v>
      </c>
      <c r="D71" s="1" t="s">
        <v>131</v>
      </c>
      <c r="E71" s="4" t="str">
        <f t="shared" si="2"/>
        <v/>
      </c>
      <c r="F71" s="1" t="str" cm="1">
        <f t="array" ref="F71" xml:space="preserve"> MySplit(D71, "x", 1)</f>
        <v>294</v>
      </c>
      <c r="G71" s="1" t="str" cm="1">
        <f t="array" ref="G71" xml:space="preserve"> MySplit(D71, "x", 2)</f>
        <v>302</v>
      </c>
      <c r="H71" s="2">
        <v>12</v>
      </c>
      <c r="I71" s="2">
        <v>12</v>
      </c>
      <c r="J71" s="22">
        <v>20</v>
      </c>
      <c r="K71" s="6" t="str">
        <f t="shared" si="3"/>
        <v>HP294x302x12x12</v>
      </c>
    </row>
    <row r="72" spans="1:11" x14ac:dyDescent="0.3">
      <c r="A72" s="19">
        <v>70</v>
      </c>
      <c r="B72" s="1" t="s">
        <v>19</v>
      </c>
      <c r="C72" s="55"/>
      <c r="D72" s="1" t="s">
        <v>132</v>
      </c>
      <c r="E72" s="4" t="str">
        <f t="shared" si="2"/>
        <v/>
      </c>
      <c r="F72" s="1" t="str" cm="1">
        <f t="array" ref="F72" xml:space="preserve"> MySplit(D72, "x", 1)</f>
        <v>300</v>
      </c>
      <c r="G72" s="1" t="str" cm="1">
        <f t="array" ref="G72" xml:space="preserve"> MySplit(D72, "x", 2)</f>
        <v>300</v>
      </c>
      <c r="H72" s="2">
        <v>10</v>
      </c>
      <c r="I72" s="2">
        <v>15</v>
      </c>
      <c r="J72" s="22">
        <v>20</v>
      </c>
      <c r="K72" s="6" t="str">
        <f t="shared" si="3"/>
        <v>HP300x300x10x15</v>
      </c>
    </row>
    <row r="73" spans="1:11" x14ac:dyDescent="0.3">
      <c r="A73" s="19">
        <v>71</v>
      </c>
      <c r="B73" s="1" t="s">
        <v>19</v>
      </c>
      <c r="C73" s="55"/>
      <c r="D73" s="1" t="s">
        <v>133</v>
      </c>
      <c r="E73" s="4" t="str">
        <f t="shared" si="2"/>
        <v/>
      </c>
      <c r="F73" s="1" t="str" cm="1">
        <f t="array" ref="F73" xml:space="preserve"> MySplit(D73, "x", 1)</f>
        <v>300</v>
      </c>
      <c r="G73" s="1" t="str" cm="1">
        <f t="array" ref="G73" xml:space="preserve"> MySplit(D73, "x", 2)</f>
        <v>305</v>
      </c>
      <c r="H73" s="2">
        <v>15</v>
      </c>
      <c r="I73" s="2">
        <v>15</v>
      </c>
      <c r="J73" s="22">
        <v>20</v>
      </c>
      <c r="K73" s="6" t="str">
        <f t="shared" si="3"/>
        <v>HP300x305x15x15</v>
      </c>
    </row>
    <row r="74" spans="1:11" x14ac:dyDescent="0.3">
      <c r="A74" s="19">
        <v>72</v>
      </c>
      <c r="B74" s="1" t="s">
        <v>19</v>
      </c>
      <c r="C74" s="54" t="s">
        <v>54</v>
      </c>
      <c r="D74" s="1" t="s">
        <v>134</v>
      </c>
      <c r="E74" s="4" t="str">
        <f t="shared" si="2"/>
        <v/>
      </c>
      <c r="F74" s="1" t="str" cm="1">
        <f t="array" ref="F74" xml:space="preserve"> MySplit(D74, "x", 1)</f>
        <v>338</v>
      </c>
      <c r="G74" s="1" t="str" cm="1">
        <f t="array" ref="G74" xml:space="preserve"> MySplit(D74, "x", 2)</f>
        <v>351</v>
      </c>
      <c r="H74" s="2">
        <v>13</v>
      </c>
      <c r="I74" s="2">
        <v>13</v>
      </c>
      <c r="J74" s="21">
        <v>20</v>
      </c>
      <c r="K74" s="6" t="str">
        <f t="shared" si="3"/>
        <v>HP338x351x13x13</v>
      </c>
    </row>
    <row r="75" spans="1:11" x14ac:dyDescent="0.3">
      <c r="A75" s="19">
        <v>73</v>
      </c>
      <c r="B75" s="1" t="s">
        <v>19</v>
      </c>
      <c r="C75" s="55"/>
      <c r="D75" s="1" t="s">
        <v>41</v>
      </c>
      <c r="E75" s="4" t="str">
        <f t="shared" si="2"/>
        <v/>
      </c>
      <c r="F75" s="1" t="str" cm="1">
        <f t="array" ref="F75" xml:space="preserve"> MySplit(D75, "x", 1)</f>
        <v>344</v>
      </c>
      <c r="G75" s="1" t="str" cm="1">
        <f t="array" ref="G75" xml:space="preserve"> MySplit(D75, "x", 2)</f>
        <v>354</v>
      </c>
      <c r="H75" s="2">
        <v>16</v>
      </c>
      <c r="I75" s="2">
        <v>16</v>
      </c>
      <c r="J75" s="22">
        <v>20</v>
      </c>
      <c r="K75" s="6" t="str">
        <f t="shared" si="3"/>
        <v>HP344x354x16x16</v>
      </c>
    </row>
    <row r="76" spans="1:11" x14ac:dyDescent="0.3">
      <c r="A76" s="19">
        <v>74</v>
      </c>
      <c r="B76" s="1" t="s">
        <v>19</v>
      </c>
      <c r="C76" s="55"/>
      <c r="D76" s="1" t="s">
        <v>135</v>
      </c>
      <c r="E76" s="4" t="str">
        <f t="shared" si="2"/>
        <v/>
      </c>
      <c r="F76" s="1" t="str" cm="1">
        <f t="array" ref="F76" xml:space="preserve"> MySplit(D76, "x", 1)</f>
        <v>350</v>
      </c>
      <c r="G76" s="1" t="str" cm="1">
        <f t="array" ref="G76" xml:space="preserve"> MySplit(D76, "x", 2)</f>
        <v>350</v>
      </c>
      <c r="H76" s="2">
        <v>12</v>
      </c>
      <c r="I76" s="2">
        <v>19</v>
      </c>
      <c r="J76" s="21">
        <v>23</v>
      </c>
      <c r="K76" s="6" t="str">
        <f t="shared" si="3"/>
        <v>HP350x350x12x19</v>
      </c>
    </row>
    <row r="77" spans="1:11" x14ac:dyDescent="0.3">
      <c r="A77" s="19">
        <v>75</v>
      </c>
      <c r="B77" s="1" t="s">
        <v>19</v>
      </c>
      <c r="C77" s="55"/>
      <c r="D77" s="1" t="s">
        <v>136</v>
      </c>
      <c r="E77" s="4" t="str">
        <f t="shared" si="2"/>
        <v/>
      </c>
      <c r="F77" s="1" t="str" cm="1">
        <f t="array" ref="F77" xml:space="preserve"> MySplit(D77, "x", 1)</f>
        <v>350</v>
      </c>
      <c r="G77" s="1" t="str" cm="1">
        <f t="array" ref="G77" xml:space="preserve"> MySplit(D77, "x", 2)</f>
        <v>357</v>
      </c>
      <c r="H77" s="2">
        <v>19</v>
      </c>
      <c r="I77" s="2">
        <v>19</v>
      </c>
      <c r="J77" s="21">
        <v>20</v>
      </c>
      <c r="K77" s="6" t="str">
        <f t="shared" si="3"/>
        <v>HP350x357x19x19</v>
      </c>
    </row>
    <row r="78" spans="1:11" x14ac:dyDescent="0.3">
      <c r="A78" s="19">
        <v>76</v>
      </c>
      <c r="B78" s="1" t="s">
        <v>19</v>
      </c>
      <c r="C78" s="55" t="s">
        <v>24</v>
      </c>
      <c r="D78" s="1" t="s">
        <v>42</v>
      </c>
      <c r="E78" s="4" t="str">
        <f t="shared" si="2"/>
        <v/>
      </c>
      <c r="F78" s="1" t="str" cm="1">
        <f t="array" ref="F78" xml:space="preserve"> MySplit(D78, "x", 1)</f>
        <v>388</v>
      </c>
      <c r="G78" s="1" t="str" cm="1">
        <f t="array" ref="G78" xml:space="preserve"> MySplit(D78, "x", 2)</f>
        <v>402</v>
      </c>
      <c r="H78" s="2">
        <v>15</v>
      </c>
      <c r="I78" s="2">
        <v>15</v>
      </c>
      <c r="J78" s="21">
        <v>24</v>
      </c>
      <c r="K78" s="6" t="str">
        <f t="shared" si="3"/>
        <v>HP388x402x15x15</v>
      </c>
    </row>
    <row r="79" spans="1:11" x14ac:dyDescent="0.3">
      <c r="A79" s="19">
        <v>77</v>
      </c>
      <c r="B79" s="1" t="s">
        <v>19</v>
      </c>
      <c r="C79" s="55"/>
      <c r="D79" s="1" t="s">
        <v>43</v>
      </c>
      <c r="E79" s="4" t="str">
        <f t="shared" si="2"/>
        <v/>
      </c>
      <c r="F79" s="1" t="str" cm="1">
        <f t="array" ref="F79" xml:space="preserve"> MySplit(D79, "x", 1)</f>
        <v>394</v>
      </c>
      <c r="G79" s="1" t="str" cm="1">
        <f t="array" ref="G79" xml:space="preserve"> MySplit(D79, "x", 2)</f>
        <v>405</v>
      </c>
      <c r="H79" s="2">
        <v>18</v>
      </c>
      <c r="I79" s="2">
        <v>18</v>
      </c>
      <c r="J79" s="21">
        <v>24</v>
      </c>
      <c r="K79" s="6" t="str">
        <f t="shared" si="3"/>
        <v>HP394x405x18x18</v>
      </c>
    </row>
    <row r="80" spans="1:11" x14ac:dyDescent="0.3">
      <c r="A80" s="19">
        <v>78</v>
      </c>
      <c r="B80" s="1" t="s">
        <v>19</v>
      </c>
      <c r="C80" s="55"/>
      <c r="D80" s="1" t="s">
        <v>24</v>
      </c>
      <c r="E80" s="4" t="str">
        <f t="shared" si="2"/>
        <v/>
      </c>
      <c r="F80" s="1" t="str" cm="1">
        <f t="array" ref="F80" xml:space="preserve"> MySplit(D80, "x", 1)</f>
        <v>400</v>
      </c>
      <c r="G80" s="1" t="str" cm="1">
        <f t="array" ref="G80" xml:space="preserve"> MySplit(D80, "x", 2)</f>
        <v>400</v>
      </c>
      <c r="H80" s="2">
        <v>13</v>
      </c>
      <c r="I80" s="2">
        <v>21</v>
      </c>
      <c r="J80" s="21">
        <v>24</v>
      </c>
      <c r="K80" s="6" t="str">
        <f t="shared" si="3"/>
        <v>HP400x400x13x21</v>
      </c>
    </row>
    <row r="81" spans="1:11" x14ac:dyDescent="0.3">
      <c r="A81" s="19">
        <v>79</v>
      </c>
      <c r="B81" s="1" t="s">
        <v>19</v>
      </c>
      <c r="C81" s="55"/>
      <c r="D81" s="1" t="s">
        <v>44</v>
      </c>
      <c r="E81" s="4" t="str">
        <f t="shared" si="2"/>
        <v/>
      </c>
      <c r="F81" s="1" t="str" cm="1">
        <f t="array" ref="F81" xml:space="preserve"> MySplit(D81, "x", 1)</f>
        <v>400</v>
      </c>
      <c r="G81" s="1" t="str" cm="1">
        <f t="array" ref="G81" xml:space="preserve"> MySplit(D81, "x", 2)</f>
        <v>408</v>
      </c>
      <c r="H81" s="2">
        <v>21</v>
      </c>
      <c r="I81" s="2">
        <v>21</v>
      </c>
      <c r="J81" s="21">
        <v>24</v>
      </c>
      <c r="K81" s="6" t="str">
        <f t="shared" si="3"/>
        <v>HP400x408x21x21</v>
      </c>
    </row>
    <row r="82" spans="1:11" x14ac:dyDescent="0.3">
      <c r="A82" s="19">
        <v>80</v>
      </c>
      <c r="B82" s="1" t="s">
        <v>19</v>
      </c>
      <c r="C82" s="55"/>
      <c r="D82" s="1" t="s">
        <v>45</v>
      </c>
      <c r="E82" s="4" t="str">
        <f t="shared" si="2"/>
        <v/>
      </c>
      <c r="F82" s="1" t="str" cm="1">
        <f t="array" ref="F82" xml:space="preserve"> MySplit(D82, "x", 1)</f>
        <v>414</v>
      </c>
      <c r="G82" s="1" t="str" cm="1">
        <f t="array" ref="G82" xml:space="preserve"> MySplit(D82, "x", 2)</f>
        <v>405</v>
      </c>
      <c r="H82" s="2">
        <v>18</v>
      </c>
      <c r="I82" s="2">
        <v>28</v>
      </c>
      <c r="J82" s="21">
        <v>24</v>
      </c>
      <c r="K82" s="6" t="str">
        <f t="shared" si="3"/>
        <v>HP414x405x18x28</v>
      </c>
    </row>
    <row r="83" spans="1:11" x14ac:dyDescent="0.3">
      <c r="A83" s="19">
        <v>81</v>
      </c>
      <c r="B83" s="1" t="s">
        <v>19</v>
      </c>
      <c r="C83" s="55"/>
      <c r="D83" s="1" t="s">
        <v>46</v>
      </c>
      <c r="E83" s="4" t="str">
        <f t="shared" si="2"/>
        <v>*</v>
      </c>
      <c r="F83" s="1" t="str" cm="1">
        <f t="array" ref="F83" xml:space="preserve"> MySplit(D83, "x", 1)</f>
        <v>428</v>
      </c>
      <c r="G83" s="1" t="str" cm="1">
        <f t="array" ref="G83" xml:space="preserve"> MySplit(D83, "x", 2)</f>
        <v>407</v>
      </c>
      <c r="H83" s="2">
        <v>20</v>
      </c>
      <c r="I83" s="2">
        <v>35</v>
      </c>
      <c r="J83" s="21">
        <v>24</v>
      </c>
      <c r="K83" s="6" t="str">
        <f t="shared" si="3"/>
        <v>HP428x407x20x35*</v>
      </c>
    </row>
    <row r="84" spans="1:11" x14ac:dyDescent="0.3">
      <c r="A84" s="19">
        <v>82</v>
      </c>
      <c r="B84" s="1" t="s">
        <v>19</v>
      </c>
      <c r="C84" s="54" t="s">
        <v>77</v>
      </c>
      <c r="D84" s="4" t="s">
        <v>90</v>
      </c>
      <c r="E84" s="4" t="str">
        <f t="shared" si="2"/>
        <v>*</v>
      </c>
      <c r="F84" s="1" t="str" cm="1">
        <f t="array" ref="F84" xml:space="preserve"> MySplit(D84, "x", 1)</f>
        <v>492</v>
      </c>
      <c r="G84" s="1" t="str" cm="1">
        <f t="array" ref="G84" xml:space="preserve"> MySplit(D84, "x", 2)</f>
        <v>465</v>
      </c>
      <c r="H84" s="2">
        <v>15</v>
      </c>
      <c r="I84" s="1">
        <v>20</v>
      </c>
      <c r="J84" s="21">
        <v>28</v>
      </c>
      <c r="K84" s="6" t="str">
        <f t="shared" si="3"/>
        <v>HP492x465x15x20*</v>
      </c>
    </row>
    <row r="85" spans="1:11" x14ac:dyDescent="0.3">
      <c r="A85" s="19">
        <v>83</v>
      </c>
      <c r="B85" s="1" t="s">
        <v>19</v>
      </c>
      <c r="C85" s="55"/>
      <c r="D85" s="1" t="s">
        <v>47</v>
      </c>
      <c r="E85" s="4" t="str">
        <f t="shared" si="2"/>
        <v>*</v>
      </c>
      <c r="F85" s="1" t="str" cm="1">
        <f t="array" ref="F85" xml:space="preserve"> MySplit(D85, "x", 1)</f>
        <v>502</v>
      </c>
      <c r="G85" s="1" t="str" cm="1">
        <f t="array" ref="G85" xml:space="preserve"> MySplit(D85, "x", 2)</f>
        <v>465</v>
      </c>
      <c r="H85" s="2">
        <v>15</v>
      </c>
      <c r="I85" s="2">
        <v>25</v>
      </c>
      <c r="J85" s="21">
        <v>28</v>
      </c>
      <c r="K85" s="6" t="str">
        <f t="shared" si="3"/>
        <v>HP502x465x15x25*</v>
      </c>
    </row>
    <row r="86" spans="1:11" ht="16" thickBot="1" x14ac:dyDescent="0.35">
      <c r="A86" s="23">
        <v>84</v>
      </c>
      <c r="B86" s="24" t="s">
        <v>19</v>
      </c>
      <c r="C86" s="56"/>
      <c r="D86" s="24" t="s">
        <v>48</v>
      </c>
      <c r="E86" s="25" t="str">
        <f t="shared" si="2"/>
        <v/>
      </c>
      <c r="F86" s="24" t="str" cm="1">
        <f t="array" ref="F86" xml:space="preserve"> MySplit(D86, "x", 1)</f>
        <v>502</v>
      </c>
      <c r="G86" s="24" t="str" cm="1">
        <f t="array" ref="G86" xml:space="preserve"> MySplit(D86, "x", 2)</f>
        <v>470</v>
      </c>
      <c r="H86" s="26">
        <v>20</v>
      </c>
      <c r="I86" s="26">
        <v>25</v>
      </c>
      <c r="J86" s="27">
        <v>28</v>
      </c>
      <c r="K86" s="6" t="str">
        <f t="shared" si="3"/>
        <v>HP502x470x20x25</v>
      </c>
    </row>
    <row r="87" spans="1:11" ht="16" thickTop="1" x14ac:dyDescent="0.3"/>
  </sheetData>
  <mergeCells count="27">
    <mergeCell ref="A1:A2"/>
    <mergeCell ref="C40:C41"/>
    <mergeCell ref="C33:C35"/>
    <mergeCell ref="C42:C43"/>
    <mergeCell ref="C44:C45"/>
    <mergeCell ref="C46:C47"/>
    <mergeCell ref="B1:B2"/>
    <mergeCell ref="C1:C2"/>
    <mergeCell ref="D1:J1"/>
    <mergeCell ref="C7:C8"/>
    <mergeCell ref="C31:C32"/>
    <mergeCell ref="C9:C10"/>
    <mergeCell ref="C16:C23"/>
    <mergeCell ref="C11:C13"/>
    <mergeCell ref="C14:C15"/>
    <mergeCell ref="C74:C77"/>
    <mergeCell ref="C78:C83"/>
    <mergeCell ref="C84:C86"/>
    <mergeCell ref="C49:C50"/>
    <mergeCell ref="C52:C53"/>
    <mergeCell ref="C55:C57"/>
    <mergeCell ref="C58:C60"/>
    <mergeCell ref="C61:C62"/>
    <mergeCell ref="C63:C64"/>
    <mergeCell ref="C65:C67"/>
    <mergeCell ref="C71:C73"/>
    <mergeCell ref="C69:C70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997E0-E322-47D4-BC1E-A50331C82409}">
  <sheetPr codeName="Sheet3"/>
  <dimension ref="A1:F25"/>
  <sheetViews>
    <sheetView workbookViewId="0">
      <selection activeCell="J38" sqref="J38"/>
    </sheetView>
  </sheetViews>
  <sheetFormatPr defaultRowHeight="14" x14ac:dyDescent="0.3"/>
  <cols>
    <col min="1" max="5" width="8.6640625" style="33"/>
    <col min="6" max="6" width="15.08203125" style="33" bestFit="1" customWidth="1"/>
    <col min="7" max="16384" width="8.6640625" style="33"/>
  </cols>
  <sheetData>
    <row r="1" spans="1:6" ht="14.5" thickTop="1" x14ac:dyDescent="0.3">
      <c r="A1" s="65" t="s">
        <v>251</v>
      </c>
      <c r="B1" s="67" t="s">
        <v>252</v>
      </c>
      <c r="C1" s="67"/>
      <c r="D1" s="67"/>
      <c r="E1" s="68"/>
      <c r="F1" s="69" t="s">
        <v>253</v>
      </c>
    </row>
    <row r="2" spans="1:6" x14ac:dyDescent="0.3">
      <c r="A2" s="66"/>
      <c r="B2" s="14" t="s">
        <v>14</v>
      </c>
      <c r="C2" s="14" t="s">
        <v>92</v>
      </c>
      <c r="D2" s="14" t="s">
        <v>249</v>
      </c>
      <c r="E2" s="15" t="s">
        <v>250</v>
      </c>
      <c r="F2" s="69"/>
    </row>
    <row r="3" spans="1:6" x14ac:dyDescent="0.3">
      <c r="A3" s="13">
        <v>1</v>
      </c>
      <c r="B3" s="14">
        <v>100</v>
      </c>
      <c r="C3" s="14">
        <v>50</v>
      </c>
      <c r="D3" s="34">
        <v>2.2999999999999998</v>
      </c>
      <c r="E3" s="35">
        <v>3.2</v>
      </c>
      <c r="F3" s="33" t="str">
        <f>"H" &amp; B3 &amp; "x" &amp; C3 &amp; "x" &amp; D3 &amp; "x" &amp;E3</f>
        <v>H100x50x2.3x3.2</v>
      </c>
    </row>
    <row r="4" spans="1:6" x14ac:dyDescent="0.3">
      <c r="A4" s="13">
        <v>2</v>
      </c>
      <c r="B4" s="14">
        <v>100</v>
      </c>
      <c r="C4" s="14">
        <v>50</v>
      </c>
      <c r="D4" s="34">
        <v>3.2</v>
      </c>
      <c r="E4" s="35">
        <v>4.5</v>
      </c>
      <c r="F4" s="33" t="str">
        <f t="shared" ref="F4:F24" si="0">"H" &amp; B4 &amp; "x" &amp; C4 &amp; "x" &amp; D4 &amp; "x" &amp;E4</f>
        <v>H100x50x3.2x4.5</v>
      </c>
    </row>
    <row r="5" spans="1:6" x14ac:dyDescent="0.3">
      <c r="A5" s="13">
        <v>3</v>
      </c>
      <c r="B5" s="14">
        <v>100</v>
      </c>
      <c r="C5" s="14">
        <v>100</v>
      </c>
      <c r="D5" s="34">
        <v>4.5</v>
      </c>
      <c r="E5" s="35">
        <v>6</v>
      </c>
      <c r="F5" s="33" t="str">
        <f t="shared" si="0"/>
        <v>H100x100x4.5x6</v>
      </c>
    </row>
    <row r="6" spans="1:6" x14ac:dyDescent="0.3">
      <c r="A6" s="13">
        <v>4</v>
      </c>
      <c r="B6" s="14">
        <v>100</v>
      </c>
      <c r="C6" s="14">
        <v>100</v>
      </c>
      <c r="D6" s="34">
        <v>6</v>
      </c>
      <c r="E6" s="35">
        <v>8</v>
      </c>
      <c r="F6" s="33" t="str">
        <f t="shared" si="0"/>
        <v>H100x100x6x8</v>
      </c>
    </row>
    <row r="7" spans="1:6" x14ac:dyDescent="0.3">
      <c r="A7" s="13">
        <v>5</v>
      </c>
      <c r="B7" s="14">
        <v>120</v>
      </c>
      <c r="C7" s="14">
        <v>120</v>
      </c>
      <c r="D7" s="34">
        <v>3.2</v>
      </c>
      <c r="E7" s="35">
        <v>4.5</v>
      </c>
      <c r="F7" s="33" t="str">
        <f t="shared" si="0"/>
        <v>H120x120x3.2x4.5</v>
      </c>
    </row>
    <row r="8" spans="1:6" x14ac:dyDescent="0.3">
      <c r="A8" s="13">
        <v>6</v>
      </c>
      <c r="B8" s="14">
        <v>120</v>
      </c>
      <c r="C8" s="14">
        <v>120</v>
      </c>
      <c r="D8" s="34">
        <v>4.5</v>
      </c>
      <c r="E8" s="35">
        <v>6</v>
      </c>
      <c r="F8" s="33" t="str">
        <f t="shared" si="0"/>
        <v>H120x120x4.5x6</v>
      </c>
    </row>
    <row r="9" spans="1:6" x14ac:dyDescent="0.3">
      <c r="A9" s="13">
        <v>7</v>
      </c>
      <c r="B9" s="14">
        <v>150</v>
      </c>
      <c r="C9" s="14">
        <v>75</v>
      </c>
      <c r="D9" s="34">
        <v>3.2</v>
      </c>
      <c r="E9" s="35">
        <v>4.5</v>
      </c>
      <c r="F9" s="33" t="str">
        <f t="shared" si="0"/>
        <v>H150x75x3.2x4.5</v>
      </c>
    </row>
    <row r="10" spans="1:6" x14ac:dyDescent="0.3">
      <c r="A10" s="13">
        <v>8</v>
      </c>
      <c r="B10" s="14">
        <v>150</v>
      </c>
      <c r="C10" s="14">
        <v>75</v>
      </c>
      <c r="D10" s="34">
        <v>4.5</v>
      </c>
      <c r="E10" s="35">
        <v>6</v>
      </c>
      <c r="F10" s="33" t="str">
        <f t="shared" si="0"/>
        <v>H150x75x4.5x6</v>
      </c>
    </row>
    <row r="11" spans="1:6" x14ac:dyDescent="0.3">
      <c r="A11" s="13">
        <v>9</v>
      </c>
      <c r="B11" s="14">
        <v>150</v>
      </c>
      <c r="C11" s="14">
        <v>100</v>
      </c>
      <c r="D11" s="34">
        <v>3.2</v>
      </c>
      <c r="E11" s="35">
        <v>4.5</v>
      </c>
      <c r="F11" s="33" t="str">
        <f t="shared" si="0"/>
        <v>H150x100x3.2x4.5</v>
      </c>
    </row>
    <row r="12" spans="1:6" x14ac:dyDescent="0.3">
      <c r="A12" s="13">
        <v>10</v>
      </c>
      <c r="B12" s="14">
        <v>150</v>
      </c>
      <c r="C12" s="14">
        <v>100</v>
      </c>
      <c r="D12" s="34">
        <v>4.5</v>
      </c>
      <c r="E12" s="35">
        <v>6</v>
      </c>
      <c r="F12" s="33" t="str">
        <f t="shared" si="0"/>
        <v>H150x100x4.5x6</v>
      </c>
    </row>
    <row r="13" spans="1:6" x14ac:dyDescent="0.3">
      <c r="A13" s="13">
        <v>11</v>
      </c>
      <c r="B13" s="14">
        <v>150</v>
      </c>
      <c r="C13" s="14">
        <v>150</v>
      </c>
      <c r="D13" s="34">
        <v>4.5</v>
      </c>
      <c r="E13" s="35">
        <v>6</v>
      </c>
      <c r="F13" s="33" t="str">
        <f t="shared" si="0"/>
        <v>H150x150x4.5x6</v>
      </c>
    </row>
    <row r="14" spans="1:6" x14ac:dyDescent="0.3">
      <c r="A14" s="13">
        <v>12</v>
      </c>
      <c r="B14" s="14">
        <v>150</v>
      </c>
      <c r="C14" s="14">
        <v>150</v>
      </c>
      <c r="D14" s="34">
        <v>6</v>
      </c>
      <c r="E14" s="35">
        <v>8</v>
      </c>
      <c r="F14" s="33" t="str">
        <f t="shared" si="0"/>
        <v>H150x150x6x8</v>
      </c>
    </row>
    <row r="15" spans="1:6" x14ac:dyDescent="0.3">
      <c r="A15" s="13">
        <v>13</v>
      </c>
      <c r="B15" s="14">
        <v>200</v>
      </c>
      <c r="C15" s="14">
        <v>100</v>
      </c>
      <c r="D15" s="34">
        <v>3</v>
      </c>
      <c r="E15" s="35">
        <v>3</v>
      </c>
      <c r="F15" s="33" t="str">
        <f t="shared" si="0"/>
        <v>H200x100x3x3</v>
      </c>
    </row>
    <row r="16" spans="1:6" x14ac:dyDescent="0.3">
      <c r="A16" s="13">
        <v>14</v>
      </c>
      <c r="B16" s="14">
        <v>200</v>
      </c>
      <c r="C16" s="14">
        <v>100</v>
      </c>
      <c r="D16" s="34">
        <v>3.2</v>
      </c>
      <c r="E16" s="35">
        <v>4.5</v>
      </c>
      <c r="F16" s="33" t="str">
        <f t="shared" si="0"/>
        <v>H200x100x3.2x4.5</v>
      </c>
    </row>
    <row r="17" spans="1:6" x14ac:dyDescent="0.3">
      <c r="A17" s="13">
        <v>15</v>
      </c>
      <c r="B17" s="14">
        <v>200</v>
      </c>
      <c r="C17" s="14">
        <v>100</v>
      </c>
      <c r="D17" s="34">
        <v>4.5</v>
      </c>
      <c r="E17" s="35">
        <v>6</v>
      </c>
      <c r="F17" s="33" t="str">
        <f t="shared" si="0"/>
        <v>H200x100x4.5x6</v>
      </c>
    </row>
    <row r="18" spans="1:6" x14ac:dyDescent="0.3">
      <c r="A18" s="13">
        <v>16</v>
      </c>
      <c r="B18" s="14">
        <v>200</v>
      </c>
      <c r="C18" s="14">
        <v>100</v>
      </c>
      <c r="D18" s="34">
        <v>6</v>
      </c>
      <c r="E18" s="35">
        <v>8</v>
      </c>
      <c r="F18" s="33" t="str">
        <f t="shared" si="0"/>
        <v>H200x100x6x8</v>
      </c>
    </row>
    <row r="19" spans="1:6" x14ac:dyDescent="0.3">
      <c r="A19" s="13">
        <v>17</v>
      </c>
      <c r="B19" s="14">
        <v>200</v>
      </c>
      <c r="C19" s="14">
        <v>150</v>
      </c>
      <c r="D19" s="34">
        <v>3.2</v>
      </c>
      <c r="E19" s="35">
        <v>4.5</v>
      </c>
      <c r="F19" s="33" t="str">
        <f t="shared" si="0"/>
        <v>H200x150x3.2x4.5</v>
      </c>
    </row>
    <row r="20" spans="1:6" x14ac:dyDescent="0.3">
      <c r="A20" s="13">
        <v>18</v>
      </c>
      <c r="B20" s="14">
        <v>200</v>
      </c>
      <c r="C20" s="14">
        <v>150</v>
      </c>
      <c r="D20" s="34">
        <v>4.5</v>
      </c>
      <c r="E20" s="35">
        <v>6</v>
      </c>
      <c r="F20" s="33" t="str">
        <f t="shared" si="0"/>
        <v>H200x150x4.5x6</v>
      </c>
    </row>
    <row r="21" spans="1:6" x14ac:dyDescent="0.3">
      <c r="A21" s="13">
        <v>19</v>
      </c>
      <c r="B21" s="14">
        <v>200</v>
      </c>
      <c r="C21" s="14">
        <v>150</v>
      </c>
      <c r="D21" s="34">
        <v>6</v>
      </c>
      <c r="E21" s="35">
        <v>8</v>
      </c>
      <c r="F21" s="33" t="str">
        <f t="shared" si="0"/>
        <v>H200x150x6x8</v>
      </c>
    </row>
    <row r="22" spans="1:6" x14ac:dyDescent="0.3">
      <c r="A22" s="13">
        <v>20</v>
      </c>
      <c r="B22" s="14">
        <v>200</v>
      </c>
      <c r="C22" s="14">
        <v>200</v>
      </c>
      <c r="D22" s="34">
        <v>6</v>
      </c>
      <c r="E22" s="35">
        <v>8</v>
      </c>
      <c r="F22" s="33" t="str">
        <f t="shared" si="0"/>
        <v>H200x200x6x8</v>
      </c>
    </row>
    <row r="23" spans="1:6" x14ac:dyDescent="0.3">
      <c r="A23" s="13">
        <v>21</v>
      </c>
      <c r="B23" s="14">
        <v>200</v>
      </c>
      <c r="C23" s="14">
        <v>125</v>
      </c>
      <c r="D23" s="34">
        <v>3</v>
      </c>
      <c r="E23" s="35">
        <v>3</v>
      </c>
      <c r="F23" s="33" t="str">
        <f t="shared" si="0"/>
        <v>H200x125x3x3</v>
      </c>
    </row>
    <row r="24" spans="1:6" ht="14.5" thickBot="1" x14ac:dyDescent="0.35">
      <c r="A24" s="16">
        <v>22</v>
      </c>
      <c r="B24" s="17">
        <v>200</v>
      </c>
      <c r="C24" s="17">
        <v>125</v>
      </c>
      <c r="D24" s="36">
        <v>3.2</v>
      </c>
      <c r="E24" s="37">
        <v>4.5</v>
      </c>
      <c r="F24" s="33" t="str">
        <f t="shared" si="0"/>
        <v>H200x125x3.2x4.5</v>
      </c>
    </row>
    <row r="25" spans="1:6" ht="14.5" thickTop="1" x14ac:dyDescent="0.3"/>
  </sheetData>
  <mergeCells count="3">
    <mergeCell ref="A1:A2"/>
    <mergeCell ref="B1:E1"/>
    <mergeCell ref="F1:F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21CF3-82B5-4A37-9809-1E9EF2E225C6}">
  <sheetPr codeName="Sheet4"/>
  <dimension ref="A1:F16"/>
  <sheetViews>
    <sheetView tabSelected="1" workbookViewId="0">
      <selection activeCell="N28" sqref="N28"/>
    </sheetView>
  </sheetViews>
  <sheetFormatPr defaultRowHeight="14" x14ac:dyDescent="0.3"/>
  <cols>
    <col min="1" max="2" width="8.5" style="12" bestFit="1" customWidth="1"/>
    <col min="3" max="4" width="11.08203125" style="12" bestFit="1" customWidth="1"/>
    <col min="5" max="5" width="12.5" style="12" bestFit="1" customWidth="1"/>
    <col min="6" max="6" width="13.08203125" style="12" bestFit="1" customWidth="1"/>
    <col min="7" max="16384" width="8.6640625" style="12"/>
  </cols>
  <sheetData>
    <row r="1" spans="1:6" ht="14.5" thickTop="1" x14ac:dyDescent="0.3">
      <c r="A1" s="9" t="s">
        <v>241</v>
      </c>
      <c r="B1" s="10" t="s">
        <v>242</v>
      </c>
      <c r="C1" s="10" t="s">
        <v>243</v>
      </c>
      <c r="D1" s="10" t="s">
        <v>244</v>
      </c>
      <c r="E1" s="10" t="s">
        <v>245</v>
      </c>
      <c r="F1" s="11" t="s">
        <v>246</v>
      </c>
    </row>
    <row r="2" spans="1:6" x14ac:dyDescent="0.3">
      <c r="A2" s="66" t="s">
        <v>247</v>
      </c>
      <c r="B2" s="14" t="s">
        <v>1</v>
      </c>
      <c r="C2" s="14">
        <v>147</v>
      </c>
      <c r="D2" s="14">
        <v>100</v>
      </c>
      <c r="E2" s="14">
        <v>3.3</v>
      </c>
      <c r="F2" s="15">
        <v>4.2</v>
      </c>
    </row>
    <row r="3" spans="1:6" x14ac:dyDescent="0.3">
      <c r="A3" s="66"/>
      <c r="B3" s="14" t="s">
        <v>4</v>
      </c>
      <c r="C3" s="14">
        <v>148</v>
      </c>
      <c r="D3" s="14">
        <v>100</v>
      </c>
      <c r="E3" s="14">
        <v>4.3</v>
      </c>
      <c r="F3" s="15">
        <v>4.9000000000000004</v>
      </c>
    </row>
    <row r="4" spans="1:6" x14ac:dyDescent="0.3">
      <c r="A4" s="66"/>
      <c r="B4" s="14" t="s">
        <v>2</v>
      </c>
      <c r="C4" s="14">
        <v>150</v>
      </c>
      <c r="D4" s="14">
        <v>100</v>
      </c>
      <c r="E4" s="14">
        <v>4.3</v>
      </c>
      <c r="F4" s="15">
        <v>5.5</v>
      </c>
    </row>
    <row r="5" spans="1:6" x14ac:dyDescent="0.3">
      <c r="A5" s="66"/>
      <c r="B5" s="14" t="s">
        <v>5</v>
      </c>
      <c r="C5" s="14">
        <v>153</v>
      </c>
      <c r="D5" s="14">
        <v>102</v>
      </c>
      <c r="E5" s="14">
        <v>5.8</v>
      </c>
      <c r="F5" s="15">
        <v>7.1</v>
      </c>
    </row>
    <row r="6" spans="1:6" x14ac:dyDescent="0.3">
      <c r="A6" s="66"/>
      <c r="B6" s="14" t="s">
        <v>6</v>
      </c>
      <c r="C6" s="14">
        <v>152</v>
      </c>
      <c r="D6" s="14">
        <v>152</v>
      </c>
      <c r="E6" s="14">
        <v>5.8</v>
      </c>
      <c r="F6" s="15">
        <v>6.6</v>
      </c>
    </row>
    <row r="7" spans="1:6" x14ac:dyDescent="0.3">
      <c r="A7" s="66"/>
      <c r="B7" s="14" t="s">
        <v>7</v>
      </c>
      <c r="C7" s="14">
        <v>157</v>
      </c>
      <c r="D7" s="14">
        <v>153</v>
      </c>
      <c r="E7" s="14">
        <v>6.6</v>
      </c>
      <c r="F7" s="15">
        <v>9.3000000000000007</v>
      </c>
    </row>
    <row r="8" spans="1:6" x14ac:dyDescent="0.3">
      <c r="A8" s="66"/>
      <c r="B8" s="14" t="s">
        <v>13</v>
      </c>
      <c r="C8" s="14">
        <v>162</v>
      </c>
      <c r="D8" s="14">
        <v>154</v>
      </c>
      <c r="E8" s="14">
        <v>8.1</v>
      </c>
      <c r="F8" s="15">
        <v>11.6</v>
      </c>
    </row>
    <row r="9" spans="1:6" x14ac:dyDescent="0.3">
      <c r="A9" s="66"/>
      <c r="B9" s="14" t="s">
        <v>3</v>
      </c>
      <c r="C9" s="14">
        <v>198</v>
      </c>
      <c r="D9" s="14">
        <v>99</v>
      </c>
      <c r="E9" s="14">
        <v>3.3</v>
      </c>
      <c r="F9" s="15">
        <v>4.2</v>
      </c>
    </row>
    <row r="10" spans="1:6" x14ac:dyDescent="0.3">
      <c r="A10" s="66"/>
      <c r="B10" s="14" t="s">
        <v>8</v>
      </c>
      <c r="C10" s="14">
        <v>199</v>
      </c>
      <c r="D10" s="14">
        <v>100</v>
      </c>
      <c r="E10" s="14">
        <v>3.8</v>
      </c>
      <c r="F10" s="15">
        <v>4.7</v>
      </c>
    </row>
    <row r="11" spans="1:6" x14ac:dyDescent="0.3">
      <c r="A11" s="66"/>
      <c r="B11" s="14" t="s">
        <v>0</v>
      </c>
      <c r="C11" s="14">
        <v>200</v>
      </c>
      <c r="D11" s="14">
        <v>100</v>
      </c>
      <c r="E11" s="14">
        <v>4.3</v>
      </c>
      <c r="F11" s="15">
        <v>5.2</v>
      </c>
    </row>
    <row r="12" spans="1:6" x14ac:dyDescent="0.3">
      <c r="A12" s="66"/>
      <c r="B12" s="14" t="s">
        <v>9</v>
      </c>
      <c r="C12" s="14">
        <v>203</v>
      </c>
      <c r="D12" s="14">
        <v>102</v>
      </c>
      <c r="E12" s="14">
        <v>5.8</v>
      </c>
      <c r="F12" s="15">
        <v>6.5</v>
      </c>
    </row>
    <row r="13" spans="1:6" x14ac:dyDescent="0.3">
      <c r="A13" s="66"/>
      <c r="B13" s="14" t="s">
        <v>10</v>
      </c>
      <c r="C13" s="14">
        <v>206</v>
      </c>
      <c r="D13" s="14">
        <v>102</v>
      </c>
      <c r="E13" s="14">
        <v>6.2</v>
      </c>
      <c r="F13" s="15">
        <v>8</v>
      </c>
    </row>
    <row r="14" spans="1:6" x14ac:dyDescent="0.3">
      <c r="A14" s="66"/>
      <c r="B14" s="14" t="s">
        <v>11</v>
      </c>
      <c r="C14" s="14">
        <v>207</v>
      </c>
      <c r="D14" s="14">
        <v>133</v>
      </c>
      <c r="E14" s="14">
        <v>5.8</v>
      </c>
      <c r="F14" s="15">
        <v>8.4</v>
      </c>
    </row>
    <row r="15" spans="1:6" ht="14.5" thickBot="1" x14ac:dyDescent="0.35">
      <c r="A15" s="70"/>
      <c r="B15" s="17" t="s">
        <v>12</v>
      </c>
      <c r="C15" s="17">
        <v>210</v>
      </c>
      <c r="D15" s="17">
        <v>134</v>
      </c>
      <c r="E15" s="17">
        <v>6.4</v>
      </c>
      <c r="F15" s="18">
        <v>10.199999999999999</v>
      </c>
    </row>
    <row r="16" spans="1:6" ht="14.5" thickTop="1" x14ac:dyDescent="0.3"/>
  </sheetData>
  <mergeCells count="1">
    <mergeCell ref="A2:A15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B59FB-99F0-4615-971E-82F8FC8AD866}">
  <sheetPr codeName="Sheet5"/>
  <dimension ref="A1:E292"/>
  <sheetViews>
    <sheetView zoomScaleNormal="100" workbookViewId="0">
      <selection activeCell="L39" sqref="L39"/>
    </sheetView>
  </sheetViews>
  <sheetFormatPr defaultRowHeight="14" x14ac:dyDescent="0.3"/>
  <cols>
    <col min="1" max="16384" width="8.6640625" style="6"/>
  </cols>
  <sheetData>
    <row r="1" spans="1:5" ht="14.5" thickTop="1" x14ac:dyDescent="0.3">
      <c r="A1" s="71" t="s">
        <v>276</v>
      </c>
      <c r="B1" s="73" t="s">
        <v>277</v>
      </c>
      <c r="C1" s="74"/>
      <c r="D1" s="75" t="s">
        <v>253</v>
      </c>
      <c r="E1" s="76"/>
    </row>
    <row r="2" spans="1:5" x14ac:dyDescent="0.3">
      <c r="A2" s="72"/>
      <c r="B2" s="30" t="s">
        <v>278</v>
      </c>
      <c r="C2" s="31" t="s">
        <v>279</v>
      </c>
      <c r="D2" s="39" t="s">
        <v>278</v>
      </c>
      <c r="E2" s="6" t="s">
        <v>279</v>
      </c>
    </row>
    <row r="3" spans="1:5" x14ac:dyDescent="0.3">
      <c r="A3" s="29">
        <v>30</v>
      </c>
      <c r="B3" s="40"/>
      <c r="C3" s="41">
        <v>2</v>
      </c>
      <c r="D3" s="6" t="str">
        <f xml:space="preserve"> IF(B3 = "",  "", "φ" &amp; A3 &amp; "x" &amp; TEXT(B3, "0.0"))</f>
        <v/>
      </c>
      <c r="E3" s="6" t="str">
        <f xml:space="preserve"> IF(C3 = "",  "", "φ" &amp; A3 &amp; "x" &amp; TEXT(C3, "0.0"))</f>
        <v>φ30x2.0</v>
      </c>
    </row>
    <row r="4" spans="1:5" x14ac:dyDescent="0.3">
      <c r="A4" s="29">
        <v>30</v>
      </c>
      <c r="B4" s="40"/>
      <c r="C4" s="41">
        <v>2.5</v>
      </c>
      <c r="D4" s="6" t="str">
        <f t="shared" ref="D4:D67" si="0" xml:space="preserve"> IF(B4 = "",  "", "φ" &amp; A4 &amp; "x" &amp; TEXT(B4, "0.0"))</f>
        <v/>
      </c>
      <c r="E4" s="6" t="str">
        <f t="shared" ref="E4:E67" si="1" xml:space="preserve"> IF(C4 = "",  "", "φ" &amp; A4 &amp; "x" &amp; TEXT(C4, "0.0"))</f>
        <v>φ30x2.5</v>
      </c>
    </row>
    <row r="5" spans="1:5" x14ac:dyDescent="0.3">
      <c r="A5" s="29">
        <v>34</v>
      </c>
      <c r="B5" s="40"/>
      <c r="C5" s="41">
        <v>2</v>
      </c>
      <c r="D5" s="6" t="str">
        <f t="shared" si="0"/>
        <v/>
      </c>
      <c r="E5" s="6" t="str">
        <f t="shared" si="1"/>
        <v>φ34x2.0</v>
      </c>
    </row>
    <row r="6" spans="1:5" x14ac:dyDescent="0.3">
      <c r="A6" s="29">
        <v>34</v>
      </c>
      <c r="B6" s="40"/>
      <c r="C6" s="41">
        <v>2.5</v>
      </c>
      <c r="D6" s="6" t="str">
        <f t="shared" si="0"/>
        <v/>
      </c>
      <c r="E6" s="6" t="str">
        <f t="shared" si="1"/>
        <v>φ34x2.5</v>
      </c>
    </row>
    <row r="7" spans="1:5" x14ac:dyDescent="0.3">
      <c r="A7" s="29">
        <v>38</v>
      </c>
      <c r="B7" s="40"/>
      <c r="C7" s="41">
        <v>2</v>
      </c>
      <c r="D7" s="6" t="str">
        <f t="shared" si="0"/>
        <v/>
      </c>
      <c r="E7" s="6" t="str">
        <f t="shared" si="1"/>
        <v>φ38x2.0</v>
      </c>
    </row>
    <row r="8" spans="1:5" x14ac:dyDescent="0.3">
      <c r="A8" s="29">
        <v>38</v>
      </c>
      <c r="B8" s="40">
        <v>2.5</v>
      </c>
      <c r="C8" s="41">
        <v>2.5</v>
      </c>
      <c r="D8" s="6" t="str">
        <f t="shared" si="0"/>
        <v>φ38x2.5</v>
      </c>
      <c r="E8" s="6" t="str">
        <f t="shared" si="1"/>
        <v>φ38x2.5</v>
      </c>
    </row>
    <row r="9" spans="1:5" x14ac:dyDescent="0.3">
      <c r="A9" s="29">
        <v>38</v>
      </c>
      <c r="B9" s="40">
        <v>3</v>
      </c>
      <c r="C9" s="41"/>
      <c r="D9" s="6" t="str">
        <f t="shared" si="0"/>
        <v>φ38x3.0</v>
      </c>
      <c r="E9" s="6" t="str">
        <f t="shared" si="1"/>
        <v/>
      </c>
    </row>
    <row r="10" spans="1:5" x14ac:dyDescent="0.3">
      <c r="A10" s="29">
        <v>38</v>
      </c>
      <c r="B10" s="40">
        <v>3.5</v>
      </c>
      <c r="C10" s="41"/>
      <c r="D10" s="6" t="str">
        <f t="shared" si="0"/>
        <v>φ38x3.5</v>
      </c>
      <c r="E10" s="6" t="str">
        <f t="shared" si="1"/>
        <v/>
      </c>
    </row>
    <row r="11" spans="1:5" x14ac:dyDescent="0.3">
      <c r="A11" s="29">
        <v>40</v>
      </c>
      <c r="B11" s="40"/>
      <c r="C11" s="41">
        <v>2</v>
      </c>
      <c r="D11" s="6" t="str">
        <f t="shared" si="0"/>
        <v/>
      </c>
      <c r="E11" s="6" t="str">
        <f t="shared" si="1"/>
        <v>φ40x2.0</v>
      </c>
    </row>
    <row r="12" spans="1:5" x14ac:dyDescent="0.3">
      <c r="A12" s="29">
        <v>40</v>
      </c>
      <c r="B12" s="40"/>
      <c r="C12" s="41">
        <v>2.5</v>
      </c>
      <c r="D12" s="6" t="str">
        <f t="shared" si="0"/>
        <v/>
      </c>
      <c r="E12" s="6" t="str">
        <f t="shared" si="1"/>
        <v>φ40x2.5</v>
      </c>
    </row>
    <row r="13" spans="1:5" x14ac:dyDescent="0.3">
      <c r="A13" s="29">
        <v>42</v>
      </c>
      <c r="B13" s="40"/>
      <c r="C13" s="41">
        <v>2</v>
      </c>
      <c r="D13" s="6" t="str">
        <f t="shared" si="0"/>
        <v/>
      </c>
      <c r="E13" s="6" t="str">
        <f t="shared" si="1"/>
        <v>φ42x2.0</v>
      </c>
    </row>
    <row r="14" spans="1:5" x14ac:dyDescent="0.3">
      <c r="A14" s="29">
        <v>42</v>
      </c>
      <c r="B14" s="40">
        <v>2.5</v>
      </c>
      <c r="C14" s="41">
        <v>2.5</v>
      </c>
      <c r="D14" s="6" t="str">
        <f t="shared" si="0"/>
        <v>φ42x2.5</v>
      </c>
      <c r="E14" s="6" t="str">
        <f t="shared" si="1"/>
        <v>φ42x2.5</v>
      </c>
    </row>
    <row r="15" spans="1:5" x14ac:dyDescent="0.3">
      <c r="A15" s="29">
        <v>42</v>
      </c>
      <c r="B15" s="40">
        <v>3</v>
      </c>
      <c r="C15" s="41"/>
      <c r="D15" s="6" t="str">
        <f t="shared" si="0"/>
        <v>φ42x3.0</v>
      </c>
      <c r="E15" s="6" t="str">
        <f t="shared" si="1"/>
        <v/>
      </c>
    </row>
    <row r="16" spans="1:5" x14ac:dyDescent="0.3">
      <c r="A16" s="29">
        <v>42</v>
      </c>
      <c r="B16" s="40">
        <v>3.5</v>
      </c>
      <c r="C16" s="41"/>
      <c r="D16" s="6" t="str">
        <f t="shared" si="0"/>
        <v>φ42x3.5</v>
      </c>
      <c r="E16" s="6" t="str">
        <f t="shared" si="1"/>
        <v/>
      </c>
    </row>
    <row r="17" spans="1:5" x14ac:dyDescent="0.3">
      <c r="A17" s="29">
        <v>42</v>
      </c>
      <c r="B17" s="40">
        <v>4</v>
      </c>
      <c r="C17" s="41"/>
      <c r="D17" s="6" t="str">
        <f t="shared" si="0"/>
        <v>φ42x4.0</v>
      </c>
      <c r="E17" s="6" t="str">
        <f t="shared" si="1"/>
        <v/>
      </c>
    </row>
    <row r="18" spans="1:5" x14ac:dyDescent="0.3">
      <c r="A18" s="29">
        <v>45</v>
      </c>
      <c r="B18" s="40"/>
      <c r="C18" s="41">
        <v>2</v>
      </c>
      <c r="D18" s="6" t="str">
        <f t="shared" si="0"/>
        <v/>
      </c>
      <c r="E18" s="6" t="str">
        <f t="shared" si="1"/>
        <v>φ45x2.0</v>
      </c>
    </row>
    <row r="19" spans="1:5" x14ac:dyDescent="0.3">
      <c r="A19" s="29">
        <v>45</v>
      </c>
      <c r="B19" s="40">
        <v>2.5</v>
      </c>
      <c r="C19" s="41">
        <v>2.5</v>
      </c>
      <c r="D19" s="6" t="str">
        <f t="shared" si="0"/>
        <v>φ45x2.5</v>
      </c>
      <c r="E19" s="6" t="str">
        <f t="shared" si="1"/>
        <v>φ45x2.5</v>
      </c>
    </row>
    <row r="20" spans="1:5" x14ac:dyDescent="0.3">
      <c r="A20" s="29">
        <v>45</v>
      </c>
      <c r="B20" s="40">
        <v>3</v>
      </c>
      <c r="C20" s="41">
        <v>3</v>
      </c>
      <c r="D20" s="6" t="str">
        <f t="shared" si="0"/>
        <v>φ45x3.0</v>
      </c>
      <c r="E20" s="6" t="str">
        <f t="shared" si="1"/>
        <v>φ45x3.0</v>
      </c>
    </row>
    <row r="21" spans="1:5" x14ac:dyDescent="0.3">
      <c r="A21" s="29">
        <v>45</v>
      </c>
      <c r="B21" s="40">
        <v>3.5</v>
      </c>
      <c r="C21" s="41"/>
      <c r="D21" s="6" t="str">
        <f t="shared" si="0"/>
        <v>φ45x3.5</v>
      </c>
      <c r="E21" s="6" t="str">
        <f t="shared" si="1"/>
        <v/>
      </c>
    </row>
    <row r="22" spans="1:5" x14ac:dyDescent="0.3">
      <c r="A22" s="29">
        <v>45</v>
      </c>
      <c r="B22" s="40">
        <v>4</v>
      </c>
      <c r="C22" s="41"/>
      <c r="D22" s="6" t="str">
        <f t="shared" si="0"/>
        <v>φ45x4.0</v>
      </c>
      <c r="E22" s="6" t="str">
        <f t="shared" si="1"/>
        <v/>
      </c>
    </row>
    <row r="23" spans="1:5" x14ac:dyDescent="0.3">
      <c r="A23" s="29">
        <v>50</v>
      </c>
      <c r="B23" s="40">
        <v>2.5</v>
      </c>
      <c r="C23" s="41"/>
      <c r="D23" s="6" t="str">
        <f t="shared" si="0"/>
        <v>φ50x2.5</v>
      </c>
      <c r="E23" s="6" t="str">
        <f t="shared" si="1"/>
        <v/>
      </c>
    </row>
    <row r="24" spans="1:5" x14ac:dyDescent="0.3">
      <c r="A24" s="29">
        <v>50</v>
      </c>
      <c r="B24" s="40">
        <v>3</v>
      </c>
      <c r="C24" s="41"/>
      <c r="D24" s="6" t="str">
        <f t="shared" si="0"/>
        <v>φ50x3.0</v>
      </c>
      <c r="E24" s="6" t="str">
        <f t="shared" si="1"/>
        <v/>
      </c>
    </row>
    <row r="25" spans="1:5" x14ac:dyDescent="0.3">
      <c r="A25" s="29">
        <v>50</v>
      </c>
      <c r="B25" s="40">
        <v>3.5</v>
      </c>
      <c r="C25" s="41"/>
      <c r="D25" s="6" t="str">
        <f t="shared" si="0"/>
        <v>φ50x3.5</v>
      </c>
      <c r="E25" s="6" t="str">
        <f t="shared" si="1"/>
        <v/>
      </c>
    </row>
    <row r="26" spans="1:5" x14ac:dyDescent="0.3">
      <c r="A26" s="29">
        <v>50</v>
      </c>
      <c r="B26" s="40">
        <v>4</v>
      </c>
      <c r="C26" s="41"/>
      <c r="D26" s="6" t="str">
        <f t="shared" si="0"/>
        <v>φ50x4.0</v>
      </c>
      <c r="E26" s="6" t="str">
        <f t="shared" si="1"/>
        <v/>
      </c>
    </row>
    <row r="27" spans="1:5" x14ac:dyDescent="0.3">
      <c r="A27" s="29">
        <v>50</v>
      </c>
      <c r="B27" s="40">
        <v>4.5</v>
      </c>
      <c r="C27" s="41"/>
      <c r="D27" s="6" t="str">
        <f t="shared" si="0"/>
        <v>φ50x4.5</v>
      </c>
      <c r="E27" s="6" t="str">
        <f t="shared" si="1"/>
        <v/>
      </c>
    </row>
    <row r="28" spans="1:5" x14ac:dyDescent="0.3">
      <c r="A28" s="29">
        <v>50</v>
      </c>
      <c r="B28" s="40">
        <v>5</v>
      </c>
      <c r="C28" s="41"/>
      <c r="D28" s="6" t="str">
        <f t="shared" si="0"/>
        <v>φ50x5.0</v>
      </c>
      <c r="E28" s="6" t="str">
        <f t="shared" si="1"/>
        <v/>
      </c>
    </row>
    <row r="29" spans="1:5" x14ac:dyDescent="0.3">
      <c r="A29" s="29">
        <v>51</v>
      </c>
      <c r="B29" s="40"/>
      <c r="C29" s="41">
        <v>2</v>
      </c>
      <c r="D29" s="6" t="str">
        <f t="shared" si="0"/>
        <v/>
      </c>
      <c r="E29" s="6" t="str">
        <f t="shared" si="1"/>
        <v>φ51x2.0</v>
      </c>
    </row>
    <row r="30" spans="1:5" x14ac:dyDescent="0.3">
      <c r="A30" s="29">
        <v>51</v>
      </c>
      <c r="B30" s="40"/>
      <c r="C30" s="41">
        <v>2.5</v>
      </c>
      <c r="D30" s="6" t="str">
        <f t="shared" si="0"/>
        <v/>
      </c>
      <c r="E30" s="6" t="str">
        <f t="shared" si="1"/>
        <v>φ51x2.5</v>
      </c>
    </row>
    <row r="31" spans="1:5" x14ac:dyDescent="0.3">
      <c r="A31" s="29">
        <v>51</v>
      </c>
      <c r="B31" s="40"/>
      <c r="C31" s="41">
        <v>3</v>
      </c>
      <c r="D31" s="6" t="str">
        <f t="shared" si="0"/>
        <v/>
      </c>
      <c r="E31" s="6" t="str">
        <f t="shared" si="1"/>
        <v>φ51x3.0</v>
      </c>
    </row>
    <row r="32" spans="1:5" x14ac:dyDescent="0.3">
      <c r="A32" s="29">
        <v>51</v>
      </c>
      <c r="B32" s="40"/>
      <c r="C32" s="41">
        <v>3.5</v>
      </c>
      <c r="D32" s="6" t="str">
        <f t="shared" si="0"/>
        <v/>
      </c>
      <c r="E32" s="6" t="str">
        <f t="shared" si="1"/>
        <v>φ51x3.5</v>
      </c>
    </row>
    <row r="33" spans="1:5" x14ac:dyDescent="0.3">
      <c r="A33" s="29">
        <v>54</v>
      </c>
      <c r="B33" s="40"/>
      <c r="C33" s="41">
        <v>2</v>
      </c>
      <c r="D33" s="6" t="str">
        <f t="shared" si="0"/>
        <v/>
      </c>
      <c r="E33" s="6" t="str">
        <f t="shared" si="1"/>
        <v>φ54x2.0</v>
      </c>
    </row>
    <row r="34" spans="1:5" x14ac:dyDescent="0.3">
      <c r="A34" s="29">
        <v>54</v>
      </c>
      <c r="B34" s="40"/>
      <c r="C34" s="41">
        <v>2.5</v>
      </c>
      <c r="D34" s="6" t="str">
        <f t="shared" si="0"/>
        <v/>
      </c>
      <c r="E34" s="6" t="str">
        <f t="shared" si="1"/>
        <v>φ54x2.5</v>
      </c>
    </row>
    <row r="35" spans="1:5" x14ac:dyDescent="0.3">
      <c r="A35" s="29">
        <v>54</v>
      </c>
      <c r="B35" s="40">
        <v>3</v>
      </c>
      <c r="C35" s="41">
        <v>3</v>
      </c>
      <c r="D35" s="6" t="str">
        <f t="shared" si="0"/>
        <v>φ54x3.0</v>
      </c>
      <c r="E35" s="6" t="str">
        <f t="shared" si="1"/>
        <v>φ54x3.0</v>
      </c>
    </row>
    <row r="36" spans="1:5" x14ac:dyDescent="0.3">
      <c r="A36" s="29">
        <v>54</v>
      </c>
      <c r="B36" s="40">
        <v>3.5</v>
      </c>
      <c r="C36" s="41">
        <v>3.5</v>
      </c>
      <c r="D36" s="6" t="str">
        <f t="shared" si="0"/>
        <v>φ54x3.5</v>
      </c>
      <c r="E36" s="6" t="str">
        <f t="shared" si="1"/>
        <v>φ54x3.5</v>
      </c>
    </row>
    <row r="37" spans="1:5" x14ac:dyDescent="0.3">
      <c r="A37" s="29">
        <v>54</v>
      </c>
      <c r="B37" s="40">
        <v>4</v>
      </c>
      <c r="C37" s="41"/>
      <c r="D37" s="6" t="str">
        <f t="shared" si="0"/>
        <v>φ54x4.0</v>
      </c>
      <c r="E37" s="6" t="str">
        <f t="shared" si="1"/>
        <v/>
      </c>
    </row>
    <row r="38" spans="1:5" x14ac:dyDescent="0.3">
      <c r="A38" s="29">
        <v>54</v>
      </c>
      <c r="B38" s="40">
        <v>4.5</v>
      </c>
      <c r="C38" s="41"/>
      <c r="D38" s="6" t="str">
        <f t="shared" si="0"/>
        <v>φ54x4.5</v>
      </c>
      <c r="E38" s="6" t="str">
        <f t="shared" si="1"/>
        <v/>
      </c>
    </row>
    <row r="39" spans="1:5" x14ac:dyDescent="0.3">
      <c r="A39" s="29">
        <v>54</v>
      </c>
      <c r="B39" s="40">
        <v>5</v>
      </c>
      <c r="C39" s="41"/>
      <c r="D39" s="6" t="str">
        <f t="shared" si="0"/>
        <v>φ54x5.0</v>
      </c>
      <c r="E39" s="6" t="str">
        <f t="shared" si="1"/>
        <v/>
      </c>
    </row>
    <row r="40" spans="1:5" x14ac:dyDescent="0.3">
      <c r="A40" s="29">
        <v>57</v>
      </c>
      <c r="B40" s="40"/>
      <c r="C40" s="41">
        <v>2</v>
      </c>
      <c r="D40" s="6" t="str">
        <f t="shared" si="0"/>
        <v/>
      </c>
      <c r="E40" s="6" t="str">
        <f t="shared" si="1"/>
        <v>φ57x2.0</v>
      </c>
    </row>
    <row r="41" spans="1:5" x14ac:dyDescent="0.3">
      <c r="A41" s="29">
        <v>57</v>
      </c>
      <c r="B41" s="40"/>
      <c r="C41" s="41">
        <v>2.5</v>
      </c>
      <c r="D41" s="6" t="str">
        <f t="shared" si="0"/>
        <v/>
      </c>
      <c r="E41" s="6" t="str">
        <f t="shared" si="1"/>
        <v>φ57x2.5</v>
      </c>
    </row>
    <row r="42" spans="1:5" x14ac:dyDescent="0.3">
      <c r="A42" s="29">
        <v>57</v>
      </c>
      <c r="B42" s="40">
        <v>3</v>
      </c>
      <c r="C42" s="41">
        <v>3</v>
      </c>
      <c r="D42" s="6" t="str">
        <f t="shared" si="0"/>
        <v>φ57x3.0</v>
      </c>
      <c r="E42" s="6" t="str">
        <f t="shared" si="1"/>
        <v>φ57x3.0</v>
      </c>
    </row>
    <row r="43" spans="1:5" x14ac:dyDescent="0.3">
      <c r="A43" s="29">
        <v>57</v>
      </c>
      <c r="B43" s="40">
        <v>3.5</v>
      </c>
      <c r="C43" s="41">
        <v>3.5</v>
      </c>
      <c r="D43" s="6" t="str">
        <f t="shared" si="0"/>
        <v>φ57x3.5</v>
      </c>
      <c r="E43" s="6" t="str">
        <f t="shared" si="1"/>
        <v>φ57x3.5</v>
      </c>
    </row>
    <row r="44" spans="1:5" x14ac:dyDescent="0.3">
      <c r="A44" s="29">
        <v>57</v>
      </c>
      <c r="B44" s="40">
        <v>4</v>
      </c>
      <c r="C44" s="41"/>
      <c r="D44" s="6" t="str">
        <f t="shared" si="0"/>
        <v>φ57x4.0</v>
      </c>
      <c r="E44" s="6" t="str">
        <f t="shared" si="1"/>
        <v/>
      </c>
    </row>
    <row r="45" spans="1:5" x14ac:dyDescent="0.3">
      <c r="A45" s="29">
        <v>57</v>
      </c>
      <c r="B45" s="40">
        <v>4.5</v>
      </c>
      <c r="C45" s="41"/>
      <c r="D45" s="6" t="str">
        <f t="shared" si="0"/>
        <v>φ57x4.5</v>
      </c>
      <c r="E45" s="6" t="str">
        <f t="shared" si="1"/>
        <v/>
      </c>
    </row>
    <row r="46" spans="1:5" x14ac:dyDescent="0.3">
      <c r="A46" s="29">
        <v>57</v>
      </c>
      <c r="B46" s="40">
        <v>5</v>
      </c>
      <c r="C46" s="41"/>
      <c r="D46" s="6" t="str">
        <f t="shared" si="0"/>
        <v>φ57x5.0</v>
      </c>
      <c r="E46" s="6" t="str">
        <f t="shared" si="1"/>
        <v/>
      </c>
    </row>
    <row r="47" spans="1:5" x14ac:dyDescent="0.3">
      <c r="A47" s="29">
        <v>57</v>
      </c>
      <c r="B47" s="40">
        <v>5.5</v>
      </c>
      <c r="C47" s="41"/>
      <c r="D47" s="6" t="str">
        <f t="shared" si="0"/>
        <v>φ57x5.5</v>
      </c>
      <c r="E47" s="6" t="str">
        <f t="shared" si="1"/>
        <v/>
      </c>
    </row>
    <row r="48" spans="1:5" x14ac:dyDescent="0.3">
      <c r="A48" s="29">
        <v>60</v>
      </c>
      <c r="B48" s="40"/>
      <c r="C48" s="41">
        <v>2</v>
      </c>
      <c r="D48" s="6" t="str">
        <f t="shared" si="0"/>
        <v/>
      </c>
      <c r="E48" s="6" t="str">
        <f t="shared" si="1"/>
        <v>φ60x2.0</v>
      </c>
    </row>
    <row r="49" spans="1:5" x14ac:dyDescent="0.3">
      <c r="A49" s="29">
        <v>60</v>
      </c>
      <c r="B49" s="40"/>
      <c r="C49" s="41">
        <v>2.5</v>
      </c>
      <c r="D49" s="6" t="str">
        <f t="shared" si="0"/>
        <v/>
      </c>
      <c r="E49" s="6" t="str">
        <f t="shared" si="1"/>
        <v>φ60x2.5</v>
      </c>
    </row>
    <row r="50" spans="1:5" x14ac:dyDescent="0.3">
      <c r="A50" s="29">
        <v>60</v>
      </c>
      <c r="B50" s="40">
        <v>3</v>
      </c>
      <c r="C50" s="41">
        <v>3</v>
      </c>
      <c r="D50" s="6" t="str">
        <f t="shared" si="0"/>
        <v>φ60x3.0</v>
      </c>
      <c r="E50" s="6" t="str">
        <f t="shared" si="1"/>
        <v>φ60x3.0</v>
      </c>
    </row>
    <row r="51" spans="1:5" x14ac:dyDescent="0.3">
      <c r="A51" s="29">
        <v>60</v>
      </c>
      <c r="B51" s="40">
        <v>3.5</v>
      </c>
      <c r="C51" s="41">
        <v>3.5</v>
      </c>
      <c r="D51" s="6" t="str">
        <f t="shared" si="0"/>
        <v>φ60x3.5</v>
      </c>
      <c r="E51" s="6" t="str">
        <f t="shared" si="1"/>
        <v>φ60x3.5</v>
      </c>
    </row>
    <row r="52" spans="1:5" x14ac:dyDescent="0.3">
      <c r="A52" s="29">
        <v>60</v>
      </c>
      <c r="B52" s="40">
        <v>4</v>
      </c>
      <c r="C52" s="41"/>
      <c r="D52" s="6" t="str">
        <f t="shared" si="0"/>
        <v>φ60x4.0</v>
      </c>
      <c r="E52" s="6" t="str">
        <f t="shared" si="1"/>
        <v/>
      </c>
    </row>
    <row r="53" spans="1:5" x14ac:dyDescent="0.3">
      <c r="A53" s="29">
        <v>60</v>
      </c>
      <c r="B53" s="40">
        <v>4.5</v>
      </c>
      <c r="C53" s="41"/>
      <c r="D53" s="6" t="str">
        <f t="shared" si="0"/>
        <v>φ60x4.5</v>
      </c>
      <c r="E53" s="6" t="str">
        <f t="shared" si="1"/>
        <v/>
      </c>
    </row>
    <row r="54" spans="1:5" x14ac:dyDescent="0.3">
      <c r="A54" s="29">
        <v>60</v>
      </c>
      <c r="B54" s="40">
        <v>5</v>
      </c>
      <c r="C54" s="41"/>
      <c r="D54" s="6" t="str">
        <f t="shared" si="0"/>
        <v>φ60x5.0</v>
      </c>
      <c r="E54" s="6" t="str">
        <f t="shared" si="1"/>
        <v/>
      </c>
    </row>
    <row r="55" spans="1:5" x14ac:dyDescent="0.3">
      <c r="A55" s="29">
        <v>60</v>
      </c>
      <c r="B55" s="40">
        <v>5.5</v>
      </c>
      <c r="C55" s="41"/>
      <c r="D55" s="6" t="str">
        <f t="shared" si="0"/>
        <v>φ60x5.5</v>
      </c>
      <c r="E55" s="6" t="str">
        <f t="shared" si="1"/>
        <v/>
      </c>
    </row>
    <row r="56" spans="1:5" x14ac:dyDescent="0.3">
      <c r="A56" s="29">
        <v>60</v>
      </c>
      <c r="B56" s="40">
        <v>6</v>
      </c>
      <c r="C56" s="41"/>
      <c r="D56" s="6" t="str">
        <f t="shared" si="0"/>
        <v>φ60x6.0</v>
      </c>
      <c r="E56" s="6" t="str">
        <f t="shared" si="1"/>
        <v/>
      </c>
    </row>
    <row r="57" spans="1:5" x14ac:dyDescent="0.3">
      <c r="A57" s="29">
        <v>63.5</v>
      </c>
      <c r="B57" s="40"/>
      <c r="C57" s="41">
        <v>2</v>
      </c>
      <c r="D57" s="6" t="str">
        <f t="shared" si="0"/>
        <v/>
      </c>
      <c r="E57" s="6" t="str">
        <f t="shared" si="1"/>
        <v>φ63.5x2.0</v>
      </c>
    </row>
    <row r="58" spans="1:5" x14ac:dyDescent="0.3">
      <c r="A58" s="29">
        <v>63.5</v>
      </c>
      <c r="B58" s="40"/>
      <c r="C58" s="41">
        <v>2.5</v>
      </c>
      <c r="D58" s="6" t="str">
        <f t="shared" si="0"/>
        <v/>
      </c>
      <c r="E58" s="6" t="str">
        <f t="shared" si="1"/>
        <v>φ63.5x2.5</v>
      </c>
    </row>
    <row r="59" spans="1:5" x14ac:dyDescent="0.3">
      <c r="A59" s="29">
        <v>63.5</v>
      </c>
      <c r="B59" s="40">
        <v>3</v>
      </c>
      <c r="C59" s="41">
        <v>3</v>
      </c>
      <c r="D59" s="6" t="str">
        <f t="shared" si="0"/>
        <v>φ63.5x3.0</v>
      </c>
      <c r="E59" s="6" t="str">
        <f t="shared" si="1"/>
        <v>φ63.5x3.0</v>
      </c>
    </row>
    <row r="60" spans="1:5" x14ac:dyDescent="0.3">
      <c r="A60" s="29">
        <v>63.5</v>
      </c>
      <c r="B60" s="40">
        <v>3.5</v>
      </c>
      <c r="C60" s="41">
        <v>3.5</v>
      </c>
      <c r="D60" s="6" t="str">
        <f t="shared" si="0"/>
        <v>φ63.5x3.5</v>
      </c>
      <c r="E60" s="6" t="str">
        <f t="shared" si="1"/>
        <v>φ63.5x3.5</v>
      </c>
    </row>
    <row r="61" spans="1:5" x14ac:dyDescent="0.3">
      <c r="A61" s="29">
        <v>63.5</v>
      </c>
      <c r="B61" s="40">
        <v>4</v>
      </c>
      <c r="C61" s="41"/>
      <c r="D61" s="6" t="str">
        <f t="shared" si="0"/>
        <v>φ63.5x4.0</v>
      </c>
      <c r="E61" s="6" t="str">
        <f t="shared" si="1"/>
        <v/>
      </c>
    </row>
    <row r="62" spans="1:5" x14ac:dyDescent="0.3">
      <c r="A62" s="29">
        <v>63.5</v>
      </c>
      <c r="B62" s="40">
        <v>4.5</v>
      </c>
      <c r="C62" s="41"/>
      <c r="D62" s="6" t="str">
        <f t="shared" si="0"/>
        <v>φ63.5x4.5</v>
      </c>
      <c r="E62" s="6" t="str">
        <f t="shared" si="1"/>
        <v/>
      </c>
    </row>
    <row r="63" spans="1:5" x14ac:dyDescent="0.3">
      <c r="A63" s="29">
        <v>63.5</v>
      </c>
      <c r="B63" s="40">
        <v>5</v>
      </c>
      <c r="C63" s="41"/>
      <c r="D63" s="6" t="str">
        <f t="shared" si="0"/>
        <v>φ63.5x5.0</v>
      </c>
      <c r="E63" s="6" t="str">
        <f t="shared" si="1"/>
        <v/>
      </c>
    </row>
    <row r="64" spans="1:5" x14ac:dyDescent="0.3">
      <c r="A64" s="29">
        <v>63.5</v>
      </c>
      <c r="B64" s="40">
        <v>5.5</v>
      </c>
      <c r="C64" s="41"/>
      <c r="D64" s="6" t="str">
        <f t="shared" si="0"/>
        <v>φ63.5x5.5</v>
      </c>
      <c r="E64" s="6" t="str">
        <f t="shared" si="1"/>
        <v/>
      </c>
    </row>
    <row r="65" spans="1:5" x14ac:dyDescent="0.3">
      <c r="A65" s="29">
        <v>63.5</v>
      </c>
      <c r="B65" s="40">
        <v>6</v>
      </c>
      <c r="C65" s="41"/>
      <c r="D65" s="6" t="str">
        <f t="shared" si="0"/>
        <v>φ63.5x6.0</v>
      </c>
      <c r="E65" s="6" t="str">
        <f t="shared" si="1"/>
        <v/>
      </c>
    </row>
    <row r="66" spans="1:5" x14ac:dyDescent="0.3">
      <c r="A66" s="29">
        <v>68</v>
      </c>
      <c r="B66" s="40">
        <v>3</v>
      </c>
      <c r="C66" s="41"/>
      <c r="D66" s="6" t="str">
        <f t="shared" si="0"/>
        <v>φ68x3.0</v>
      </c>
      <c r="E66" s="6" t="str">
        <f t="shared" si="1"/>
        <v/>
      </c>
    </row>
    <row r="67" spans="1:5" x14ac:dyDescent="0.3">
      <c r="A67" s="29">
        <v>68</v>
      </c>
      <c r="B67" s="40">
        <v>3.5</v>
      </c>
      <c r="C67" s="41"/>
      <c r="D67" s="6" t="str">
        <f t="shared" si="0"/>
        <v>φ68x3.5</v>
      </c>
      <c r="E67" s="6" t="str">
        <f t="shared" si="1"/>
        <v/>
      </c>
    </row>
    <row r="68" spans="1:5" x14ac:dyDescent="0.3">
      <c r="A68" s="29">
        <v>68</v>
      </c>
      <c r="B68" s="40">
        <v>4</v>
      </c>
      <c r="C68" s="41"/>
      <c r="D68" s="6" t="str">
        <f t="shared" ref="D68:D131" si="2" xml:space="preserve"> IF(B68 = "",  "", "φ" &amp; A68 &amp; "x" &amp; TEXT(B68, "0.0"))</f>
        <v>φ68x4.0</v>
      </c>
      <c r="E68" s="6" t="str">
        <f t="shared" ref="E68:E131" si="3" xml:space="preserve"> IF(C68 = "",  "", "φ" &amp; A68 &amp; "x" &amp; TEXT(C68, "0.0"))</f>
        <v/>
      </c>
    </row>
    <row r="69" spans="1:5" x14ac:dyDescent="0.3">
      <c r="A69" s="29">
        <v>68</v>
      </c>
      <c r="B69" s="40">
        <v>4.5</v>
      </c>
      <c r="C69" s="41"/>
      <c r="D69" s="6" t="str">
        <f t="shared" si="2"/>
        <v>φ68x4.5</v>
      </c>
      <c r="E69" s="6" t="str">
        <f t="shared" si="3"/>
        <v/>
      </c>
    </row>
    <row r="70" spans="1:5" x14ac:dyDescent="0.3">
      <c r="A70" s="29">
        <v>68</v>
      </c>
      <c r="B70" s="40">
        <v>5</v>
      </c>
      <c r="C70" s="41"/>
      <c r="D70" s="6" t="str">
        <f t="shared" si="2"/>
        <v>φ68x5.0</v>
      </c>
      <c r="E70" s="6" t="str">
        <f t="shared" si="3"/>
        <v/>
      </c>
    </row>
    <row r="71" spans="1:5" x14ac:dyDescent="0.3">
      <c r="A71" s="29">
        <v>68</v>
      </c>
      <c r="B71" s="40">
        <v>5.5</v>
      </c>
      <c r="C71" s="41"/>
      <c r="D71" s="6" t="str">
        <f t="shared" si="2"/>
        <v>φ68x5.5</v>
      </c>
      <c r="E71" s="6" t="str">
        <f t="shared" si="3"/>
        <v/>
      </c>
    </row>
    <row r="72" spans="1:5" x14ac:dyDescent="0.3">
      <c r="A72" s="29">
        <v>68</v>
      </c>
      <c r="B72" s="40">
        <v>6</v>
      </c>
      <c r="C72" s="41"/>
      <c r="D72" s="6" t="str">
        <f t="shared" si="2"/>
        <v>φ68x6.0</v>
      </c>
      <c r="E72" s="6" t="str">
        <f t="shared" si="3"/>
        <v/>
      </c>
    </row>
    <row r="73" spans="1:5" x14ac:dyDescent="0.3">
      <c r="A73" s="29">
        <v>70</v>
      </c>
      <c r="B73" s="40"/>
      <c r="C73" s="41">
        <v>2</v>
      </c>
      <c r="D73" s="6" t="str">
        <f t="shared" si="2"/>
        <v/>
      </c>
      <c r="E73" s="6" t="str">
        <f t="shared" si="3"/>
        <v>φ70x2.0</v>
      </c>
    </row>
    <row r="74" spans="1:5" x14ac:dyDescent="0.3">
      <c r="A74" s="29">
        <v>70</v>
      </c>
      <c r="B74" s="40"/>
      <c r="C74" s="41">
        <v>2.5</v>
      </c>
      <c r="D74" s="6" t="str">
        <f t="shared" si="2"/>
        <v/>
      </c>
      <c r="E74" s="6" t="str">
        <f t="shared" si="3"/>
        <v>φ70x2.5</v>
      </c>
    </row>
    <row r="75" spans="1:5" x14ac:dyDescent="0.3">
      <c r="A75" s="29">
        <v>70</v>
      </c>
      <c r="B75" s="40">
        <v>3</v>
      </c>
      <c r="C75" s="41">
        <v>3</v>
      </c>
      <c r="D75" s="6" t="str">
        <f t="shared" si="2"/>
        <v>φ70x3.0</v>
      </c>
      <c r="E75" s="6" t="str">
        <f t="shared" si="3"/>
        <v>φ70x3.0</v>
      </c>
    </row>
    <row r="76" spans="1:5" x14ac:dyDescent="0.3">
      <c r="A76" s="29">
        <v>70</v>
      </c>
      <c r="B76" s="40">
        <v>3.5</v>
      </c>
      <c r="C76" s="41">
        <v>3.5</v>
      </c>
      <c r="D76" s="6" t="str">
        <f t="shared" si="2"/>
        <v>φ70x3.5</v>
      </c>
      <c r="E76" s="6" t="str">
        <f t="shared" si="3"/>
        <v>φ70x3.5</v>
      </c>
    </row>
    <row r="77" spans="1:5" x14ac:dyDescent="0.3">
      <c r="A77" s="29">
        <v>70</v>
      </c>
      <c r="B77" s="40">
        <v>4</v>
      </c>
      <c r="C77" s="41"/>
      <c r="D77" s="6" t="str">
        <f t="shared" si="2"/>
        <v>φ70x4.0</v>
      </c>
      <c r="E77" s="6" t="str">
        <f t="shared" si="3"/>
        <v/>
      </c>
    </row>
    <row r="78" spans="1:5" x14ac:dyDescent="0.3">
      <c r="A78" s="29">
        <v>70</v>
      </c>
      <c r="B78" s="40">
        <v>4.5</v>
      </c>
      <c r="C78" s="41">
        <v>4.5</v>
      </c>
      <c r="D78" s="6" t="str">
        <f t="shared" si="2"/>
        <v>φ70x4.5</v>
      </c>
      <c r="E78" s="6" t="str">
        <f t="shared" si="3"/>
        <v>φ70x4.5</v>
      </c>
    </row>
    <row r="79" spans="1:5" x14ac:dyDescent="0.3">
      <c r="A79" s="29">
        <v>70</v>
      </c>
      <c r="B79" s="40">
        <v>5</v>
      </c>
      <c r="C79" s="41"/>
      <c r="D79" s="6" t="str">
        <f t="shared" si="2"/>
        <v>φ70x5.0</v>
      </c>
      <c r="E79" s="6" t="str">
        <f t="shared" si="3"/>
        <v/>
      </c>
    </row>
    <row r="80" spans="1:5" x14ac:dyDescent="0.3">
      <c r="A80" s="29">
        <v>70</v>
      </c>
      <c r="B80" s="40">
        <v>5.5</v>
      </c>
      <c r="C80" s="41"/>
      <c r="D80" s="6" t="str">
        <f t="shared" si="2"/>
        <v>φ70x5.5</v>
      </c>
      <c r="E80" s="6" t="str">
        <f t="shared" si="3"/>
        <v/>
      </c>
    </row>
    <row r="81" spans="1:5" x14ac:dyDescent="0.3">
      <c r="A81" s="29">
        <v>70</v>
      </c>
      <c r="B81" s="40">
        <v>6</v>
      </c>
      <c r="C81" s="41"/>
      <c r="D81" s="6" t="str">
        <f t="shared" si="2"/>
        <v>φ70x6.0</v>
      </c>
      <c r="E81" s="6" t="str">
        <f t="shared" si="3"/>
        <v/>
      </c>
    </row>
    <row r="82" spans="1:5" x14ac:dyDescent="0.3">
      <c r="A82" s="29">
        <v>70</v>
      </c>
      <c r="B82" s="40">
        <v>6.5</v>
      </c>
      <c r="C82" s="41"/>
      <c r="D82" s="6" t="str">
        <f t="shared" si="2"/>
        <v>φ70x6.5</v>
      </c>
      <c r="E82" s="6" t="str">
        <f t="shared" si="3"/>
        <v/>
      </c>
    </row>
    <row r="83" spans="1:5" x14ac:dyDescent="0.3">
      <c r="A83" s="29">
        <v>70</v>
      </c>
      <c r="B83" s="40">
        <v>7</v>
      </c>
      <c r="C83" s="41"/>
      <c r="D83" s="6" t="str">
        <f t="shared" si="2"/>
        <v>φ70x7.0</v>
      </c>
      <c r="E83" s="6" t="str">
        <f t="shared" si="3"/>
        <v/>
      </c>
    </row>
    <row r="84" spans="1:5" x14ac:dyDescent="0.3">
      <c r="A84" s="29">
        <v>73</v>
      </c>
      <c r="B84" s="40">
        <v>3</v>
      </c>
      <c r="C84" s="41"/>
      <c r="D84" s="6" t="str">
        <f t="shared" si="2"/>
        <v>φ73x3.0</v>
      </c>
      <c r="E84" s="6" t="str">
        <f t="shared" si="3"/>
        <v/>
      </c>
    </row>
    <row r="85" spans="1:5" x14ac:dyDescent="0.3">
      <c r="A85" s="29">
        <v>73</v>
      </c>
      <c r="B85" s="40">
        <v>3.5</v>
      </c>
      <c r="C85" s="41"/>
      <c r="D85" s="6" t="str">
        <f t="shared" si="2"/>
        <v>φ73x3.5</v>
      </c>
      <c r="E85" s="6" t="str">
        <f t="shared" si="3"/>
        <v/>
      </c>
    </row>
    <row r="86" spans="1:5" x14ac:dyDescent="0.3">
      <c r="A86" s="29">
        <v>73</v>
      </c>
      <c r="B86" s="40">
        <v>4</v>
      </c>
      <c r="C86" s="41"/>
      <c r="D86" s="6" t="str">
        <f t="shared" si="2"/>
        <v>φ73x4.0</v>
      </c>
      <c r="E86" s="6" t="str">
        <f t="shared" si="3"/>
        <v/>
      </c>
    </row>
    <row r="87" spans="1:5" x14ac:dyDescent="0.3">
      <c r="A87" s="29">
        <v>73</v>
      </c>
      <c r="B87" s="40">
        <v>4.5</v>
      </c>
      <c r="C87" s="41"/>
      <c r="D87" s="6" t="str">
        <f t="shared" si="2"/>
        <v>φ73x4.5</v>
      </c>
      <c r="E87" s="6" t="str">
        <f t="shared" si="3"/>
        <v/>
      </c>
    </row>
    <row r="88" spans="1:5" x14ac:dyDescent="0.3">
      <c r="A88" s="29">
        <v>73</v>
      </c>
      <c r="B88" s="40">
        <v>5</v>
      </c>
      <c r="C88" s="41"/>
      <c r="D88" s="6" t="str">
        <f t="shared" si="2"/>
        <v>φ73x5.0</v>
      </c>
      <c r="E88" s="6" t="str">
        <f t="shared" si="3"/>
        <v/>
      </c>
    </row>
    <row r="89" spans="1:5" x14ac:dyDescent="0.3">
      <c r="A89" s="29">
        <v>73</v>
      </c>
      <c r="B89" s="40">
        <v>5.5</v>
      </c>
      <c r="C89" s="41"/>
      <c r="D89" s="6" t="str">
        <f t="shared" si="2"/>
        <v>φ73x5.5</v>
      </c>
      <c r="E89" s="6" t="str">
        <f t="shared" si="3"/>
        <v/>
      </c>
    </row>
    <row r="90" spans="1:5" x14ac:dyDescent="0.3">
      <c r="A90" s="29">
        <v>73</v>
      </c>
      <c r="B90" s="40">
        <v>6</v>
      </c>
      <c r="C90" s="41"/>
      <c r="D90" s="6" t="str">
        <f t="shared" si="2"/>
        <v>φ73x6.0</v>
      </c>
      <c r="E90" s="6" t="str">
        <f t="shared" si="3"/>
        <v/>
      </c>
    </row>
    <row r="91" spans="1:5" x14ac:dyDescent="0.3">
      <c r="A91" s="29">
        <v>73</v>
      </c>
      <c r="B91" s="40">
        <v>7</v>
      </c>
      <c r="C91" s="41"/>
      <c r="D91" s="6" t="str">
        <f t="shared" si="2"/>
        <v>φ73x7.0</v>
      </c>
      <c r="E91" s="6" t="str">
        <f t="shared" si="3"/>
        <v/>
      </c>
    </row>
    <row r="92" spans="1:5" x14ac:dyDescent="0.3">
      <c r="A92" s="29">
        <v>76</v>
      </c>
      <c r="B92" s="40"/>
      <c r="C92" s="41">
        <v>2</v>
      </c>
      <c r="D92" s="6" t="str">
        <f t="shared" si="2"/>
        <v/>
      </c>
      <c r="E92" s="6" t="str">
        <f t="shared" si="3"/>
        <v>φ76x2.0</v>
      </c>
    </row>
    <row r="93" spans="1:5" x14ac:dyDescent="0.3">
      <c r="A93" s="29">
        <v>76</v>
      </c>
      <c r="B93" s="40"/>
      <c r="C93" s="41">
        <v>2.5</v>
      </c>
      <c r="D93" s="6" t="str">
        <f t="shared" si="2"/>
        <v/>
      </c>
      <c r="E93" s="6" t="str">
        <f t="shared" si="3"/>
        <v>φ76x2.5</v>
      </c>
    </row>
    <row r="94" spans="1:5" x14ac:dyDescent="0.3">
      <c r="A94" s="29">
        <v>76</v>
      </c>
      <c r="B94" s="40">
        <v>3</v>
      </c>
      <c r="C94" s="41">
        <v>3</v>
      </c>
      <c r="D94" s="6" t="str">
        <f t="shared" si="2"/>
        <v>φ76x3.0</v>
      </c>
      <c r="E94" s="6" t="str">
        <f t="shared" si="3"/>
        <v>φ76x3.0</v>
      </c>
    </row>
    <row r="95" spans="1:5" x14ac:dyDescent="0.3">
      <c r="A95" s="29">
        <v>76</v>
      </c>
      <c r="B95" s="40">
        <v>3.5</v>
      </c>
      <c r="C95" s="41">
        <v>3.5</v>
      </c>
      <c r="D95" s="6" t="str">
        <f t="shared" si="2"/>
        <v>φ76x3.5</v>
      </c>
      <c r="E95" s="6" t="str">
        <f t="shared" si="3"/>
        <v>φ76x3.5</v>
      </c>
    </row>
    <row r="96" spans="1:5" x14ac:dyDescent="0.3">
      <c r="A96" s="29">
        <v>76</v>
      </c>
      <c r="B96" s="40">
        <v>4</v>
      </c>
      <c r="C96" s="41">
        <v>4</v>
      </c>
      <c r="D96" s="6" t="str">
        <f t="shared" si="2"/>
        <v>φ76x4.0</v>
      </c>
      <c r="E96" s="6" t="str">
        <f t="shared" si="3"/>
        <v>φ76x4.0</v>
      </c>
    </row>
    <row r="97" spans="1:5" x14ac:dyDescent="0.3">
      <c r="A97" s="29">
        <v>76</v>
      </c>
      <c r="B97" s="40">
        <v>4.5</v>
      </c>
      <c r="C97" s="41">
        <v>4.5</v>
      </c>
      <c r="D97" s="6" t="str">
        <f t="shared" si="2"/>
        <v>φ76x4.5</v>
      </c>
      <c r="E97" s="6" t="str">
        <f t="shared" si="3"/>
        <v>φ76x4.5</v>
      </c>
    </row>
    <row r="98" spans="1:5" x14ac:dyDescent="0.3">
      <c r="A98" s="29">
        <v>76</v>
      </c>
      <c r="B98" s="40">
        <v>5</v>
      </c>
      <c r="C98" s="41"/>
      <c r="D98" s="6" t="str">
        <f t="shared" si="2"/>
        <v>φ76x5.0</v>
      </c>
      <c r="E98" s="6" t="str">
        <f t="shared" si="3"/>
        <v/>
      </c>
    </row>
    <row r="99" spans="1:5" x14ac:dyDescent="0.3">
      <c r="A99" s="29">
        <v>76</v>
      </c>
      <c r="B99" s="40">
        <v>5.5</v>
      </c>
      <c r="C99" s="41"/>
      <c r="D99" s="6" t="str">
        <f t="shared" si="2"/>
        <v>φ76x5.5</v>
      </c>
      <c r="E99" s="6" t="str">
        <f t="shared" si="3"/>
        <v/>
      </c>
    </row>
    <row r="100" spans="1:5" x14ac:dyDescent="0.3">
      <c r="A100" s="29">
        <v>76</v>
      </c>
      <c r="B100" s="40">
        <v>6</v>
      </c>
      <c r="C100" s="41"/>
      <c r="D100" s="6" t="str">
        <f t="shared" si="2"/>
        <v>φ76x6.0</v>
      </c>
      <c r="E100" s="6" t="str">
        <f t="shared" si="3"/>
        <v/>
      </c>
    </row>
    <row r="101" spans="1:5" x14ac:dyDescent="0.3">
      <c r="A101" s="29">
        <v>76</v>
      </c>
      <c r="B101" s="40">
        <v>7</v>
      </c>
      <c r="C101" s="41"/>
      <c r="D101" s="6" t="str">
        <f t="shared" si="2"/>
        <v>φ76x7.0</v>
      </c>
      <c r="E101" s="6" t="str">
        <f t="shared" si="3"/>
        <v/>
      </c>
    </row>
    <row r="102" spans="1:5" x14ac:dyDescent="0.3">
      <c r="A102" s="29">
        <v>83</v>
      </c>
      <c r="B102" s="40"/>
      <c r="C102" s="41">
        <v>2</v>
      </c>
      <c r="D102" s="6" t="str">
        <f t="shared" si="2"/>
        <v/>
      </c>
      <c r="E102" s="6" t="str">
        <f t="shared" si="3"/>
        <v>φ83x2.0</v>
      </c>
    </row>
    <row r="103" spans="1:5" x14ac:dyDescent="0.3">
      <c r="A103" s="29">
        <v>83</v>
      </c>
      <c r="B103" s="40"/>
      <c r="C103" s="41">
        <v>2.5</v>
      </c>
      <c r="D103" s="6" t="str">
        <f t="shared" si="2"/>
        <v/>
      </c>
      <c r="E103" s="6" t="str">
        <f t="shared" si="3"/>
        <v>φ83x2.5</v>
      </c>
    </row>
    <row r="104" spans="1:5" x14ac:dyDescent="0.3">
      <c r="A104" s="29">
        <v>83</v>
      </c>
      <c r="B104" s="40"/>
      <c r="C104" s="41">
        <v>3</v>
      </c>
      <c r="D104" s="6" t="str">
        <f t="shared" si="2"/>
        <v/>
      </c>
      <c r="E104" s="6" t="str">
        <f t="shared" si="3"/>
        <v>φ83x3.0</v>
      </c>
    </row>
    <row r="105" spans="1:5" x14ac:dyDescent="0.3">
      <c r="A105" s="29">
        <v>83</v>
      </c>
      <c r="B105" s="40">
        <v>3.5</v>
      </c>
      <c r="C105" s="41">
        <v>3.5</v>
      </c>
      <c r="D105" s="6" t="str">
        <f t="shared" si="2"/>
        <v>φ83x3.5</v>
      </c>
      <c r="E105" s="6" t="str">
        <f t="shared" si="3"/>
        <v>φ83x3.5</v>
      </c>
    </row>
    <row r="106" spans="1:5" x14ac:dyDescent="0.3">
      <c r="A106" s="29">
        <v>83</v>
      </c>
      <c r="B106" s="40">
        <v>4</v>
      </c>
      <c r="C106" s="41">
        <v>4</v>
      </c>
      <c r="D106" s="6" t="str">
        <f t="shared" si="2"/>
        <v>φ83x4.0</v>
      </c>
      <c r="E106" s="6" t="str">
        <f t="shared" si="3"/>
        <v>φ83x4.0</v>
      </c>
    </row>
    <row r="107" spans="1:5" x14ac:dyDescent="0.3">
      <c r="A107" s="29">
        <v>83</v>
      </c>
      <c r="B107" s="40">
        <v>4.5</v>
      </c>
      <c r="C107" s="41">
        <v>4.5</v>
      </c>
      <c r="D107" s="6" t="str">
        <f t="shared" si="2"/>
        <v>φ83x4.5</v>
      </c>
      <c r="E107" s="6" t="str">
        <f t="shared" si="3"/>
        <v>φ83x4.5</v>
      </c>
    </row>
    <row r="108" spans="1:5" x14ac:dyDescent="0.3">
      <c r="A108" s="29">
        <v>83</v>
      </c>
      <c r="B108" s="40">
        <v>5</v>
      </c>
      <c r="C108" s="41"/>
      <c r="D108" s="6" t="str">
        <f t="shared" si="2"/>
        <v>φ83x5.0</v>
      </c>
      <c r="E108" s="6" t="str">
        <f t="shared" si="3"/>
        <v/>
      </c>
    </row>
    <row r="109" spans="1:5" x14ac:dyDescent="0.3">
      <c r="A109" s="29">
        <v>83</v>
      </c>
      <c r="B109" s="40">
        <v>5.5</v>
      </c>
      <c r="C109" s="41"/>
      <c r="D109" s="6" t="str">
        <f t="shared" si="2"/>
        <v>φ83x5.5</v>
      </c>
      <c r="E109" s="6" t="str">
        <f t="shared" si="3"/>
        <v/>
      </c>
    </row>
    <row r="110" spans="1:5" x14ac:dyDescent="0.3">
      <c r="A110" s="29">
        <v>83</v>
      </c>
      <c r="B110" s="40">
        <v>6</v>
      </c>
      <c r="C110" s="41"/>
      <c r="D110" s="6" t="str">
        <f t="shared" si="2"/>
        <v>φ83x6.0</v>
      </c>
      <c r="E110" s="6" t="str">
        <f t="shared" si="3"/>
        <v/>
      </c>
    </row>
    <row r="111" spans="1:5" x14ac:dyDescent="0.3">
      <c r="A111" s="29">
        <v>83</v>
      </c>
      <c r="B111" s="40">
        <v>7</v>
      </c>
      <c r="C111" s="41"/>
      <c r="D111" s="6" t="str">
        <f t="shared" si="2"/>
        <v>φ83x7.0</v>
      </c>
      <c r="E111" s="6" t="str">
        <f t="shared" si="3"/>
        <v/>
      </c>
    </row>
    <row r="112" spans="1:5" x14ac:dyDescent="0.3">
      <c r="A112" s="29">
        <v>83</v>
      </c>
      <c r="B112" s="40">
        <v>8</v>
      </c>
      <c r="C112" s="41"/>
      <c r="D112" s="6" t="str">
        <f t="shared" si="2"/>
        <v>φ83x8.0</v>
      </c>
      <c r="E112" s="6" t="str">
        <f t="shared" si="3"/>
        <v/>
      </c>
    </row>
    <row r="113" spans="1:5" x14ac:dyDescent="0.3">
      <c r="A113" s="29">
        <v>89</v>
      </c>
      <c r="B113" s="40"/>
      <c r="C113" s="41">
        <v>2</v>
      </c>
      <c r="D113" s="6" t="str">
        <f t="shared" si="2"/>
        <v/>
      </c>
      <c r="E113" s="6" t="str">
        <f t="shared" si="3"/>
        <v>φ89x2.0</v>
      </c>
    </row>
    <row r="114" spans="1:5" x14ac:dyDescent="0.3">
      <c r="A114" s="29">
        <v>89</v>
      </c>
      <c r="B114" s="40"/>
      <c r="C114" s="41">
        <v>2.5</v>
      </c>
      <c r="D114" s="6" t="str">
        <f t="shared" si="2"/>
        <v/>
      </c>
      <c r="E114" s="6" t="str">
        <f t="shared" si="3"/>
        <v>φ89x2.5</v>
      </c>
    </row>
    <row r="115" spans="1:5" x14ac:dyDescent="0.3">
      <c r="A115" s="29">
        <v>89</v>
      </c>
      <c r="B115" s="40"/>
      <c r="C115" s="41">
        <v>3</v>
      </c>
      <c r="D115" s="6" t="str">
        <f t="shared" si="2"/>
        <v/>
      </c>
      <c r="E115" s="6" t="str">
        <f t="shared" si="3"/>
        <v>φ89x3.0</v>
      </c>
    </row>
    <row r="116" spans="1:5" x14ac:dyDescent="0.3">
      <c r="A116" s="29">
        <v>89</v>
      </c>
      <c r="B116" s="40">
        <v>3.5</v>
      </c>
      <c r="C116" s="41">
        <v>3.5</v>
      </c>
      <c r="D116" s="6" t="str">
        <f t="shared" si="2"/>
        <v>φ89x3.5</v>
      </c>
      <c r="E116" s="6" t="str">
        <f t="shared" si="3"/>
        <v>φ89x3.5</v>
      </c>
    </row>
    <row r="117" spans="1:5" x14ac:dyDescent="0.3">
      <c r="A117" s="29">
        <v>89</v>
      </c>
      <c r="B117" s="40">
        <v>4</v>
      </c>
      <c r="C117" s="41">
        <v>4</v>
      </c>
      <c r="D117" s="6" t="str">
        <f t="shared" si="2"/>
        <v>φ89x4.0</v>
      </c>
      <c r="E117" s="6" t="str">
        <f t="shared" si="3"/>
        <v>φ89x4.0</v>
      </c>
    </row>
    <row r="118" spans="1:5" x14ac:dyDescent="0.3">
      <c r="A118" s="29">
        <v>89</v>
      </c>
      <c r="B118" s="40">
        <v>4.5</v>
      </c>
      <c r="C118" s="41">
        <v>4.5</v>
      </c>
      <c r="D118" s="6" t="str">
        <f t="shared" si="2"/>
        <v>φ89x4.5</v>
      </c>
      <c r="E118" s="6" t="str">
        <f t="shared" si="3"/>
        <v>φ89x4.5</v>
      </c>
    </row>
    <row r="119" spans="1:5" x14ac:dyDescent="0.3">
      <c r="A119" s="29">
        <v>89</v>
      </c>
      <c r="B119" s="40">
        <v>5</v>
      </c>
      <c r="C119" s="41"/>
      <c r="D119" s="6" t="str">
        <f t="shared" si="2"/>
        <v>φ89x5.0</v>
      </c>
      <c r="E119" s="6" t="str">
        <f t="shared" si="3"/>
        <v/>
      </c>
    </row>
    <row r="120" spans="1:5" x14ac:dyDescent="0.3">
      <c r="A120" s="29">
        <v>89</v>
      </c>
      <c r="B120" s="40">
        <v>5.5</v>
      </c>
      <c r="C120" s="41"/>
      <c r="D120" s="6" t="str">
        <f t="shared" si="2"/>
        <v>φ89x5.5</v>
      </c>
      <c r="E120" s="6" t="str">
        <f t="shared" si="3"/>
        <v/>
      </c>
    </row>
    <row r="121" spans="1:5" x14ac:dyDescent="0.3">
      <c r="A121" s="29">
        <v>89</v>
      </c>
      <c r="B121" s="40">
        <v>6</v>
      </c>
      <c r="C121" s="41"/>
      <c r="D121" s="6" t="str">
        <f t="shared" si="2"/>
        <v>φ89x6.0</v>
      </c>
      <c r="E121" s="6" t="str">
        <f t="shared" si="3"/>
        <v/>
      </c>
    </row>
    <row r="122" spans="1:5" x14ac:dyDescent="0.3">
      <c r="A122" s="29">
        <v>89</v>
      </c>
      <c r="B122" s="40">
        <v>7</v>
      </c>
      <c r="C122" s="41"/>
      <c r="D122" s="6" t="str">
        <f t="shared" si="2"/>
        <v>φ89x7.0</v>
      </c>
      <c r="E122" s="6" t="str">
        <f t="shared" si="3"/>
        <v/>
      </c>
    </row>
    <row r="123" spans="1:5" x14ac:dyDescent="0.3">
      <c r="A123" s="29">
        <v>89</v>
      </c>
      <c r="B123" s="40">
        <v>8</v>
      </c>
      <c r="C123" s="41"/>
      <c r="D123" s="6" t="str">
        <f t="shared" si="2"/>
        <v>φ89x8.0</v>
      </c>
      <c r="E123" s="6" t="str">
        <f t="shared" si="3"/>
        <v/>
      </c>
    </row>
    <row r="124" spans="1:5" x14ac:dyDescent="0.3">
      <c r="A124" s="29">
        <v>95</v>
      </c>
      <c r="B124" s="40"/>
      <c r="C124" s="41">
        <v>2</v>
      </c>
      <c r="D124" s="6" t="str">
        <f t="shared" si="2"/>
        <v/>
      </c>
      <c r="E124" s="6" t="str">
        <f t="shared" si="3"/>
        <v>φ95x2.0</v>
      </c>
    </row>
    <row r="125" spans="1:5" x14ac:dyDescent="0.3">
      <c r="A125" s="29">
        <v>95</v>
      </c>
      <c r="B125" s="40"/>
      <c r="C125" s="41">
        <v>2.5</v>
      </c>
      <c r="D125" s="6" t="str">
        <f t="shared" si="2"/>
        <v/>
      </c>
      <c r="E125" s="6" t="str">
        <f t="shared" si="3"/>
        <v>φ95x2.5</v>
      </c>
    </row>
    <row r="126" spans="1:5" x14ac:dyDescent="0.3">
      <c r="A126" s="29">
        <v>95</v>
      </c>
      <c r="B126" s="40"/>
      <c r="C126" s="41">
        <v>3</v>
      </c>
      <c r="D126" s="6" t="str">
        <f t="shared" si="2"/>
        <v/>
      </c>
      <c r="E126" s="6" t="str">
        <f t="shared" si="3"/>
        <v>φ95x3.0</v>
      </c>
    </row>
    <row r="127" spans="1:5" x14ac:dyDescent="0.3">
      <c r="A127" s="29">
        <v>95</v>
      </c>
      <c r="B127" s="40">
        <v>3.5</v>
      </c>
      <c r="C127" s="41">
        <v>3.5</v>
      </c>
      <c r="D127" s="6" t="str">
        <f t="shared" si="2"/>
        <v>φ95x3.5</v>
      </c>
      <c r="E127" s="6" t="str">
        <f t="shared" si="3"/>
        <v>φ95x3.5</v>
      </c>
    </row>
    <row r="128" spans="1:5" x14ac:dyDescent="0.3">
      <c r="A128" s="29">
        <v>95</v>
      </c>
      <c r="B128" s="40">
        <v>4</v>
      </c>
      <c r="C128" s="41"/>
      <c r="D128" s="6" t="str">
        <f t="shared" si="2"/>
        <v>φ95x4.0</v>
      </c>
      <c r="E128" s="6" t="str">
        <f t="shared" si="3"/>
        <v/>
      </c>
    </row>
    <row r="129" spans="1:5" x14ac:dyDescent="0.3">
      <c r="A129" s="29">
        <v>95</v>
      </c>
      <c r="B129" s="40">
        <v>4.5</v>
      </c>
      <c r="C129" s="41"/>
      <c r="D129" s="6" t="str">
        <f t="shared" si="2"/>
        <v>φ95x4.5</v>
      </c>
      <c r="E129" s="6" t="str">
        <f t="shared" si="3"/>
        <v/>
      </c>
    </row>
    <row r="130" spans="1:5" x14ac:dyDescent="0.3">
      <c r="A130" s="29">
        <v>95</v>
      </c>
      <c r="B130" s="40">
        <v>5</v>
      </c>
      <c r="C130" s="41"/>
      <c r="D130" s="6" t="str">
        <f t="shared" si="2"/>
        <v>φ95x5.0</v>
      </c>
      <c r="E130" s="6" t="str">
        <f t="shared" si="3"/>
        <v/>
      </c>
    </row>
    <row r="131" spans="1:5" x14ac:dyDescent="0.3">
      <c r="A131" s="29">
        <v>95</v>
      </c>
      <c r="B131" s="40">
        <v>5.5</v>
      </c>
      <c r="C131" s="41"/>
      <c r="D131" s="6" t="str">
        <f t="shared" si="2"/>
        <v>φ95x5.5</v>
      </c>
      <c r="E131" s="6" t="str">
        <f t="shared" si="3"/>
        <v/>
      </c>
    </row>
    <row r="132" spans="1:5" x14ac:dyDescent="0.3">
      <c r="A132" s="29">
        <v>95</v>
      </c>
      <c r="B132" s="40">
        <v>6</v>
      </c>
      <c r="C132" s="41"/>
      <c r="D132" s="6" t="str">
        <f t="shared" ref="D132:D195" si="4" xml:space="preserve"> IF(B132 = "",  "", "φ" &amp; A132 &amp; "x" &amp; TEXT(B132, "0.0"))</f>
        <v>φ95x6.0</v>
      </c>
      <c r="E132" s="6" t="str">
        <f t="shared" ref="E132:E195" si="5" xml:space="preserve"> IF(C132 = "",  "", "φ" &amp; A132 &amp; "x" &amp; TEXT(C132, "0.0"))</f>
        <v/>
      </c>
    </row>
    <row r="133" spans="1:5" x14ac:dyDescent="0.3">
      <c r="A133" s="29">
        <v>95</v>
      </c>
      <c r="B133" s="40">
        <v>7</v>
      </c>
      <c r="C133" s="41"/>
      <c r="D133" s="6" t="str">
        <f t="shared" si="4"/>
        <v>φ95x7.0</v>
      </c>
      <c r="E133" s="6" t="str">
        <f t="shared" si="5"/>
        <v/>
      </c>
    </row>
    <row r="134" spans="1:5" x14ac:dyDescent="0.3">
      <c r="A134" s="29">
        <v>95</v>
      </c>
      <c r="B134" s="40">
        <v>8</v>
      </c>
      <c r="C134" s="41"/>
      <c r="D134" s="6" t="str">
        <f t="shared" si="4"/>
        <v>φ95x8.0</v>
      </c>
      <c r="E134" s="6" t="str">
        <f t="shared" si="5"/>
        <v/>
      </c>
    </row>
    <row r="135" spans="1:5" x14ac:dyDescent="0.3">
      <c r="A135" s="29">
        <v>102</v>
      </c>
      <c r="B135" s="40"/>
      <c r="C135" s="41">
        <v>2</v>
      </c>
      <c r="D135" s="6" t="str">
        <f t="shared" si="4"/>
        <v/>
      </c>
      <c r="E135" s="6" t="str">
        <f t="shared" si="5"/>
        <v>φ102x2.0</v>
      </c>
    </row>
    <row r="136" spans="1:5" x14ac:dyDescent="0.3">
      <c r="A136" s="29">
        <v>102</v>
      </c>
      <c r="B136" s="40"/>
      <c r="C136" s="41">
        <v>2.5</v>
      </c>
      <c r="D136" s="6" t="str">
        <f t="shared" si="4"/>
        <v/>
      </c>
      <c r="E136" s="6" t="str">
        <f t="shared" si="5"/>
        <v>φ102x2.5</v>
      </c>
    </row>
    <row r="137" spans="1:5" x14ac:dyDescent="0.3">
      <c r="A137" s="29">
        <v>102</v>
      </c>
      <c r="B137" s="40"/>
      <c r="C137" s="41">
        <v>3</v>
      </c>
      <c r="D137" s="6" t="str">
        <f t="shared" si="4"/>
        <v/>
      </c>
      <c r="E137" s="6" t="str">
        <f t="shared" si="5"/>
        <v>φ102x3.0</v>
      </c>
    </row>
    <row r="138" spans="1:5" x14ac:dyDescent="0.3">
      <c r="A138" s="29">
        <v>102</v>
      </c>
      <c r="B138" s="40">
        <v>3.5</v>
      </c>
      <c r="C138" s="41">
        <v>3.5</v>
      </c>
      <c r="D138" s="6" t="str">
        <f t="shared" si="4"/>
        <v>φ102x3.5</v>
      </c>
      <c r="E138" s="6" t="str">
        <f t="shared" si="5"/>
        <v>φ102x3.5</v>
      </c>
    </row>
    <row r="139" spans="1:5" x14ac:dyDescent="0.3">
      <c r="A139" s="29">
        <v>102</v>
      </c>
      <c r="B139" s="40">
        <v>4</v>
      </c>
      <c r="C139" s="41">
        <v>4</v>
      </c>
      <c r="D139" s="6" t="str">
        <f t="shared" si="4"/>
        <v>φ102x4.0</v>
      </c>
      <c r="E139" s="6" t="str">
        <f t="shared" si="5"/>
        <v>φ102x4.0</v>
      </c>
    </row>
    <row r="140" spans="1:5" x14ac:dyDescent="0.3">
      <c r="A140" s="29">
        <v>102</v>
      </c>
      <c r="B140" s="40">
        <v>4.5</v>
      </c>
      <c r="C140" s="41">
        <v>4.5</v>
      </c>
      <c r="D140" s="6" t="str">
        <f t="shared" si="4"/>
        <v>φ102x4.5</v>
      </c>
      <c r="E140" s="6" t="str">
        <f t="shared" si="5"/>
        <v>φ102x4.5</v>
      </c>
    </row>
    <row r="141" spans="1:5" x14ac:dyDescent="0.3">
      <c r="A141" s="29">
        <v>102</v>
      </c>
      <c r="B141" s="40">
        <v>5</v>
      </c>
      <c r="C141" s="41">
        <v>5</v>
      </c>
      <c r="D141" s="6" t="str">
        <f t="shared" si="4"/>
        <v>φ102x5.0</v>
      </c>
      <c r="E141" s="6" t="str">
        <f t="shared" si="5"/>
        <v>φ102x5.0</v>
      </c>
    </row>
    <row r="142" spans="1:5" x14ac:dyDescent="0.3">
      <c r="A142" s="29">
        <v>102</v>
      </c>
      <c r="B142" s="40">
        <v>5.5</v>
      </c>
      <c r="C142" s="41"/>
      <c r="D142" s="6" t="str">
        <f t="shared" si="4"/>
        <v>φ102x5.5</v>
      </c>
      <c r="E142" s="6" t="str">
        <f t="shared" si="5"/>
        <v/>
      </c>
    </row>
    <row r="143" spans="1:5" x14ac:dyDescent="0.3">
      <c r="A143" s="29">
        <v>102</v>
      </c>
      <c r="B143" s="40">
        <v>6</v>
      </c>
      <c r="C143" s="41"/>
      <c r="D143" s="6" t="str">
        <f t="shared" si="4"/>
        <v>φ102x6.0</v>
      </c>
      <c r="E143" s="6" t="str">
        <f t="shared" si="5"/>
        <v/>
      </c>
    </row>
    <row r="144" spans="1:5" x14ac:dyDescent="0.3">
      <c r="A144" s="29">
        <v>102</v>
      </c>
      <c r="B144" s="40">
        <v>7</v>
      </c>
      <c r="C144" s="41"/>
      <c r="D144" s="6" t="str">
        <f t="shared" si="4"/>
        <v>φ102x7.0</v>
      </c>
      <c r="E144" s="6" t="str">
        <f t="shared" si="5"/>
        <v/>
      </c>
    </row>
    <row r="145" spans="1:5" x14ac:dyDescent="0.3">
      <c r="A145" s="29">
        <v>102</v>
      </c>
      <c r="B145" s="40">
        <v>8</v>
      </c>
      <c r="C145" s="41"/>
      <c r="D145" s="6" t="str">
        <f t="shared" si="4"/>
        <v>φ102x8.0</v>
      </c>
      <c r="E145" s="6" t="str">
        <f t="shared" si="5"/>
        <v/>
      </c>
    </row>
    <row r="146" spans="1:5" x14ac:dyDescent="0.3">
      <c r="A146" s="29">
        <v>102</v>
      </c>
      <c r="B146" s="40">
        <v>10</v>
      </c>
      <c r="C146" s="41"/>
      <c r="D146" s="6" t="str">
        <f t="shared" si="4"/>
        <v>φ102x10.0</v>
      </c>
      <c r="E146" s="6" t="str">
        <f t="shared" si="5"/>
        <v/>
      </c>
    </row>
    <row r="147" spans="1:5" x14ac:dyDescent="0.3">
      <c r="A147" s="29">
        <v>108</v>
      </c>
      <c r="B147" s="40"/>
      <c r="C147" s="41">
        <v>3</v>
      </c>
      <c r="D147" s="6" t="str">
        <f t="shared" si="4"/>
        <v/>
      </c>
      <c r="E147" s="6" t="str">
        <f t="shared" si="5"/>
        <v>φ108x3.0</v>
      </c>
    </row>
    <row r="148" spans="1:5" x14ac:dyDescent="0.3">
      <c r="A148" s="29">
        <v>108</v>
      </c>
      <c r="B148" s="40"/>
      <c r="C148" s="41">
        <v>3.5</v>
      </c>
      <c r="D148" s="6" t="str">
        <f t="shared" si="4"/>
        <v/>
      </c>
      <c r="E148" s="6" t="str">
        <f t="shared" si="5"/>
        <v>φ108x3.5</v>
      </c>
    </row>
    <row r="149" spans="1:5" x14ac:dyDescent="0.3">
      <c r="A149" s="29">
        <v>108</v>
      </c>
      <c r="B149" s="40">
        <v>4</v>
      </c>
      <c r="C149" s="41">
        <v>4</v>
      </c>
      <c r="D149" s="6" t="str">
        <f t="shared" si="4"/>
        <v>φ108x4.0</v>
      </c>
      <c r="E149" s="6" t="str">
        <f t="shared" si="5"/>
        <v>φ108x4.0</v>
      </c>
    </row>
    <row r="150" spans="1:5" x14ac:dyDescent="0.3">
      <c r="A150" s="29">
        <v>108</v>
      </c>
      <c r="B150" s="40">
        <v>4.5</v>
      </c>
      <c r="C150" s="41"/>
      <c r="D150" s="6" t="str">
        <f t="shared" si="4"/>
        <v>φ108x4.5</v>
      </c>
      <c r="E150" s="6" t="str">
        <f t="shared" si="5"/>
        <v/>
      </c>
    </row>
    <row r="151" spans="1:5" x14ac:dyDescent="0.3">
      <c r="A151" s="29">
        <v>108</v>
      </c>
      <c r="B151" s="40">
        <v>5</v>
      </c>
      <c r="C151" s="41"/>
      <c r="D151" s="6" t="str">
        <f t="shared" si="4"/>
        <v>φ108x5.0</v>
      </c>
      <c r="E151" s="6" t="str">
        <f t="shared" si="5"/>
        <v/>
      </c>
    </row>
    <row r="152" spans="1:5" x14ac:dyDescent="0.3">
      <c r="A152" s="29">
        <v>108</v>
      </c>
      <c r="B152" s="40">
        <v>5.5</v>
      </c>
      <c r="C152" s="41"/>
      <c r="D152" s="6" t="str">
        <f t="shared" si="4"/>
        <v>φ108x5.5</v>
      </c>
      <c r="E152" s="6" t="str">
        <f t="shared" si="5"/>
        <v/>
      </c>
    </row>
    <row r="153" spans="1:5" x14ac:dyDescent="0.3">
      <c r="A153" s="29">
        <v>108</v>
      </c>
      <c r="B153" s="40">
        <v>6</v>
      </c>
      <c r="C153" s="41"/>
      <c r="D153" s="6" t="str">
        <f t="shared" si="4"/>
        <v>φ108x6.0</v>
      </c>
      <c r="E153" s="6" t="str">
        <f t="shared" si="5"/>
        <v/>
      </c>
    </row>
    <row r="154" spans="1:5" x14ac:dyDescent="0.3">
      <c r="A154" s="29">
        <v>108</v>
      </c>
      <c r="B154" s="40">
        <v>7</v>
      </c>
      <c r="C154" s="41"/>
      <c r="D154" s="6" t="str">
        <f t="shared" si="4"/>
        <v>φ108x7.0</v>
      </c>
      <c r="E154" s="6" t="str">
        <f t="shared" si="5"/>
        <v/>
      </c>
    </row>
    <row r="155" spans="1:5" x14ac:dyDescent="0.3">
      <c r="A155" s="29">
        <v>108</v>
      </c>
      <c r="B155" s="40">
        <v>8</v>
      </c>
      <c r="C155" s="41"/>
      <c r="D155" s="6" t="str">
        <f t="shared" si="4"/>
        <v>φ108x8.0</v>
      </c>
      <c r="E155" s="6" t="str">
        <f t="shared" si="5"/>
        <v/>
      </c>
    </row>
    <row r="156" spans="1:5" x14ac:dyDescent="0.3">
      <c r="A156" s="29">
        <v>108</v>
      </c>
      <c r="B156" s="40">
        <v>10</v>
      </c>
      <c r="C156" s="41"/>
      <c r="D156" s="6" t="str">
        <f t="shared" si="4"/>
        <v>φ108x10.0</v>
      </c>
      <c r="E156" s="6" t="str">
        <f t="shared" si="5"/>
        <v/>
      </c>
    </row>
    <row r="157" spans="1:5" x14ac:dyDescent="0.3">
      <c r="A157" s="29">
        <v>114</v>
      </c>
      <c r="B157" s="40"/>
      <c r="C157" s="41">
        <v>3</v>
      </c>
      <c r="D157" s="6" t="str">
        <f t="shared" si="4"/>
        <v/>
      </c>
      <c r="E157" s="6" t="str">
        <f t="shared" si="5"/>
        <v>φ114x3.0</v>
      </c>
    </row>
    <row r="158" spans="1:5" x14ac:dyDescent="0.3">
      <c r="A158" s="29">
        <v>114</v>
      </c>
      <c r="B158" s="40"/>
      <c r="C158" s="41">
        <v>3.5</v>
      </c>
      <c r="D158" s="6" t="str">
        <f t="shared" si="4"/>
        <v/>
      </c>
      <c r="E158" s="6" t="str">
        <f t="shared" si="5"/>
        <v>φ114x3.5</v>
      </c>
    </row>
    <row r="159" spans="1:5" x14ac:dyDescent="0.3">
      <c r="A159" s="29">
        <v>114</v>
      </c>
      <c r="B159" s="40">
        <v>4</v>
      </c>
      <c r="C159" s="41">
        <v>4</v>
      </c>
      <c r="D159" s="6" t="str">
        <f t="shared" si="4"/>
        <v>φ114x4.0</v>
      </c>
      <c r="E159" s="6" t="str">
        <f t="shared" si="5"/>
        <v>φ114x4.0</v>
      </c>
    </row>
    <row r="160" spans="1:5" x14ac:dyDescent="0.3">
      <c r="A160" s="29">
        <v>114</v>
      </c>
      <c r="B160" s="40">
        <v>4.5</v>
      </c>
      <c r="C160" s="41">
        <v>4.5</v>
      </c>
      <c r="D160" s="6" t="str">
        <f t="shared" si="4"/>
        <v>φ114x4.5</v>
      </c>
      <c r="E160" s="6" t="str">
        <f t="shared" si="5"/>
        <v>φ114x4.5</v>
      </c>
    </row>
    <row r="161" spans="1:5" x14ac:dyDescent="0.3">
      <c r="A161" s="29">
        <v>114</v>
      </c>
      <c r="B161" s="40">
        <v>5</v>
      </c>
      <c r="C161" s="41">
        <v>5</v>
      </c>
      <c r="D161" s="6" t="str">
        <f t="shared" si="4"/>
        <v>φ114x5.0</v>
      </c>
      <c r="E161" s="6" t="str">
        <f t="shared" si="5"/>
        <v>φ114x5.0</v>
      </c>
    </row>
    <row r="162" spans="1:5" x14ac:dyDescent="0.3">
      <c r="A162" s="29">
        <v>114</v>
      </c>
      <c r="B162" s="40">
        <v>5.5</v>
      </c>
      <c r="C162" s="41"/>
      <c r="D162" s="6" t="str">
        <f t="shared" si="4"/>
        <v>φ114x5.5</v>
      </c>
      <c r="E162" s="6" t="str">
        <f t="shared" si="5"/>
        <v/>
      </c>
    </row>
    <row r="163" spans="1:5" x14ac:dyDescent="0.3">
      <c r="A163" s="29">
        <v>114</v>
      </c>
      <c r="B163" s="40">
        <v>6</v>
      </c>
      <c r="C163" s="41"/>
      <c r="D163" s="6" t="str">
        <f t="shared" si="4"/>
        <v>φ114x6.0</v>
      </c>
      <c r="E163" s="6" t="str">
        <f t="shared" si="5"/>
        <v/>
      </c>
    </row>
    <row r="164" spans="1:5" x14ac:dyDescent="0.3">
      <c r="A164" s="29">
        <v>114</v>
      </c>
      <c r="B164" s="40">
        <v>7</v>
      </c>
      <c r="C164" s="41"/>
      <c r="D164" s="6" t="str">
        <f t="shared" si="4"/>
        <v>φ114x7.0</v>
      </c>
      <c r="E164" s="6" t="str">
        <f t="shared" si="5"/>
        <v/>
      </c>
    </row>
    <row r="165" spans="1:5" x14ac:dyDescent="0.3">
      <c r="A165" s="29">
        <v>114</v>
      </c>
      <c r="B165" s="40">
        <v>8</v>
      </c>
      <c r="C165" s="41"/>
      <c r="D165" s="6" t="str">
        <f t="shared" si="4"/>
        <v>φ114x8.0</v>
      </c>
      <c r="E165" s="6" t="str">
        <f t="shared" si="5"/>
        <v/>
      </c>
    </row>
    <row r="166" spans="1:5" x14ac:dyDescent="0.3">
      <c r="A166" s="29">
        <v>114</v>
      </c>
      <c r="B166" s="40">
        <v>10</v>
      </c>
      <c r="C166" s="41"/>
      <c r="D166" s="6" t="str">
        <f t="shared" si="4"/>
        <v>φ114x10.0</v>
      </c>
      <c r="E166" s="6" t="str">
        <f t="shared" si="5"/>
        <v/>
      </c>
    </row>
    <row r="167" spans="1:5" x14ac:dyDescent="0.3">
      <c r="A167" s="29">
        <v>121</v>
      </c>
      <c r="B167" s="40"/>
      <c r="C167" s="41">
        <v>3</v>
      </c>
      <c r="D167" s="6" t="str">
        <f t="shared" si="4"/>
        <v/>
      </c>
      <c r="E167" s="6" t="str">
        <f t="shared" si="5"/>
        <v>φ121x3.0</v>
      </c>
    </row>
    <row r="168" spans="1:5" x14ac:dyDescent="0.3">
      <c r="A168" s="29">
        <v>121</v>
      </c>
      <c r="B168" s="40"/>
      <c r="C168" s="41">
        <v>3.5</v>
      </c>
      <c r="D168" s="6" t="str">
        <f t="shared" si="4"/>
        <v/>
      </c>
      <c r="E168" s="6" t="str">
        <f t="shared" si="5"/>
        <v>φ121x3.5</v>
      </c>
    </row>
    <row r="169" spans="1:5" x14ac:dyDescent="0.3">
      <c r="A169" s="29">
        <v>121</v>
      </c>
      <c r="B169" s="40">
        <v>4</v>
      </c>
      <c r="C169" s="41">
        <v>4</v>
      </c>
      <c r="D169" s="6" t="str">
        <f t="shared" si="4"/>
        <v>φ121x4.0</v>
      </c>
      <c r="E169" s="6" t="str">
        <f t="shared" si="5"/>
        <v>φ121x4.0</v>
      </c>
    </row>
    <row r="170" spans="1:5" x14ac:dyDescent="0.3">
      <c r="A170" s="29">
        <v>121</v>
      </c>
      <c r="B170" s="40">
        <v>4.5</v>
      </c>
      <c r="C170" s="41"/>
      <c r="D170" s="6" t="str">
        <f t="shared" si="4"/>
        <v>φ121x4.5</v>
      </c>
      <c r="E170" s="6" t="str">
        <f t="shared" si="5"/>
        <v/>
      </c>
    </row>
    <row r="171" spans="1:5" x14ac:dyDescent="0.3">
      <c r="A171" s="29">
        <v>121</v>
      </c>
      <c r="B171" s="40">
        <v>5</v>
      </c>
      <c r="C171" s="41"/>
      <c r="D171" s="6" t="str">
        <f t="shared" si="4"/>
        <v>φ121x5.0</v>
      </c>
      <c r="E171" s="6" t="str">
        <f t="shared" si="5"/>
        <v/>
      </c>
    </row>
    <row r="172" spans="1:5" x14ac:dyDescent="0.3">
      <c r="A172" s="29">
        <v>121</v>
      </c>
      <c r="B172" s="40">
        <v>5.5</v>
      </c>
      <c r="C172" s="41"/>
      <c r="D172" s="6" t="str">
        <f t="shared" si="4"/>
        <v>φ121x5.5</v>
      </c>
      <c r="E172" s="6" t="str">
        <f t="shared" si="5"/>
        <v/>
      </c>
    </row>
    <row r="173" spans="1:5" x14ac:dyDescent="0.3">
      <c r="A173" s="29">
        <v>121</v>
      </c>
      <c r="B173" s="40">
        <v>6</v>
      </c>
      <c r="C173" s="41"/>
      <c r="D173" s="6" t="str">
        <f t="shared" si="4"/>
        <v>φ121x6.0</v>
      </c>
      <c r="E173" s="6" t="str">
        <f t="shared" si="5"/>
        <v/>
      </c>
    </row>
    <row r="174" spans="1:5" x14ac:dyDescent="0.3">
      <c r="A174" s="29">
        <v>121</v>
      </c>
      <c r="B174" s="40">
        <v>7</v>
      </c>
      <c r="C174" s="41"/>
      <c r="D174" s="6" t="str">
        <f t="shared" si="4"/>
        <v>φ121x7.0</v>
      </c>
      <c r="E174" s="6" t="str">
        <f t="shared" si="5"/>
        <v/>
      </c>
    </row>
    <row r="175" spans="1:5" x14ac:dyDescent="0.3">
      <c r="A175" s="29">
        <v>121</v>
      </c>
      <c r="B175" s="40">
        <v>8</v>
      </c>
      <c r="C175" s="41"/>
      <c r="D175" s="6" t="str">
        <f t="shared" si="4"/>
        <v>φ121x8.0</v>
      </c>
      <c r="E175" s="6" t="str">
        <f t="shared" si="5"/>
        <v/>
      </c>
    </row>
    <row r="176" spans="1:5" x14ac:dyDescent="0.3">
      <c r="A176" s="29">
        <v>121</v>
      </c>
      <c r="B176" s="40">
        <v>10</v>
      </c>
      <c r="C176" s="41"/>
      <c r="D176" s="6" t="str">
        <f t="shared" si="4"/>
        <v>φ121x10.0</v>
      </c>
      <c r="E176" s="6" t="str">
        <f t="shared" si="5"/>
        <v/>
      </c>
    </row>
    <row r="177" spans="1:5" x14ac:dyDescent="0.3">
      <c r="A177" s="29">
        <v>127</v>
      </c>
      <c r="B177" s="40"/>
      <c r="C177" s="41">
        <v>3</v>
      </c>
      <c r="D177" s="6" t="str">
        <f t="shared" si="4"/>
        <v/>
      </c>
      <c r="E177" s="6" t="str">
        <f t="shared" si="5"/>
        <v>φ127x3.0</v>
      </c>
    </row>
    <row r="178" spans="1:5" x14ac:dyDescent="0.3">
      <c r="A178" s="29">
        <v>127</v>
      </c>
      <c r="B178" s="40"/>
      <c r="C178" s="41">
        <v>3.5</v>
      </c>
      <c r="D178" s="6" t="str">
        <f t="shared" si="4"/>
        <v/>
      </c>
      <c r="E178" s="6" t="str">
        <f t="shared" si="5"/>
        <v>φ127x3.5</v>
      </c>
    </row>
    <row r="179" spans="1:5" x14ac:dyDescent="0.3">
      <c r="A179" s="29">
        <v>127</v>
      </c>
      <c r="B179" s="40">
        <v>4</v>
      </c>
      <c r="C179" s="41">
        <v>4</v>
      </c>
      <c r="D179" s="6" t="str">
        <f t="shared" si="4"/>
        <v>φ127x4.0</v>
      </c>
      <c r="E179" s="6" t="str">
        <f t="shared" si="5"/>
        <v>φ127x4.0</v>
      </c>
    </row>
    <row r="180" spans="1:5" x14ac:dyDescent="0.3">
      <c r="A180" s="29">
        <v>127</v>
      </c>
      <c r="B180" s="40">
        <v>4.5</v>
      </c>
      <c r="C180" s="41">
        <v>4.5</v>
      </c>
      <c r="D180" s="6" t="str">
        <f t="shared" si="4"/>
        <v>φ127x4.5</v>
      </c>
      <c r="E180" s="6" t="str">
        <f t="shared" si="5"/>
        <v>φ127x4.5</v>
      </c>
    </row>
    <row r="181" spans="1:5" x14ac:dyDescent="0.3">
      <c r="A181" s="29">
        <v>127</v>
      </c>
      <c r="B181" s="40">
        <v>5</v>
      </c>
      <c r="C181" s="41">
        <v>5</v>
      </c>
      <c r="D181" s="6" t="str">
        <f t="shared" si="4"/>
        <v>φ127x5.0</v>
      </c>
      <c r="E181" s="6" t="str">
        <f t="shared" si="5"/>
        <v>φ127x5.0</v>
      </c>
    </row>
    <row r="182" spans="1:5" x14ac:dyDescent="0.3">
      <c r="A182" s="29">
        <v>127</v>
      </c>
      <c r="B182" s="40">
        <v>5.5</v>
      </c>
      <c r="C182" s="41"/>
      <c r="D182" s="6" t="str">
        <f t="shared" si="4"/>
        <v>φ127x5.5</v>
      </c>
      <c r="E182" s="6" t="str">
        <f t="shared" si="5"/>
        <v/>
      </c>
    </row>
    <row r="183" spans="1:5" x14ac:dyDescent="0.3">
      <c r="A183" s="29">
        <v>127</v>
      </c>
      <c r="B183" s="40">
        <v>6</v>
      </c>
      <c r="C183" s="41"/>
      <c r="D183" s="6" t="str">
        <f t="shared" si="4"/>
        <v>φ127x6.0</v>
      </c>
      <c r="E183" s="6" t="str">
        <f t="shared" si="5"/>
        <v/>
      </c>
    </row>
    <row r="184" spans="1:5" x14ac:dyDescent="0.3">
      <c r="A184" s="29">
        <v>127</v>
      </c>
      <c r="B184" s="40">
        <v>7</v>
      </c>
      <c r="C184" s="41"/>
      <c r="D184" s="6" t="str">
        <f t="shared" si="4"/>
        <v>φ127x7.0</v>
      </c>
      <c r="E184" s="6" t="str">
        <f t="shared" si="5"/>
        <v/>
      </c>
    </row>
    <row r="185" spans="1:5" x14ac:dyDescent="0.3">
      <c r="A185" s="29">
        <v>127</v>
      </c>
      <c r="B185" s="40">
        <v>8</v>
      </c>
      <c r="C185" s="41"/>
      <c r="D185" s="6" t="str">
        <f t="shared" si="4"/>
        <v>φ127x8.0</v>
      </c>
      <c r="E185" s="6" t="str">
        <f t="shared" si="5"/>
        <v/>
      </c>
    </row>
    <row r="186" spans="1:5" x14ac:dyDescent="0.3">
      <c r="A186" s="29">
        <v>127</v>
      </c>
      <c r="B186" s="40">
        <v>10</v>
      </c>
      <c r="C186" s="41"/>
      <c r="D186" s="6" t="str">
        <f t="shared" si="4"/>
        <v>φ127x10.0</v>
      </c>
      <c r="E186" s="6" t="str">
        <f t="shared" si="5"/>
        <v/>
      </c>
    </row>
    <row r="187" spans="1:5" x14ac:dyDescent="0.3">
      <c r="A187" s="29">
        <v>127</v>
      </c>
      <c r="B187" s="40">
        <v>12</v>
      </c>
      <c r="C187" s="41"/>
      <c r="D187" s="6" t="str">
        <f t="shared" si="4"/>
        <v>φ127x12.0</v>
      </c>
      <c r="E187" s="6" t="str">
        <f t="shared" si="5"/>
        <v/>
      </c>
    </row>
    <row r="188" spans="1:5" x14ac:dyDescent="0.3">
      <c r="A188" s="29">
        <v>133</v>
      </c>
      <c r="B188" s="40">
        <v>4</v>
      </c>
      <c r="C188" s="41">
        <v>4</v>
      </c>
      <c r="D188" s="6" t="str">
        <f t="shared" si="4"/>
        <v>φ133x4.0</v>
      </c>
      <c r="E188" s="6" t="str">
        <f t="shared" si="5"/>
        <v>φ133x4.0</v>
      </c>
    </row>
    <row r="189" spans="1:5" x14ac:dyDescent="0.3">
      <c r="A189" s="29">
        <v>133</v>
      </c>
      <c r="B189" s="40">
        <v>4.5</v>
      </c>
      <c r="C189" s="41">
        <v>4.5</v>
      </c>
      <c r="D189" s="6" t="str">
        <f t="shared" si="4"/>
        <v>φ133x4.5</v>
      </c>
      <c r="E189" s="6" t="str">
        <f t="shared" si="5"/>
        <v>φ133x4.5</v>
      </c>
    </row>
    <row r="190" spans="1:5" x14ac:dyDescent="0.3">
      <c r="A190" s="29">
        <v>133</v>
      </c>
      <c r="B190" s="40">
        <v>5</v>
      </c>
      <c r="C190" s="41">
        <v>5</v>
      </c>
      <c r="D190" s="6" t="str">
        <f t="shared" si="4"/>
        <v>φ133x5.0</v>
      </c>
      <c r="E190" s="6" t="str">
        <f t="shared" si="5"/>
        <v>φ133x5.0</v>
      </c>
    </row>
    <row r="191" spans="1:5" x14ac:dyDescent="0.3">
      <c r="A191" s="29">
        <v>133</v>
      </c>
      <c r="B191" s="40">
        <v>5.5</v>
      </c>
      <c r="C191" s="41"/>
      <c r="D191" s="6" t="str">
        <f t="shared" si="4"/>
        <v>φ133x5.5</v>
      </c>
      <c r="E191" s="6" t="str">
        <f t="shared" si="5"/>
        <v/>
      </c>
    </row>
    <row r="192" spans="1:5" x14ac:dyDescent="0.3">
      <c r="A192" s="29">
        <v>133</v>
      </c>
      <c r="B192" s="40">
        <v>6</v>
      </c>
      <c r="C192" s="41"/>
      <c r="D192" s="6" t="str">
        <f t="shared" si="4"/>
        <v>φ133x6.0</v>
      </c>
      <c r="E192" s="6" t="str">
        <f t="shared" si="5"/>
        <v/>
      </c>
    </row>
    <row r="193" spans="1:5" x14ac:dyDescent="0.3">
      <c r="A193" s="29">
        <v>133</v>
      </c>
      <c r="B193" s="40">
        <v>7</v>
      </c>
      <c r="C193" s="41"/>
      <c r="D193" s="6" t="str">
        <f t="shared" si="4"/>
        <v>φ133x7.0</v>
      </c>
      <c r="E193" s="6" t="str">
        <f t="shared" si="5"/>
        <v/>
      </c>
    </row>
    <row r="194" spans="1:5" x14ac:dyDescent="0.3">
      <c r="A194" s="29">
        <v>133</v>
      </c>
      <c r="B194" s="40">
        <v>8</v>
      </c>
      <c r="C194" s="41"/>
      <c r="D194" s="6" t="str">
        <f t="shared" si="4"/>
        <v>φ133x8.0</v>
      </c>
      <c r="E194" s="6" t="str">
        <f t="shared" si="5"/>
        <v/>
      </c>
    </row>
    <row r="195" spans="1:5" x14ac:dyDescent="0.3">
      <c r="A195" s="29">
        <v>133</v>
      </c>
      <c r="B195" s="40">
        <v>10</v>
      </c>
      <c r="C195" s="41"/>
      <c r="D195" s="6" t="str">
        <f t="shared" si="4"/>
        <v>φ133x10.0</v>
      </c>
      <c r="E195" s="6" t="str">
        <f t="shared" si="5"/>
        <v/>
      </c>
    </row>
    <row r="196" spans="1:5" x14ac:dyDescent="0.3">
      <c r="A196" s="29">
        <v>133</v>
      </c>
      <c r="B196" s="40">
        <v>12</v>
      </c>
      <c r="C196" s="41"/>
      <c r="D196" s="6" t="str">
        <f t="shared" ref="D196:D259" si="6" xml:space="preserve"> IF(B196 = "",  "", "φ" &amp; A196 &amp; "x" &amp; TEXT(B196, "0.0"))</f>
        <v>φ133x12.0</v>
      </c>
      <c r="E196" s="6" t="str">
        <f t="shared" ref="E196:E259" si="7" xml:space="preserve"> IF(C196 = "",  "", "φ" &amp; A196 &amp; "x" &amp; TEXT(C196, "0.0"))</f>
        <v/>
      </c>
    </row>
    <row r="197" spans="1:5" x14ac:dyDescent="0.3">
      <c r="A197" s="29">
        <v>140</v>
      </c>
      <c r="B197" s="40"/>
      <c r="C197" s="41">
        <v>4</v>
      </c>
      <c r="D197" s="6" t="str">
        <f t="shared" si="6"/>
        <v/>
      </c>
      <c r="E197" s="6" t="str">
        <f t="shared" si="7"/>
        <v>φ140x4.0</v>
      </c>
    </row>
    <row r="198" spans="1:5" x14ac:dyDescent="0.3">
      <c r="A198" s="29">
        <v>140</v>
      </c>
      <c r="B198" s="40">
        <v>4.5</v>
      </c>
      <c r="C198" s="41">
        <v>4.5</v>
      </c>
      <c r="D198" s="6" t="str">
        <f t="shared" si="6"/>
        <v>φ140x4.5</v>
      </c>
      <c r="E198" s="6" t="str">
        <f t="shared" si="7"/>
        <v>φ140x4.5</v>
      </c>
    </row>
    <row r="199" spans="1:5" x14ac:dyDescent="0.3">
      <c r="A199" s="29">
        <v>140</v>
      </c>
      <c r="B199" s="40">
        <v>5</v>
      </c>
      <c r="C199" s="41">
        <v>5</v>
      </c>
      <c r="D199" s="6" t="str">
        <f t="shared" si="6"/>
        <v>φ140x5.0</v>
      </c>
      <c r="E199" s="6" t="str">
        <f t="shared" si="7"/>
        <v>φ140x5.0</v>
      </c>
    </row>
    <row r="200" spans="1:5" x14ac:dyDescent="0.3">
      <c r="A200" s="29">
        <v>140</v>
      </c>
      <c r="B200" s="40">
        <v>5.5</v>
      </c>
      <c r="C200" s="41">
        <v>5.5</v>
      </c>
      <c r="D200" s="6" t="str">
        <f t="shared" si="6"/>
        <v>φ140x5.5</v>
      </c>
      <c r="E200" s="6" t="str">
        <f t="shared" si="7"/>
        <v>φ140x5.5</v>
      </c>
    </row>
    <row r="201" spans="1:5" x14ac:dyDescent="0.3">
      <c r="A201" s="29">
        <v>140</v>
      </c>
      <c r="B201" s="40">
        <v>6</v>
      </c>
      <c r="C201" s="41"/>
      <c r="D201" s="6" t="str">
        <f t="shared" si="6"/>
        <v>φ140x6.0</v>
      </c>
      <c r="E201" s="6" t="str">
        <f t="shared" si="7"/>
        <v/>
      </c>
    </row>
    <row r="202" spans="1:5" x14ac:dyDescent="0.3">
      <c r="A202" s="29">
        <v>140</v>
      </c>
      <c r="B202" s="40">
        <v>7</v>
      </c>
      <c r="C202" s="41"/>
      <c r="D202" s="6" t="str">
        <f t="shared" si="6"/>
        <v>φ140x7.0</v>
      </c>
      <c r="E202" s="6" t="str">
        <f t="shared" si="7"/>
        <v/>
      </c>
    </row>
    <row r="203" spans="1:5" x14ac:dyDescent="0.3">
      <c r="A203" s="29">
        <v>140</v>
      </c>
      <c r="B203" s="40">
        <v>8</v>
      </c>
      <c r="C203" s="41"/>
      <c r="D203" s="6" t="str">
        <f t="shared" si="6"/>
        <v>φ140x8.0</v>
      </c>
      <c r="E203" s="6" t="str">
        <f t="shared" si="7"/>
        <v/>
      </c>
    </row>
    <row r="204" spans="1:5" x14ac:dyDescent="0.3">
      <c r="A204" s="29">
        <v>140</v>
      </c>
      <c r="B204" s="40">
        <v>10</v>
      </c>
      <c r="C204" s="41"/>
      <c r="D204" s="6" t="str">
        <f t="shared" si="6"/>
        <v>φ140x10.0</v>
      </c>
      <c r="E204" s="6" t="str">
        <f t="shared" si="7"/>
        <v/>
      </c>
    </row>
    <row r="205" spans="1:5" x14ac:dyDescent="0.3">
      <c r="A205" s="29">
        <v>140</v>
      </c>
      <c r="B205" s="40">
        <v>12</v>
      </c>
      <c r="C205" s="41"/>
      <c r="D205" s="6" t="str">
        <f t="shared" si="6"/>
        <v>φ140x12.0</v>
      </c>
      <c r="E205" s="6" t="str">
        <f t="shared" si="7"/>
        <v/>
      </c>
    </row>
    <row r="206" spans="1:5" x14ac:dyDescent="0.3">
      <c r="A206" s="29">
        <v>140</v>
      </c>
      <c r="B206" s="40">
        <v>14</v>
      </c>
      <c r="C206" s="41"/>
      <c r="D206" s="6" t="str">
        <f t="shared" si="6"/>
        <v>φ140x14.0</v>
      </c>
      <c r="E206" s="6" t="str">
        <f t="shared" si="7"/>
        <v/>
      </c>
    </row>
    <row r="207" spans="1:5" x14ac:dyDescent="0.3">
      <c r="A207" s="29">
        <v>146</v>
      </c>
      <c r="B207" s="40">
        <v>5</v>
      </c>
      <c r="C207" s="41"/>
      <c r="D207" s="6" t="str">
        <f t="shared" si="6"/>
        <v>φ146x5.0</v>
      </c>
      <c r="E207" s="6" t="str">
        <f t="shared" si="7"/>
        <v/>
      </c>
    </row>
    <row r="208" spans="1:5" x14ac:dyDescent="0.3">
      <c r="A208" s="29">
        <v>146</v>
      </c>
      <c r="B208" s="40">
        <v>5.5</v>
      </c>
      <c r="C208" s="41"/>
      <c r="D208" s="6" t="str">
        <f t="shared" si="6"/>
        <v>φ146x5.5</v>
      </c>
      <c r="E208" s="6" t="str">
        <f t="shared" si="7"/>
        <v/>
      </c>
    </row>
    <row r="209" spans="1:5" x14ac:dyDescent="0.3">
      <c r="A209" s="29">
        <v>146</v>
      </c>
      <c r="B209" s="40">
        <v>6</v>
      </c>
      <c r="C209" s="41"/>
      <c r="D209" s="6" t="str">
        <f t="shared" si="6"/>
        <v>φ146x6.0</v>
      </c>
      <c r="E209" s="6" t="str">
        <f t="shared" si="7"/>
        <v/>
      </c>
    </row>
    <row r="210" spans="1:5" x14ac:dyDescent="0.3">
      <c r="A210" s="29">
        <v>146</v>
      </c>
      <c r="B210" s="40">
        <v>7</v>
      </c>
      <c r="C210" s="41"/>
      <c r="D210" s="6" t="str">
        <f t="shared" si="6"/>
        <v>φ146x7.0</v>
      </c>
      <c r="E210" s="6" t="str">
        <f t="shared" si="7"/>
        <v/>
      </c>
    </row>
    <row r="211" spans="1:5" x14ac:dyDescent="0.3">
      <c r="A211" s="29">
        <v>146</v>
      </c>
      <c r="B211" s="40">
        <v>8</v>
      </c>
      <c r="C211" s="41"/>
      <c r="D211" s="6" t="str">
        <f t="shared" si="6"/>
        <v>φ146x8.0</v>
      </c>
      <c r="E211" s="6" t="str">
        <f t="shared" si="7"/>
        <v/>
      </c>
    </row>
    <row r="212" spans="1:5" x14ac:dyDescent="0.3">
      <c r="A212" s="29">
        <v>146</v>
      </c>
      <c r="B212" s="40">
        <v>10</v>
      </c>
      <c r="C212" s="41"/>
      <c r="D212" s="6" t="str">
        <f t="shared" si="6"/>
        <v>φ146x10.0</v>
      </c>
      <c r="E212" s="6" t="str">
        <f t="shared" si="7"/>
        <v/>
      </c>
    </row>
    <row r="213" spans="1:5" x14ac:dyDescent="0.3">
      <c r="A213" s="29">
        <v>146</v>
      </c>
      <c r="B213" s="40">
        <v>12</v>
      </c>
      <c r="C213" s="41"/>
      <c r="D213" s="6" t="str">
        <f t="shared" si="6"/>
        <v>φ146x12.0</v>
      </c>
      <c r="E213" s="6" t="str">
        <f t="shared" si="7"/>
        <v/>
      </c>
    </row>
    <row r="214" spans="1:5" x14ac:dyDescent="0.3">
      <c r="A214" s="29">
        <v>146</v>
      </c>
      <c r="B214" s="40">
        <v>14</v>
      </c>
      <c r="C214" s="41"/>
      <c r="D214" s="6" t="str">
        <f t="shared" si="6"/>
        <v>φ146x14.0</v>
      </c>
      <c r="E214" s="6" t="str">
        <f t="shared" si="7"/>
        <v/>
      </c>
    </row>
    <row r="215" spans="1:5" x14ac:dyDescent="0.3">
      <c r="A215" s="29">
        <v>152</v>
      </c>
      <c r="B215" s="40">
        <v>5</v>
      </c>
      <c r="C215" s="41">
        <v>5</v>
      </c>
      <c r="D215" s="6" t="str">
        <f t="shared" si="6"/>
        <v>φ152x5.0</v>
      </c>
      <c r="E215" s="6" t="str">
        <f t="shared" si="7"/>
        <v>φ152x5.0</v>
      </c>
    </row>
    <row r="216" spans="1:5" x14ac:dyDescent="0.3">
      <c r="A216" s="29">
        <v>152</v>
      </c>
      <c r="B216" s="40">
        <v>5.5</v>
      </c>
      <c r="C216" s="41">
        <v>5.5</v>
      </c>
      <c r="D216" s="6" t="str">
        <f t="shared" si="6"/>
        <v>φ152x5.5</v>
      </c>
      <c r="E216" s="6" t="str">
        <f t="shared" si="7"/>
        <v>φ152x5.5</v>
      </c>
    </row>
    <row r="217" spans="1:5" x14ac:dyDescent="0.3">
      <c r="A217" s="29">
        <v>152</v>
      </c>
      <c r="B217" s="40">
        <v>6</v>
      </c>
      <c r="C217" s="41"/>
      <c r="D217" s="6" t="str">
        <f t="shared" si="6"/>
        <v>φ152x6.0</v>
      </c>
      <c r="E217" s="6" t="str">
        <f t="shared" si="7"/>
        <v/>
      </c>
    </row>
    <row r="218" spans="1:5" x14ac:dyDescent="0.3">
      <c r="A218" s="29">
        <v>152</v>
      </c>
      <c r="B218" s="40">
        <v>7</v>
      </c>
      <c r="C218" s="41"/>
      <c r="D218" s="6" t="str">
        <f t="shared" si="6"/>
        <v>φ152x7.0</v>
      </c>
      <c r="E218" s="6" t="str">
        <f t="shared" si="7"/>
        <v/>
      </c>
    </row>
    <row r="219" spans="1:5" x14ac:dyDescent="0.3">
      <c r="A219" s="29">
        <v>152</v>
      </c>
      <c r="B219" s="40">
        <v>8</v>
      </c>
      <c r="C219" s="41"/>
      <c r="D219" s="6" t="str">
        <f t="shared" si="6"/>
        <v>φ152x8.0</v>
      </c>
      <c r="E219" s="6" t="str">
        <f t="shared" si="7"/>
        <v/>
      </c>
    </row>
    <row r="220" spans="1:5" x14ac:dyDescent="0.3">
      <c r="A220" s="29">
        <v>152</v>
      </c>
      <c r="B220" s="40">
        <v>10</v>
      </c>
      <c r="C220" s="41"/>
      <c r="D220" s="6" t="str">
        <f t="shared" si="6"/>
        <v>φ152x10.0</v>
      </c>
      <c r="E220" s="6" t="str">
        <f t="shared" si="7"/>
        <v/>
      </c>
    </row>
    <row r="221" spans="1:5" x14ac:dyDescent="0.3">
      <c r="A221" s="29">
        <v>152</v>
      </c>
      <c r="B221" s="40">
        <v>12</v>
      </c>
      <c r="C221" s="41"/>
      <c r="D221" s="6" t="str">
        <f t="shared" si="6"/>
        <v>φ152x12.0</v>
      </c>
      <c r="E221" s="6" t="str">
        <f t="shared" si="7"/>
        <v/>
      </c>
    </row>
    <row r="222" spans="1:5" x14ac:dyDescent="0.3">
      <c r="A222" s="29">
        <v>152</v>
      </c>
      <c r="B222" s="40">
        <v>14</v>
      </c>
      <c r="C222" s="41"/>
      <c r="D222" s="6" t="str">
        <f t="shared" si="6"/>
        <v>φ152x14.0</v>
      </c>
      <c r="E222" s="6" t="str">
        <f t="shared" si="7"/>
        <v/>
      </c>
    </row>
    <row r="223" spans="1:5" x14ac:dyDescent="0.3">
      <c r="A223" s="29">
        <v>159</v>
      </c>
      <c r="B223" s="40">
        <v>5</v>
      </c>
      <c r="C223" s="41"/>
      <c r="D223" s="6" t="str">
        <f t="shared" si="6"/>
        <v>φ159x5.0</v>
      </c>
      <c r="E223" s="6" t="str">
        <f t="shared" si="7"/>
        <v/>
      </c>
    </row>
    <row r="224" spans="1:5" x14ac:dyDescent="0.3">
      <c r="A224" s="29">
        <v>159</v>
      </c>
      <c r="B224" s="40">
        <v>6</v>
      </c>
      <c r="C224" s="41"/>
      <c r="D224" s="6" t="str">
        <f t="shared" si="6"/>
        <v>φ159x6.0</v>
      </c>
      <c r="E224" s="6" t="str">
        <f t="shared" si="7"/>
        <v/>
      </c>
    </row>
    <row r="225" spans="1:5" x14ac:dyDescent="0.3">
      <c r="A225" s="29">
        <v>159</v>
      </c>
      <c r="B225" s="40">
        <v>7</v>
      </c>
      <c r="C225" s="41"/>
      <c r="D225" s="6" t="str">
        <f t="shared" si="6"/>
        <v>φ159x7.0</v>
      </c>
      <c r="E225" s="6" t="str">
        <f t="shared" si="7"/>
        <v/>
      </c>
    </row>
    <row r="226" spans="1:5" x14ac:dyDescent="0.3">
      <c r="A226" s="29">
        <v>159</v>
      </c>
      <c r="B226" s="40">
        <v>8</v>
      </c>
      <c r="C226" s="41"/>
      <c r="D226" s="6" t="str">
        <f t="shared" si="6"/>
        <v>φ159x8.0</v>
      </c>
      <c r="E226" s="6" t="str">
        <f t="shared" si="7"/>
        <v/>
      </c>
    </row>
    <row r="227" spans="1:5" x14ac:dyDescent="0.3">
      <c r="A227" s="29">
        <v>159</v>
      </c>
      <c r="B227" s="40">
        <v>10</v>
      </c>
      <c r="C227" s="41"/>
      <c r="D227" s="6" t="str">
        <f t="shared" si="6"/>
        <v>φ159x10.0</v>
      </c>
      <c r="E227" s="6" t="str">
        <f t="shared" si="7"/>
        <v/>
      </c>
    </row>
    <row r="228" spans="1:5" x14ac:dyDescent="0.3">
      <c r="A228" s="29">
        <v>159</v>
      </c>
      <c r="B228" s="40">
        <v>12</v>
      </c>
      <c r="C228" s="41"/>
      <c r="D228" s="6" t="str">
        <f t="shared" si="6"/>
        <v>φ159x12.0</v>
      </c>
      <c r="E228" s="6" t="str">
        <f t="shared" si="7"/>
        <v/>
      </c>
    </row>
    <row r="229" spans="1:5" x14ac:dyDescent="0.3">
      <c r="A229" s="29">
        <v>159</v>
      </c>
      <c r="B229" s="40">
        <v>14</v>
      </c>
      <c r="C229" s="41"/>
      <c r="D229" s="6" t="str">
        <f t="shared" si="6"/>
        <v>φ159x14.0</v>
      </c>
      <c r="E229" s="6" t="str">
        <f t="shared" si="7"/>
        <v/>
      </c>
    </row>
    <row r="230" spans="1:5" x14ac:dyDescent="0.3">
      <c r="A230" s="29">
        <v>168</v>
      </c>
      <c r="B230" s="40">
        <v>5</v>
      </c>
      <c r="C230" s="41"/>
      <c r="D230" s="6" t="str">
        <f t="shared" si="6"/>
        <v>φ168x5.0</v>
      </c>
      <c r="E230" s="6" t="str">
        <f t="shared" si="7"/>
        <v/>
      </c>
    </row>
    <row r="231" spans="1:5" x14ac:dyDescent="0.3">
      <c r="A231" s="29">
        <v>168</v>
      </c>
      <c r="B231" s="40">
        <v>6</v>
      </c>
      <c r="C231" s="41"/>
      <c r="D231" s="6" t="str">
        <f t="shared" si="6"/>
        <v>φ168x6.0</v>
      </c>
      <c r="E231" s="6" t="str">
        <f t="shared" si="7"/>
        <v/>
      </c>
    </row>
    <row r="232" spans="1:5" x14ac:dyDescent="0.3">
      <c r="A232" s="29">
        <v>168</v>
      </c>
      <c r="B232" s="40">
        <v>7</v>
      </c>
      <c r="C232" s="41"/>
      <c r="D232" s="6" t="str">
        <f t="shared" si="6"/>
        <v>φ168x7.0</v>
      </c>
      <c r="E232" s="6" t="str">
        <f t="shared" si="7"/>
        <v/>
      </c>
    </row>
    <row r="233" spans="1:5" x14ac:dyDescent="0.3">
      <c r="A233" s="29">
        <v>168</v>
      </c>
      <c r="B233" s="40">
        <v>8</v>
      </c>
      <c r="C233" s="41"/>
      <c r="D233" s="6" t="str">
        <f t="shared" si="6"/>
        <v>φ168x8.0</v>
      </c>
      <c r="E233" s="6" t="str">
        <f t="shared" si="7"/>
        <v/>
      </c>
    </row>
    <row r="234" spans="1:5" x14ac:dyDescent="0.3">
      <c r="A234" s="29">
        <v>168</v>
      </c>
      <c r="B234" s="40">
        <v>10</v>
      </c>
      <c r="C234" s="41"/>
      <c r="D234" s="6" t="str">
        <f t="shared" si="6"/>
        <v>φ168x10.0</v>
      </c>
      <c r="E234" s="6" t="str">
        <f t="shared" si="7"/>
        <v/>
      </c>
    </row>
    <row r="235" spans="1:5" x14ac:dyDescent="0.3">
      <c r="A235" s="29">
        <v>168</v>
      </c>
      <c r="B235" s="40">
        <v>12</v>
      </c>
      <c r="C235" s="41"/>
      <c r="D235" s="6" t="str">
        <f t="shared" si="6"/>
        <v>φ168x12.0</v>
      </c>
      <c r="E235" s="6" t="str">
        <f t="shared" si="7"/>
        <v/>
      </c>
    </row>
    <row r="236" spans="1:5" x14ac:dyDescent="0.3">
      <c r="A236" s="29">
        <v>168</v>
      </c>
      <c r="B236" s="40">
        <v>14</v>
      </c>
      <c r="C236" s="41"/>
      <c r="D236" s="6" t="str">
        <f t="shared" si="6"/>
        <v>φ168x14.0</v>
      </c>
      <c r="E236" s="6" t="str">
        <f t="shared" si="7"/>
        <v/>
      </c>
    </row>
    <row r="237" spans="1:5" x14ac:dyDescent="0.3">
      <c r="A237" s="29">
        <v>168</v>
      </c>
      <c r="B237" s="40">
        <v>16</v>
      </c>
      <c r="C237" s="41"/>
      <c r="D237" s="6" t="str">
        <f t="shared" si="6"/>
        <v>φ168x16.0</v>
      </c>
      <c r="E237" s="6" t="str">
        <f t="shared" si="7"/>
        <v/>
      </c>
    </row>
    <row r="238" spans="1:5" x14ac:dyDescent="0.3">
      <c r="A238" s="29">
        <v>180</v>
      </c>
      <c r="B238" s="40">
        <v>5</v>
      </c>
      <c r="C238" s="41"/>
      <c r="D238" s="6" t="str">
        <f t="shared" si="6"/>
        <v>φ180x5.0</v>
      </c>
      <c r="E238" s="6" t="str">
        <f t="shared" si="7"/>
        <v/>
      </c>
    </row>
    <row r="239" spans="1:5" x14ac:dyDescent="0.3">
      <c r="A239" s="29">
        <v>180</v>
      </c>
      <c r="B239" s="40">
        <v>6</v>
      </c>
      <c r="C239" s="41"/>
      <c r="D239" s="6" t="str">
        <f t="shared" si="6"/>
        <v>φ180x6.0</v>
      </c>
      <c r="E239" s="6" t="str">
        <f t="shared" si="7"/>
        <v/>
      </c>
    </row>
    <row r="240" spans="1:5" x14ac:dyDescent="0.3">
      <c r="A240" s="29">
        <v>180</v>
      </c>
      <c r="B240" s="40">
        <v>7</v>
      </c>
      <c r="C240" s="41"/>
      <c r="D240" s="6" t="str">
        <f t="shared" si="6"/>
        <v>φ180x7.0</v>
      </c>
      <c r="E240" s="6" t="str">
        <f t="shared" si="7"/>
        <v/>
      </c>
    </row>
    <row r="241" spans="1:5" x14ac:dyDescent="0.3">
      <c r="A241" s="29">
        <v>180</v>
      </c>
      <c r="B241" s="40">
        <v>8</v>
      </c>
      <c r="C241" s="41"/>
      <c r="D241" s="6" t="str">
        <f t="shared" si="6"/>
        <v>φ180x8.0</v>
      </c>
      <c r="E241" s="6" t="str">
        <f t="shared" si="7"/>
        <v/>
      </c>
    </row>
    <row r="242" spans="1:5" x14ac:dyDescent="0.3">
      <c r="A242" s="29">
        <v>180</v>
      </c>
      <c r="B242" s="40">
        <v>10</v>
      </c>
      <c r="C242" s="41"/>
      <c r="D242" s="6" t="str">
        <f t="shared" si="6"/>
        <v>φ180x10.0</v>
      </c>
      <c r="E242" s="6" t="str">
        <f t="shared" si="7"/>
        <v/>
      </c>
    </row>
    <row r="243" spans="1:5" x14ac:dyDescent="0.3">
      <c r="A243" s="29">
        <v>180</v>
      </c>
      <c r="B243" s="40">
        <v>12</v>
      </c>
      <c r="C243" s="41"/>
      <c r="D243" s="6" t="str">
        <f t="shared" si="6"/>
        <v>φ180x12.0</v>
      </c>
      <c r="E243" s="6" t="str">
        <f t="shared" si="7"/>
        <v/>
      </c>
    </row>
    <row r="244" spans="1:5" x14ac:dyDescent="0.3">
      <c r="A244" s="29">
        <v>180</v>
      </c>
      <c r="B244" s="40">
        <v>14</v>
      </c>
      <c r="C244" s="41"/>
      <c r="D244" s="6" t="str">
        <f t="shared" si="6"/>
        <v>φ180x14.0</v>
      </c>
      <c r="E244" s="6" t="str">
        <f t="shared" si="7"/>
        <v/>
      </c>
    </row>
    <row r="245" spans="1:5" x14ac:dyDescent="0.3">
      <c r="A245" s="29">
        <v>180</v>
      </c>
      <c r="B245" s="40">
        <v>16</v>
      </c>
      <c r="C245" s="41"/>
      <c r="D245" s="6" t="str">
        <f t="shared" si="6"/>
        <v>φ180x16.0</v>
      </c>
      <c r="E245" s="6" t="str">
        <f t="shared" si="7"/>
        <v/>
      </c>
    </row>
    <row r="246" spans="1:5" x14ac:dyDescent="0.3">
      <c r="A246" s="29">
        <v>194</v>
      </c>
      <c r="B246" s="40">
        <v>5</v>
      </c>
      <c r="C246" s="41"/>
      <c r="D246" s="6" t="str">
        <f t="shared" si="6"/>
        <v>φ194x5.0</v>
      </c>
      <c r="E246" s="6" t="str">
        <f t="shared" si="7"/>
        <v/>
      </c>
    </row>
    <row r="247" spans="1:5" x14ac:dyDescent="0.3">
      <c r="A247" s="29">
        <v>194</v>
      </c>
      <c r="B247" s="40">
        <v>6</v>
      </c>
      <c r="C247" s="41"/>
      <c r="D247" s="6" t="str">
        <f t="shared" si="6"/>
        <v>φ194x6.0</v>
      </c>
      <c r="E247" s="6" t="str">
        <f t="shared" si="7"/>
        <v/>
      </c>
    </row>
    <row r="248" spans="1:5" x14ac:dyDescent="0.3">
      <c r="A248" s="29">
        <v>194</v>
      </c>
      <c r="B248" s="40">
        <v>7</v>
      </c>
      <c r="C248" s="41"/>
      <c r="D248" s="6" t="str">
        <f t="shared" si="6"/>
        <v>φ194x7.0</v>
      </c>
      <c r="E248" s="6" t="str">
        <f t="shared" si="7"/>
        <v/>
      </c>
    </row>
    <row r="249" spans="1:5" x14ac:dyDescent="0.3">
      <c r="A249" s="29">
        <v>194</v>
      </c>
      <c r="B249" s="40">
        <v>8</v>
      </c>
      <c r="C249" s="41"/>
      <c r="D249" s="6" t="str">
        <f t="shared" si="6"/>
        <v>φ194x8.0</v>
      </c>
      <c r="E249" s="6" t="str">
        <f t="shared" si="7"/>
        <v/>
      </c>
    </row>
    <row r="250" spans="1:5" x14ac:dyDescent="0.3">
      <c r="A250" s="29">
        <v>194</v>
      </c>
      <c r="B250" s="40">
        <v>10</v>
      </c>
      <c r="C250" s="41"/>
      <c r="D250" s="6" t="str">
        <f t="shared" si="6"/>
        <v>φ194x10.0</v>
      </c>
      <c r="E250" s="6" t="str">
        <f t="shared" si="7"/>
        <v/>
      </c>
    </row>
    <row r="251" spans="1:5" x14ac:dyDescent="0.3">
      <c r="A251" s="29">
        <v>194</v>
      </c>
      <c r="B251" s="40">
        <v>12</v>
      </c>
      <c r="C251" s="41"/>
      <c r="D251" s="6" t="str">
        <f t="shared" si="6"/>
        <v>φ194x12.0</v>
      </c>
      <c r="E251" s="6" t="str">
        <f t="shared" si="7"/>
        <v/>
      </c>
    </row>
    <row r="252" spans="1:5" x14ac:dyDescent="0.3">
      <c r="A252" s="29">
        <v>194</v>
      </c>
      <c r="B252" s="40">
        <v>14</v>
      </c>
      <c r="C252" s="41"/>
      <c r="D252" s="6" t="str">
        <f t="shared" si="6"/>
        <v>φ194x14.0</v>
      </c>
      <c r="E252" s="6" t="str">
        <f t="shared" si="7"/>
        <v/>
      </c>
    </row>
    <row r="253" spans="1:5" x14ac:dyDescent="0.3">
      <c r="A253" s="29">
        <v>194</v>
      </c>
      <c r="B253" s="40">
        <v>16</v>
      </c>
      <c r="C253" s="41"/>
      <c r="D253" s="6" t="str">
        <f t="shared" si="6"/>
        <v>φ194x16.0</v>
      </c>
      <c r="E253" s="6" t="str">
        <f t="shared" si="7"/>
        <v/>
      </c>
    </row>
    <row r="254" spans="1:5" x14ac:dyDescent="0.3">
      <c r="A254" s="29">
        <v>194</v>
      </c>
      <c r="B254" s="40">
        <v>18</v>
      </c>
      <c r="C254" s="41"/>
      <c r="D254" s="6" t="str">
        <f t="shared" si="6"/>
        <v>φ194x18.0</v>
      </c>
      <c r="E254" s="6" t="str">
        <f t="shared" si="7"/>
        <v/>
      </c>
    </row>
    <row r="255" spans="1:5" x14ac:dyDescent="0.3">
      <c r="A255" s="29">
        <v>203</v>
      </c>
      <c r="B255" s="40">
        <v>6</v>
      </c>
      <c r="C255" s="41"/>
      <c r="D255" s="6" t="str">
        <f t="shared" si="6"/>
        <v>φ203x6.0</v>
      </c>
      <c r="E255" s="6" t="str">
        <f t="shared" si="7"/>
        <v/>
      </c>
    </row>
    <row r="256" spans="1:5" x14ac:dyDescent="0.3">
      <c r="A256" s="29">
        <v>203</v>
      </c>
      <c r="B256" s="40">
        <v>8</v>
      </c>
      <c r="C256" s="41"/>
      <c r="D256" s="6" t="str">
        <f t="shared" si="6"/>
        <v>φ203x8.0</v>
      </c>
      <c r="E256" s="6" t="str">
        <f t="shared" si="7"/>
        <v/>
      </c>
    </row>
    <row r="257" spans="1:5" x14ac:dyDescent="0.3">
      <c r="A257" s="29">
        <v>203</v>
      </c>
      <c r="B257" s="40">
        <v>10</v>
      </c>
      <c r="C257" s="41"/>
      <c r="D257" s="6" t="str">
        <f t="shared" si="6"/>
        <v>φ203x10.0</v>
      </c>
      <c r="E257" s="6" t="str">
        <f t="shared" si="7"/>
        <v/>
      </c>
    </row>
    <row r="258" spans="1:5" x14ac:dyDescent="0.3">
      <c r="A258" s="29">
        <v>203</v>
      </c>
      <c r="B258" s="40">
        <v>12</v>
      </c>
      <c r="C258" s="41"/>
      <c r="D258" s="6" t="str">
        <f t="shared" si="6"/>
        <v>φ203x12.0</v>
      </c>
      <c r="E258" s="6" t="str">
        <f t="shared" si="7"/>
        <v/>
      </c>
    </row>
    <row r="259" spans="1:5" x14ac:dyDescent="0.3">
      <c r="A259" s="29">
        <v>203</v>
      </c>
      <c r="B259" s="40">
        <v>14</v>
      </c>
      <c r="C259" s="41"/>
      <c r="D259" s="6" t="str">
        <f t="shared" si="6"/>
        <v>φ203x14.0</v>
      </c>
      <c r="E259" s="6" t="str">
        <f t="shared" si="7"/>
        <v/>
      </c>
    </row>
    <row r="260" spans="1:5" x14ac:dyDescent="0.3">
      <c r="A260" s="29">
        <v>203</v>
      </c>
      <c r="B260" s="40">
        <v>16</v>
      </c>
      <c r="C260" s="41"/>
      <c r="D260" s="6" t="str">
        <f t="shared" ref="D260:D291" si="8" xml:space="preserve"> IF(B260 = "",  "", "φ" &amp; A260 &amp; "x" &amp; TEXT(B260, "0.0"))</f>
        <v>φ203x16.0</v>
      </c>
      <c r="E260" s="6" t="str">
        <f t="shared" ref="E260:E291" si="9" xml:space="preserve"> IF(C260 = "",  "", "φ" &amp; A260 &amp; "x" &amp; TEXT(C260, "0.0"))</f>
        <v/>
      </c>
    </row>
    <row r="261" spans="1:5" x14ac:dyDescent="0.3">
      <c r="A261" s="29">
        <v>203</v>
      </c>
      <c r="B261" s="40">
        <v>18</v>
      </c>
      <c r="C261" s="41"/>
      <c r="D261" s="6" t="str">
        <f t="shared" si="8"/>
        <v>φ203x18.0</v>
      </c>
      <c r="E261" s="6" t="str">
        <f t="shared" si="9"/>
        <v/>
      </c>
    </row>
    <row r="262" spans="1:5" x14ac:dyDescent="0.3">
      <c r="A262" s="29">
        <v>219</v>
      </c>
      <c r="B262" s="40">
        <v>6</v>
      </c>
      <c r="C262" s="41"/>
      <c r="D262" s="6" t="str">
        <f t="shared" si="8"/>
        <v>φ219x6.0</v>
      </c>
      <c r="E262" s="6" t="str">
        <f t="shared" si="9"/>
        <v/>
      </c>
    </row>
    <row r="263" spans="1:5" x14ac:dyDescent="0.3">
      <c r="A263" s="29">
        <v>219</v>
      </c>
      <c r="B263" s="40">
        <v>8</v>
      </c>
      <c r="C263" s="41"/>
      <c r="D263" s="6" t="str">
        <f t="shared" si="8"/>
        <v>φ219x8.0</v>
      </c>
      <c r="E263" s="6" t="str">
        <f t="shared" si="9"/>
        <v/>
      </c>
    </row>
    <row r="264" spans="1:5" x14ac:dyDescent="0.3">
      <c r="A264" s="29">
        <v>219</v>
      </c>
      <c r="B264" s="40">
        <v>10</v>
      </c>
      <c r="C264" s="41"/>
      <c r="D264" s="6" t="str">
        <f t="shared" si="8"/>
        <v>φ219x10.0</v>
      </c>
      <c r="E264" s="6" t="str">
        <f t="shared" si="9"/>
        <v/>
      </c>
    </row>
    <row r="265" spans="1:5" x14ac:dyDescent="0.3">
      <c r="A265" s="29">
        <v>219</v>
      </c>
      <c r="B265" s="40">
        <v>12</v>
      </c>
      <c r="C265" s="41"/>
      <c r="D265" s="6" t="str">
        <f t="shared" si="8"/>
        <v>φ219x12.0</v>
      </c>
      <c r="E265" s="6" t="str">
        <f t="shared" si="9"/>
        <v/>
      </c>
    </row>
    <row r="266" spans="1:5" x14ac:dyDescent="0.3">
      <c r="A266" s="29">
        <v>219</v>
      </c>
      <c r="B266" s="40">
        <v>14</v>
      </c>
      <c r="C266" s="41"/>
      <c r="D266" s="6" t="str">
        <f t="shared" si="8"/>
        <v>φ219x14.0</v>
      </c>
      <c r="E266" s="6" t="str">
        <f t="shared" si="9"/>
        <v/>
      </c>
    </row>
    <row r="267" spans="1:5" x14ac:dyDescent="0.3">
      <c r="A267" s="29">
        <v>219</v>
      </c>
      <c r="B267" s="40">
        <v>16</v>
      </c>
      <c r="C267" s="41"/>
      <c r="D267" s="6" t="str">
        <f t="shared" si="8"/>
        <v>φ219x16.0</v>
      </c>
      <c r="E267" s="6" t="str">
        <f t="shared" si="9"/>
        <v/>
      </c>
    </row>
    <row r="268" spans="1:5" x14ac:dyDescent="0.3">
      <c r="A268" s="29">
        <v>219</v>
      </c>
      <c r="B268" s="40">
        <v>18</v>
      </c>
      <c r="C268" s="41"/>
      <c r="D268" s="6" t="str">
        <f t="shared" si="8"/>
        <v>φ219x18.0</v>
      </c>
      <c r="E268" s="6" t="str">
        <f t="shared" si="9"/>
        <v/>
      </c>
    </row>
    <row r="269" spans="1:5" x14ac:dyDescent="0.3">
      <c r="A269" s="29">
        <v>219</v>
      </c>
      <c r="B269" s="40">
        <v>20</v>
      </c>
      <c r="C269" s="41"/>
      <c r="D269" s="6" t="str">
        <f t="shared" si="8"/>
        <v>φ219x20.0</v>
      </c>
      <c r="E269" s="6" t="str">
        <f t="shared" si="9"/>
        <v/>
      </c>
    </row>
    <row r="270" spans="1:5" x14ac:dyDescent="0.3">
      <c r="A270" s="29">
        <v>245</v>
      </c>
      <c r="B270" s="40">
        <v>7</v>
      </c>
      <c r="C270" s="41"/>
      <c r="D270" s="6" t="str">
        <f t="shared" si="8"/>
        <v>φ245x7.0</v>
      </c>
      <c r="E270" s="6" t="str">
        <f t="shared" si="9"/>
        <v/>
      </c>
    </row>
    <row r="271" spans="1:5" x14ac:dyDescent="0.3">
      <c r="A271" s="29">
        <v>245</v>
      </c>
      <c r="B271" s="40">
        <v>8</v>
      </c>
      <c r="C271" s="41"/>
      <c r="D271" s="6" t="str">
        <f t="shared" si="8"/>
        <v>φ245x8.0</v>
      </c>
      <c r="E271" s="6" t="str">
        <f t="shared" si="9"/>
        <v/>
      </c>
    </row>
    <row r="272" spans="1:5" x14ac:dyDescent="0.3">
      <c r="A272" s="29">
        <v>245</v>
      </c>
      <c r="B272" s="40">
        <v>10</v>
      </c>
      <c r="C272" s="41"/>
      <c r="D272" s="6" t="str">
        <f t="shared" si="8"/>
        <v>φ245x10.0</v>
      </c>
      <c r="E272" s="6" t="str">
        <f t="shared" si="9"/>
        <v/>
      </c>
    </row>
    <row r="273" spans="1:5" x14ac:dyDescent="0.3">
      <c r="A273" s="29">
        <v>245</v>
      </c>
      <c r="B273" s="40">
        <v>12</v>
      </c>
      <c r="C273" s="41"/>
      <c r="D273" s="6" t="str">
        <f t="shared" si="8"/>
        <v>φ245x12.0</v>
      </c>
      <c r="E273" s="6" t="str">
        <f t="shared" si="9"/>
        <v/>
      </c>
    </row>
    <row r="274" spans="1:5" x14ac:dyDescent="0.3">
      <c r="A274" s="29">
        <v>245</v>
      </c>
      <c r="B274" s="40">
        <v>14</v>
      </c>
      <c r="C274" s="41"/>
      <c r="D274" s="6" t="str">
        <f t="shared" si="8"/>
        <v>φ245x14.0</v>
      </c>
      <c r="E274" s="6" t="str">
        <f t="shared" si="9"/>
        <v/>
      </c>
    </row>
    <row r="275" spans="1:5" x14ac:dyDescent="0.3">
      <c r="A275" s="29">
        <v>245</v>
      </c>
      <c r="B275" s="40">
        <v>16</v>
      </c>
      <c r="C275" s="41"/>
      <c r="D275" s="6" t="str">
        <f t="shared" si="8"/>
        <v>φ245x16.0</v>
      </c>
      <c r="E275" s="6" t="str">
        <f t="shared" si="9"/>
        <v/>
      </c>
    </row>
    <row r="276" spans="1:5" x14ac:dyDescent="0.3">
      <c r="A276" s="29">
        <v>245</v>
      </c>
      <c r="B276" s="40">
        <v>18</v>
      </c>
      <c r="C276" s="41"/>
      <c r="D276" s="6" t="str">
        <f t="shared" si="8"/>
        <v>φ245x18.0</v>
      </c>
      <c r="E276" s="6" t="str">
        <f t="shared" si="9"/>
        <v/>
      </c>
    </row>
    <row r="277" spans="1:5" x14ac:dyDescent="0.3">
      <c r="A277" s="29">
        <v>245</v>
      </c>
      <c r="B277" s="40">
        <v>20</v>
      </c>
      <c r="C277" s="41"/>
      <c r="D277" s="6" t="str">
        <f t="shared" si="8"/>
        <v>φ245x20.0</v>
      </c>
      <c r="E277" s="6" t="str">
        <f t="shared" si="9"/>
        <v/>
      </c>
    </row>
    <row r="278" spans="1:5" x14ac:dyDescent="0.3">
      <c r="A278" s="29">
        <v>273</v>
      </c>
      <c r="B278" s="40">
        <v>8</v>
      </c>
      <c r="C278" s="41"/>
      <c r="D278" s="6" t="str">
        <f t="shared" si="8"/>
        <v>φ273x8.0</v>
      </c>
      <c r="E278" s="6" t="str">
        <f t="shared" si="9"/>
        <v/>
      </c>
    </row>
    <row r="279" spans="1:5" x14ac:dyDescent="0.3">
      <c r="A279" s="29">
        <v>273</v>
      </c>
      <c r="B279" s="40">
        <v>10</v>
      </c>
      <c r="C279" s="41"/>
      <c r="D279" s="6" t="str">
        <f t="shared" si="8"/>
        <v>φ273x10.0</v>
      </c>
      <c r="E279" s="6" t="str">
        <f t="shared" si="9"/>
        <v/>
      </c>
    </row>
    <row r="280" spans="1:5" x14ac:dyDescent="0.3">
      <c r="A280" s="29">
        <v>273</v>
      </c>
      <c r="B280" s="40">
        <v>12</v>
      </c>
      <c r="C280" s="41"/>
      <c r="D280" s="6" t="str">
        <f t="shared" si="8"/>
        <v>φ273x12.0</v>
      </c>
      <c r="E280" s="6" t="str">
        <f t="shared" si="9"/>
        <v/>
      </c>
    </row>
    <row r="281" spans="1:5" x14ac:dyDescent="0.3">
      <c r="A281" s="29">
        <v>273</v>
      </c>
      <c r="B281" s="40">
        <v>14</v>
      </c>
      <c r="C281" s="41"/>
      <c r="D281" s="6" t="str">
        <f t="shared" si="8"/>
        <v>φ273x14.0</v>
      </c>
      <c r="E281" s="6" t="str">
        <f t="shared" si="9"/>
        <v/>
      </c>
    </row>
    <row r="282" spans="1:5" x14ac:dyDescent="0.3">
      <c r="A282" s="29">
        <v>273</v>
      </c>
      <c r="B282" s="40">
        <v>16</v>
      </c>
      <c r="C282" s="41"/>
      <c r="D282" s="6" t="str">
        <f t="shared" si="8"/>
        <v>φ273x16.0</v>
      </c>
      <c r="E282" s="6" t="str">
        <f t="shared" si="9"/>
        <v/>
      </c>
    </row>
    <row r="283" spans="1:5" x14ac:dyDescent="0.3">
      <c r="A283" s="29">
        <v>273</v>
      </c>
      <c r="B283" s="40">
        <v>18</v>
      </c>
      <c r="C283" s="41"/>
      <c r="D283" s="6" t="str">
        <f t="shared" si="8"/>
        <v>φ273x18.0</v>
      </c>
      <c r="E283" s="6" t="str">
        <f t="shared" si="9"/>
        <v/>
      </c>
    </row>
    <row r="284" spans="1:5" x14ac:dyDescent="0.3">
      <c r="A284" s="29">
        <v>273</v>
      </c>
      <c r="B284" s="40">
        <v>20</v>
      </c>
      <c r="C284" s="41"/>
      <c r="D284" s="6" t="str">
        <f t="shared" si="8"/>
        <v>φ273x20.0</v>
      </c>
      <c r="E284" s="6" t="str">
        <f t="shared" si="9"/>
        <v/>
      </c>
    </row>
    <row r="285" spans="1:5" x14ac:dyDescent="0.3">
      <c r="A285" s="29">
        <v>299</v>
      </c>
      <c r="B285" s="40">
        <v>8</v>
      </c>
      <c r="C285" s="41"/>
      <c r="D285" s="6" t="str">
        <f t="shared" si="8"/>
        <v>φ299x8.0</v>
      </c>
      <c r="E285" s="6" t="str">
        <f t="shared" si="9"/>
        <v/>
      </c>
    </row>
    <row r="286" spans="1:5" x14ac:dyDescent="0.3">
      <c r="A286" s="29">
        <v>299</v>
      </c>
      <c r="B286" s="40">
        <v>10</v>
      </c>
      <c r="C286" s="41"/>
      <c r="D286" s="6" t="str">
        <f t="shared" si="8"/>
        <v>φ299x10.0</v>
      </c>
      <c r="E286" s="6" t="str">
        <f t="shared" si="9"/>
        <v/>
      </c>
    </row>
    <row r="287" spans="1:5" x14ac:dyDescent="0.3">
      <c r="A287" s="29">
        <v>299</v>
      </c>
      <c r="B287" s="40">
        <v>12</v>
      </c>
      <c r="C287" s="41"/>
      <c r="D287" s="6" t="str">
        <f t="shared" si="8"/>
        <v>φ299x12.0</v>
      </c>
      <c r="E287" s="6" t="str">
        <f t="shared" si="9"/>
        <v/>
      </c>
    </row>
    <row r="288" spans="1:5" x14ac:dyDescent="0.3">
      <c r="A288" s="29">
        <v>299</v>
      </c>
      <c r="B288" s="40">
        <v>14</v>
      </c>
      <c r="C288" s="41"/>
      <c r="D288" s="6" t="str">
        <f t="shared" si="8"/>
        <v>φ299x14.0</v>
      </c>
      <c r="E288" s="6" t="str">
        <f t="shared" si="9"/>
        <v/>
      </c>
    </row>
    <row r="289" spans="1:5" x14ac:dyDescent="0.3">
      <c r="A289" s="29">
        <v>299</v>
      </c>
      <c r="B289" s="40">
        <v>16</v>
      </c>
      <c r="C289" s="41"/>
      <c r="D289" s="6" t="str">
        <f t="shared" si="8"/>
        <v>φ299x16.0</v>
      </c>
      <c r="E289" s="6" t="str">
        <f t="shared" si="9"/>
        <v/>
      </c>
    </row>
    <row r="290" spans="1:5" x14ac:dyDescent="0.3">
      <c r="A290" s="29">
        <v>299</v>
      </c>
      <c r="B290" s="40">
        <v>18</v>
      </c>
      <c r="C290" s="41"/>
      <c r="D290" s="6" t="str">
        <f t="shared" si="8"/>
        <v>φ299x18.0</v>
      </c>
      <c r="E290" s="6" t="str">
        <f t="shared" si="9"/>
        <v/>
      </c>
    </row>
    <row r="291" spans="1:5" ht="14.5" thickBot="1" x14ac:dyDescent="0.35">
      <c r="A291" s="32">
        <v>299</v>
      </c>
      <c r="B291" s="42">
        <v>20</v>
      </c>
      <c r="C291" s="43"/>
      <c r="D291" s="6" t="str">
        <f t="shared" si="8"/>
        <v>φ299x20.0</v>
      </c>
      <c r="E291" s="6" t="str">
        <f t="shared" si="9"/>
        <v/>
      </c>
    </row>
    <row r="292" spans="1:5" ht="14.5" thickTop="1" x14ac:dyDescent="0.3"/>
  </sheetData>
  <mergeCells count="3">
    <mergeCell ref="A1:A2"/>
    <mergeCell ref="B1:C1"/>
    <mergeCell ref="D1:E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1E8C1-B432-4072-943C-29A6F81934B0}">
  <sheetPr codeName="Sheet7"/>
  <dimension ref="A1:R44"/>
  <sheetViews>
    <sheetView workbookViewId="0">
      <selection activeCell="U32" sqref="U32"/>
    </sheetView>
  </sheetViews>
  <sheetFormatPr defaultRowHeight="15.5" x14ac:dyDescent="0.35"/>
  <cols>
    <col min="1" max="1" width="7" style="85" bestFit="1" customWidth="1"/>
    <col min="2" max="2" width="20.25" style="85" bestFit="1" customWidth="1"/>
    <col min="3" max="4" width="4.1640625" style="85" bestFit="1" customWidth="1"/>
    <col min="5" max="7" width="5.1640625" style="85" bestFit="1" customWidth="1"/>
    <col min="8" max="8" width="4.1640625" style="85" bestFit="1" customWidth="1"/>
    <col min="9" max="10" width="7.1640625" style="85" bestFit="1" customWidth="1"/>
    <col min="11" max="11" width="6.1640625" style="85" bestFit="1" customWidth="1"/>
    <col min="12" max="17" width="5.1640625" style="85" bestFit="1" customWidth="1"/>
    <col min="18" max="18" width="13.83203125" style="85" bestFit="1" customWidth="1"/>
    <col min="19" max="16384" width="8.6640625" style="85"/>
  </cols>
  <sheetData>
    <row r="1" spans="1:18" x14ac:dyDescent="0.35">
      <c r="A1" s="82" t="s">
        <v>625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4"/>
    </row>
    <row r="2" spans="1:18" ht="18.5" x14ac:dyDescent="0.35">
      <c r="A2" s="86" t="s">
        <v>626</v>
      </c>
      <c r="B2" s="87" t="s">
        <v>627</v>
      </c>
      <c r="C2" s="88" t="s">
        <v>628</v>
      </c>
      <c r="D2" s="88"/>
      <c r="E2" s="88"/>
      <c r="F2" s="88"/>
      <c r="G2" s="88"/>
      <c r="H2" s="88"/>
      <c r="I2" s="89" t="s">
        <v>629</v>
      </c>
      <c r="J2" s="89" t="s">
        <v>630</v>
      </c>
      <c r="K2" s="88" t="s">
        <v>631</v>
      </c>
      <c r="L2" s="88"/>
      <c r="M2" s="88" t="s">
        <v>632</v>
      </c>
      <c r="N2" s="88"/>
      <c r="O2" s="88"/>
      <c r="P2" s="88" t="s">
        <v>633</v>
      </c>
      <c r="Q2" s="88"/>
      <c r="R2" s="90" t="s">
        <v>634</v>
      </c>
    </row>
    <row r="3" spans="1:18" ht="17.5" x14ac:dyDescent="0.35">
      <c r="A3" s="86"/>
      <c r="B3" s="87"/>
      <c r="C3" s="91" t="s">
        <v>579</v>
      </c>
      <c r="D3" s="91" t="s">
        <v>580</v>
      </c>
      <c r="E3" s="91" t="s">
        <v>581</v>
      </c>
      <c r="F3" s="91" t="s">
        <v>582</v>
      </c>
      <c r="G3" s="92" t="s">
        <v>583</v>
      </c>
      <c r="H3" s="92" t="s">
        <v>635</v>
      </c>
      <c r="I3" s="88"/>
      <c r="J3" s="88"/>
      <c r="K3" s="92" t="s">
        <v>636</v>
      </c>
      <c r="L3" s="91" t="s">
        <v>637</v>
      </c>
      <c r="M3" s="93" t="s">
        <v>638</v>
      </c>
      <c r="N3" s="91" t="s">
        <v>639</v>
      </c>
      <c r="O3" s="91" t="s">
        <v>640</v>
      </c>
      <c r="P3" s="91" t="s">
        <v>641</v>
      </c>
      <c r="Q3" s="92" t="s">
        <v>642</v>
      </c>
      <c r="R3" s="94" t="s">
        <v>643</v>
      </c>
    </row>
    <row r="4" spans="1:18" x14ac:dyDescent="0.35">
      <c r="A4" s="95" t="s">
        <v>584</v>
      </c>
      <c r="B4" s="96" t="str">
        <f xml:space="preserve"> "C" &amp; C4 &amp; "x" &amp; D4 &amp; "x" &amp; TEXT(E4, "0.0") &amp; "x" &amp; TEXT(F4, "0.0") &amp; "#"</f>
        <v>C50x37x4.5x7.0#</v>
      </c>
      <c r="C4" s="97">
        <v>50</v>
      </c>
      <c r="D4" s="97">
        <v>37</v>
      </c>
      <c r="E4" s="98">
        <v>4.5</v>
      </c>
      <c r="F4" s="99">
        <v>7</v>
      </c>
      <c r="G4" s="99">
        <v>7</v>
      </c>
      <c r="H4" s="98">
        <v>3.5</v>
      </c>
      <c r="I4" s="100">
        <v>6.9279999999999999</v>
      </c>
      <c r="J4" s="100">
        <v>5.4379999999999997</v>
      </c>
      <c r="K4" s="99">
        <v>26</v>
      </c>
      <c r="L4" s="101">
        <v>8.3000000000000007</v>
      </c>
      <c r="M4" s="98">
        <v>20.9</v>
      </c>
      <c r="N4" s="98">
        <v>1.94</v>
      </c>
      <c r="O4" s="98">
        <v>1.1000000000000001</v>
      </c>
      <c r="P4" s="98">
        <v>10.4</v>
      </c>
      <c r="Q4" s="98">
        <v>3.55</v>
      </c>
      <c r="R4" s="90">
        <v>1.35</v>
      </c>
    </row>
    <row r="5" spans="1:18" x14ac:dyDescent="0.35">
      <c r="A5" s="102" t="s">
        <v>585</v>
      </c>
      <c r="B5" s="96" t="str">
        <f t="shared" ref="B5:B44" si="0" xml:space="preserve"> "C" &amp; C5 &amp; "x" &amp; D5 &amp; "x" &amp; TEXT(E5, "0.0") &amp; "x" &amp; TEXT(F5, "0.0") &amp; "#"</f>
        <v>C63x40x4.8x7.5#</v>
      </c>
      <c r="C5" s="97">
        <v>63</v>
      </c>
      <c r="D5" s="97">
        <v>40</v>
      </c>
      <c r="E5" s="99">
        <v>4.8</v>
      </c>
      <c r="F5" s="98">
        <v>7.5</v>
      </c>
      <c r="G5" s="99">
        <v>7.5</v>
      </c>
      <c r="H5" s="99">
        <v>3.8</v>
      </c>
      <c r="I5" s="98">
        <v>8.4510000000000005</v>
      </c>
      <c r="J5" s="98">
        <v>6.6340000000000003</v>
      </c>
      <c r="K5" s="99">
        <v>50.8</v>
      </c>
      <c r="L5" s="99">
        <v>11.9</v>
      </c>
      <c r="M5" s="99">
        <v>28.4</v>
      </c>
      <c r="N5" s="98">
        <v>2.4500000000000002</v>
      </c>
      <c r="O5" s="98">
        <v>1.19</v>
      </c>
      <c r="P5" s="98">
        <v>16.100000000000001</v>
      </c>
      <c r="Q5" s="98">
        <v>4.5</v>
      </c>
      <c r="R5" s="90">
        <v>1.36</v>
      </c>
    </row>
    <row r="6" spans="1:18" x14ac:dyDescent="0.35">
      <c r="A6" s="102" t="s">
        <v>586</v>
      </c>
      <c r="B6" s="96" t="str">
        <f t="shared" si="0"/>
        <v>C65x40x4.3x7.5#</v>
      </c>
      <c r="C6" s="97">
        <v>65</v>
      </c>
      <c r="D6" s="97">
        <v>40</v>
      </c>
      <c r="E6" s="98">
        <v>4.3</v>
      </c>
      <c r="F6" s="98">
        <v>7.5</v>
      </c>
      <c r="G6" s="98">
        <v>7.5</v>
      </c>
      <c r="H6" s="99">
        <v>3.8</v>
      </c>
      <c r="I6" s="100">
        <v>8.5470000000000006</v>
      </c>
      <c r="J6" s="98">
        <v>6.7089999999999996</v>
      </c>
      <c r="K6" s="98">
        <v>55.2</v>
      </c>
      <c r="L6" s="98">
        <v>12</v>
      </c>
      <c r="M6" s="98">
        <v>28.3</v>
      </c>
      <c r="N6" s="98">
        <v>2.54</v>
      </c>
      <c r="O6" s="98">
        <v>1.19</v>
      </c>
      <c r="P6" s="99">
        <v>17</v>
      </c>
      <c r="Q6" s="101">
        <v>4.59</v>
      </c>
      <c r="R6" s="90">
        <v>1.38</v>
      </c>
    </row>
    <row r="7" spans="1:18" x14ac:dyDescent="0.35">
      <c r="A7" s="95" t="s">
        <v>587</v>
      </c>
      <c r="B7" s="96" t="str">
        <f t="shared" si="0"/>
        <v>C80x43x5.0x8.0#</v>
      </c>
      <c r="C7" s="97">
        <v>80</v>
      </c>
      <c r="D7" s="103">
        <v>43</v>
      </c>
      <c r="E7" s="99">
        <v>5</v>
      </c>
      <c r="F7" s="99">
        <v>8</v>
      </c>
      <c r="G7" s="98">
        <v>8</v>
      </c>
      <c r="H7" s="99">
        <v>4</v>
      </c>
      <c r="I7" s="100">
        <v>10.247999999999999</v>
      </c>
      <c r="J7" s="98">
        <v>8.0449999999999999</v>
      </c>
      <c r="K7" s="97">
        <v>101</v>
      </c>
      <c r="L7" s="98">
        <v>16.600000000000001</v>
      </c>
      <c r="M7" s="98">
        <v>37.4</v>
      </c>
      <c r="N7" s="98">
        <v>3.15</v>
      </c>
      <c r="O7" s="98">
        <v>1.27</v>
      </c>
      <c r="P7" s="99">
        <v>25.3</v>
      </c>
      <c r="Q7" s="98">
        <v>5.79</v>
      </c>
      <c r="R7" s="90">
        <v>1.43</v>
      </c>
    </row>
    <row r="8" spans="1:18" x14ac:dyDescent="0.35">
      <c r="A8" s="95" t="s">
        <v>588</v>
      </c>
      <c r="B8" s="96" t="str">
        <f t="shared" si="0"/>
        <v>C100x48x5.3x8.5#</v>
      </c>
      <c r="C8" s="97">
        <v>100</v>
      </c>
      <c r="D8" s="97">
        <v>48</v>
      </c>
      <c r="E8" s="99">
        <v>5.3</v>
      </c>
      <c r="F8" s="98">
        <v>8.5</v>
      </c>
      <c r="G8" s="98">
        <v>8.5</v>
      </c>
      <c r="H8" s="99">
        <v>4.2</v>
      </c>
      <c r="I8" s="104">
        <v>12.747999999999999</v>
      </c>
      <c r="J8" s="100">
        <v>10.007</v>
      </c>
      <c r="K8" s="103">
        <v>198</v>
      </c>
      <c r="L8" s="99">
        <v>25.6</v>
      </c>
      <c r="M8" s="99">
        <v>54.9</v>
      </c>
      <c r="N8" s="98">
        <v>3.95</v>
      </c>
      <c r="O8" s="98">
        <v>1.41</v>
      </c>
      <c r="P8" s="98">
        <v>39.700000000000003</v>
      </c>
      <c r="Q8" s="101">
        <v>7.8</v>
      </c>
      <c r="R8" s="90">
        <v>1.52</v>
      </c>
    </row>
    <row r="9" spans="1:18" x14ac:dyDescent="0.35">
      <c r="A9" s="105" t="s">
        <v>589</v>
      </c>
      <c r="B9" s="96" t="str">
        <f t="shared" si="0"/>
        <v>C120x53x5.5x9.0#</v>
      </c>
      <c r="C9" s="97">
        <v>120</v>
      </c>
      <c r="D9" s="97">
        <v>53</v>
      </c>
      <c r="E9" s="99">
        <v>5.5</v>
      </c>
      <c r="F9" s="98">
        <v>9</v>
      </c>
      <c r="G9" s="98">
        <v>9</v>
      </c>
      <c r="H9" s="99">
        <v>4.5</v>
      </c>
      <c r="I9" s="98">
        <v>15.362</v>
      </c>
      <c r="J9" s="100">
        <v>12.058999999999999</v>
      </c>
      <c r="K9" s="97">
        <v>346</v>
      </c>
      <c r="L9" s="98">
        <v>37.4</v>
      </c>
      <c r="M9" s="99">
        <v>77.7</v>
      </c>
      <c r="N9" s="98">
        <v>4.75</v>
      </c>
      <c r="O9" s="98">
        <v>1.56</v>
      </c>
      <c r="P9" s="98">
        <v>57.7</v>
      </c>
      <c r="Q9" s="106">
        <v>10.199999999999999</v>
      </c>
      <c r="R9" s="90">
        <v>1.62</v>
      </c>
    </row>
    <row r="10" spans="1:18" x14ac:dyDescent="0.35">
      <c r="A10" s="102" t="s">
        <v>590</v>
      </c>
      <c r="B10" s="96" t="str">
        <f t="shared" si="0"/>
        <v>C126x53x5.5x9.0#</v>
      </c>
      <c r="C10" s="103">
        <v>126</v>
      </c>
      <c r="D10" s="97">
        <v>53</v>
      </c>
      <c r="E10" s="98">
        <v>5.5</v>
      </c>
      <c r="F10" s="99">
        <v>9</v>
      </c>
      <c r="G10" s="98">
        <v>9</v>
      </c>
      <c r="H10" s="99">
        <v>4.5</v>
      </c>
      <c r="I10" s="100">
        <v>15.692</v>
      </c>
      <c r="J10" s="100">
        <v>12.318</v>
      </c>
      <c r="K10" s="97">
        <v>391</v>
      </c>
      <c r="L10" s="99">
        <v>38</v>
      </c>
      <c r="M10" s="98">
        <v>77.099999999999994</v>
      </c>
      <c r="N10" s="101">
        <v>4.95</v>
      </c>
      <c r="O10" s="98">
        <v>1.57</v>
      </c>
      <c r="P10" s="98">
        <v>62.1</v>
      </c>
      <c r="Q10" s="106">
        <v>10.199999999999999</v>
      </c>
      <c r="R10" s="107">
        <v>1.59</v>
      </c>
    </row>
    <row r="11" spans="1:18" x14ac:dyDescent="0.35">
      <c r="A11" s="102" t="s">
        <v>591</v>
      </c>
      <c r="B11" s="96" t="str">
        <f t="shared" si="0"/>
        <v>C140x58x6.0x9.5#</v>
      </c>
      <c r="C11" s="97">
        <v>140</v>
      </c>
      <c r="D11" s="97">
        <v>58</v>
      </c>
      <c r="E11" s="98">
        <v>6</v>
      </c>
      <c r="F11" s="98">
        <v>9.5</v>
      </c>
      <c r="G11" s="98">
        <v>9.5</v>
      </c>
      <c r="H11" s="99">
        <v>4.8</v>
      </c>
      <c r="I11" s="100">
        <v>18.515999999999998</v>
      </c>
      <c r="J11" s="100">
        <v>14.535</v>
      </c>
      <c r="K11" s="97">
        <v>564</v>
      </c>
      <c r="L11" s="98">
        <v>53.2</v>
      </c>
      <c r="M11" s="97">
        <v>107</v>
      </c>
      <c r="N11" s="98">
        <v>5.52</v>
      </c>
      <c r="O11" s="98">
        <v>1.7</v>
      </c>
      <c r="P11" s="99">
        <v>80.5</v>
      </c>
      <c r="Q11" s="99">
        <v>13</v>
      </c>
      <c r="R11" s="107">
        <v>1.71</v>
      </c>
    </row>
    <row r="12" spans="1:18" x14ac:dyDescent="0.35">
      <c r="A12" s="102" t="s">
        <v>592</v>
      </c>
      <c r="B12" s="96" t="str">
        <f t="shared" si="0"/>
        <v>C140x60x8.0x9.5#</v>
      </c>
      <c r="C12" s="97">
        <v>140</v>
      </c>
      <c r="D12" s="97">
        <v>60</v>
      </c>
      <c r="E12" s="99">
        <v>8</v>
      </c>
      <c r="F12" s="98">
        <v>9.5</v>
      </c>
      <c r="G12" s="98">
        <v>9.5</v>
      </c>
      <c r="H12" s="99">
        <v>4.8</v>
      </c>
      <c r="I12" s="100">
        <v>21.315999999999999</v>
      </c>
      <c r="J12" s="98">
        <v>16.733000000000001</v>
      </c>
      <c r="K12" s="97">
        <v>609</v>
      </c>
      <c r="L12" s="98">
        <v>61.1</v>
      </c>
      <c r="M12" s="97">
        <v>121</v>
      </c>
      <c r="N12" s="101">
        <v>5.35</v>
      </c>
      <c r="O12" s="98">
        <v>1.69</v>
      </c>
      <c r="P12" s="98">
        <v>87.1</v>
      </c>
      <c r="Q12" s="106">
        <v>14.1</v>
      </c>
      <c r="R12" s="90">
        <v>1.67</v>
      </c>
    </row>
    <row r="13" spans="1:18" x14ac:dyDescent="0.35">
      <c r="A13" s="102" t="s">
        <v>593</v>
      </c>
      <c r="B13" s="96" t="str">
        <f t="shared" si="0"/>
        <v>C160x63x6.5x10.0#</v>
      </c>
      <c r="C13" s="97">
        <v>160</v>
      </c>
      <c r="D13" s="97">
        <v>63</v>
      </c>
      <c r="E13" s="98">
        <v>6.5</v>
      </c>
      <c r="F13" s="106">
        <v>10</v>
      </c>
      <c r="G13" s="106">
        <v>10</v>
      </c>
      <c r="H13" s="99">
        <v>5</v>
      </c>
      <c r="I13" s="98">
        <v>21.962</v>
      </c>
      <c r="J13" s="98">
        <v>17.239999999999998</v>
      </c>
      <c r="K13" s="97">
        <v>866</v>
      </c>
      <c r="L13" s="98">
        <v>13.3</v>
      </c>
      <c r="M13" s="97">
        <v>144</v>
      </c>
      <c r="N13" s="98">
        <v>6.28</v>
      </c>
      <c r="O13" s="98">
        <v>1.83</v>
      </c>
      <c r="P13" s="97">
        <v>108</v>
      </c>
      <c r="Q13" s="106">
        <v>16.3</v>
      </c>
      <c r="R13" s="90">
        <v>1.8</v>
      </c>
    </row>
    <row r="14" spans="1:18" x14ac:dyDescent="0.35">
      <c r="A14" s="102" t="s">
        <v>594</v>
      </c>
      <c r="B14" s="96" t="str">
        <f t="shared" si="0"/>
        <v>C160x65x8.5x10.0#</v>
      </c>
      <c r="C14" s="97">
        <v>160</v>
      </c>
      <c r="D14" s="97">
        <v>65</v>
      </c>
      <c r="E14" s="99">
        <v>8.5</v>
      </c>
      <c r="F14" s="106">
        <v>10</v>
      </c>
      <c r="G14" s="106">
        <v>10</v>
      </c>
      <c r="H14" s="99">
        <v>5</v>
      </c>
      <c r="I14" s="98">
        <v>25.161999999999999</v>
      </c>
      <c r="J14" s="98">
        <v>19.751999999999999</v>
      </c>
      <c r="K14" s="97">
        <v>935</v>
      </c>
      <c r="L14" s="98">
        <v>83.4</v>
      </c>
      <c r="M14" s="97">
        <v>161</v>
      </c>
      <c r="N14" s="98">
        <v>6.1</v>
      </c>
      <c r="O14" s="106">
        <v>1.82</v>
      </c>
      <c r="P14" s="97">
        <v>117</v>
      </c>
      <c r="Q14" s="98">
        <v>17.600000000000001</v>
      </c>
      <c r="R14" s="90">
        <v>1.75</v>
      </c>
    </row>
    <row r="15" spans="1:18" x14ac:dyDescent="0.35">
      <c r="A15" s="102" t="s">
        <v>595</v>
      </c>
      <c r="B15" s="96" t="str">
        <f t="shared" si="0"/>
        <v>C180x68x7.0x10.5#</v>
      </c>
      <c r="C15" s="97">
        <v>180</v>
      </c>
      <c r="D15" s="97">
        <v>68</v>
      </c>
      <c r="E15" s="98">
        <v>7</v>
      </c>
      <c r="F15" s="98">
        <v>10.5</v>
      </c>
      <c r="G15" s="106">
        <v>10.5</v>
      </c>
      <c r="H15" s="99">
        <v>5.2</v>
      </c>
      <c r="I15" s="100">
        <v>25.699000000000002</v>
      </c>
      <c r="J15" s="98">
        <v>20.173999999999999</v>
      </c>
      <c r="K15" s="98">
        <v>1270</v>
      </c>
      <c r="L15" s="99">
        <v>98.6</v>
      </c>
      <c r="M15" s="97">
        <v>190</v>
      </c>
      <c r="N15" s="101">
        <v>7.04</v>
      </c>
      <c r="O15" s="98">
        <v>1.96</v>
      </c>
      <c r="P15" s="97">
        <v>141</v>
      </c>
      <c r="Q15" s="99">
        <v>20</v>
      </c>
      <c r="R15" s="108">
        <v>1.88</v>
      </c>
    </row>
    <row r="16" spans="1:18" x14ac:dyDescent="0.35">
      <c r="A16" s="102" t="s">
        <v>596</v>
      </c>
      <c r="B16" s="96" t="str">
        <f t="shared" si="0"/>
        <v>C180x70x9.0x10.5#</v>
      </c>
      <c r="C16" s="97">
        <v>180</v>
      </c>
      <c r="D16" s="97">
        <v>70</v>
      </c>
      <c r="E16" s="99">
        <v>9</v>
      </c>
      <c r="F16" s="98">
        <v>10.5</v>
      </c>
      <c r="G16" s="106">
        <v>10.5</v>
      </c>
      <c r="H16" s="99">
        <v>5.2</v>
      </c>
      <c r="I16" s="100">
        <v>29.298999999999999</v>
      </c>
      <c r="J16" s="100">
        <v>23</v>
      </c>
      <c r="K16" s="98">
        <v>1370</v>
      </c>
      <c r="L16" s="97">
        <v>111</v>
      </c>
      <c r="M16" s="97">
        <v>210</v>
      </c>
      <c r="N16" s="101">
        <v>6.84</v>
      </c>
      <c r="O16" s="98">
        <v>1.95</v>
      </c>
      <c r="P16" s="97">
        <v>152</v>
      </c>
      <c r="Q16" s="99">
        <v>21.5</v>
      </c>
      <c r="R16" s="108">
        <v>1.84</v>
      </c>
    </row>
    <row r="17" spans="1:18" x14ac:dyDescent="0.35">
      <c r="A17" s="102" t="s">
        <v>597</v>
      </c>
      <c r="B17" s="96" t="str">
        <f t="shared" si="0"/>
        <v>C200x73x7.0x11.0#</v>
      </c>
      <c r="C17" s="97">
        <v>200</v>
      </c>
      <c r="D17" s="97">
        <v>73</v>
      </c>
      <c r="E17" s="98">
        <v>7</v>
      </c>
      <c r="F17" s="98">
        <v>11</v>
      </c>
      <c r="G17" s="98">
        <v>11</v>
      </c>
      <c r="H17" s="98">
        <v>5.5</v>
      </c>
      <c r="I17" s="100">
        <v>28.837</v>
      </c>
      <c r="J17" s="98">
        <v>22.637</v>
      </c>
      <c r="K17" s="98">
        <v>1780</v>
      </c>
      <c r="L17" s="97">
        <v>128</v>
      </c>
      <c r="M17" s="97">
        <v>244</v>
      </c>
      <c r="N17" s="98">
        <v>7.86</v>
      </c>
      <c r="O17" s="98">
        <v>2.11</v>
      </c>
      <c r="P17" s="97">
        <v>178</v>
      </c>
      <c r="Q17" s="98">
        <v>24.2</v>
      </c>
      <c r="R17" s="90">
        <v>2.0099999999999998</v>
      </c>
    </row>
    <row r="18" spans="1:18" x14ac:dyDescent="0.35">
      <c r="A18" s="102" t="s">
        <v>598</v>
      </c>
      <c r="B18" s="96" t="str">
        <f t="shared" si="0"/>
        <v>C200x75x9.0x11.0#</v>
      </c>
      <c r="C18" s="97">
        <v>200</v>
      </c>
      <c r="D18" s="97">
        <v>75</v>
      </c>
      <c r="E18" s="98">
        <v>9</v>
      </c>
      <c r="F18" s="98">
        <v>11</v>
      </c>
      <c r="G18" s="98">
        <v>11</v>
      </c>
      <c r="H18" s="98">
        <v>5.5</v>
      </c>
      <c r="I18" s="98">
        <v>32.837000000000003</v>
      </c>
      <c r="J18" s="98">
        <v>25.777000000000001</v>
      </c>
      <c r="K18" s="98">
        <v>1910</v>
      </c>
      <c r="L18" s="97">
        <v>144</v>
      </c>
      <c r="M18" s="97">
        <v>268</v>
      </c>
      <c r="N18" s="101">
        <v>7.64</v>
      </c>
      <c r="O18" s="98">
        <v>2.09</v>
      </c>
      <c r="P18" s="97">
        <v>191</v>
      </c>
      <c r="Q18" s="99">
        <v>25.9</v>
      </c>
      <c r="R18" s="90">
        <v>1.95</v>
      </c>
    </row>
    <row r="19" spans="1:18" x14ac:dyDescent="0.35">
      <c r="A19" s="102" t="s">
        <v>599</v>
      </c>
      <c r="B19" s="96" t="str">
        <f t="shared" si="0"/>
        <v>C220x77x7.0x11.5#</v>
      </c>
      <c r="C19" s="97">
        <v>220</v>
      </c>
      <c r="D19" s="97">
        <v>77</v>
      </c>
      <c r="E19" s="98">
        <v>7</v>
      </c>
      <c r="F19" s="98">
        <v>11.5</v>
      </c>
      <c r="G19" s="98">
        <v>11.5</v>
      </c>
      <c r="H19" s="99">
        <v>5.8</v>
      </c>
      <c r="I19" s="98">
        <v>31.846</v>
      </c>
      <c r="J19" s="98">
        <v>24.998999999999999</v>
      </c>
      <c r="K19" s="98">
        <v>2390</v>
      </c>
      <c r="L19" s="103">
        <v>158</v>
      </c>
      <c r="M19" s="97">
        <v>298</v>
      </c>
      <c r="N19" s="101">
        <v>8.67</v>
      </c>
      <c r="O19" s="101">
        <v>2.23</v>
      </c>
      <c r="P19" s="97">
        <v>218</v>
      </c>
      <c r="Q19" s="98">
        <v>28.2</v>
      </c>
      <c r="R19" s="90">
        <v>2.1</v>
      </c>
    </row>
    <row r="20" spans="1:18" x14ac:dyDescent="0.35">
      <c r="A20" s="102" t="s">
        <v>600</v>
      </c>
      <c r="B20" s="96" t="str">
        <f t="shared" si="0"/>
        <v>C220x79x9.0x11.5#</v>
      </c>
      <c r="C20" s="97">
        <v>220</v>
      </c>
      <c r="D20" s="97">
        <v>79</v>
      </c>
      <c r="E20" s="99">
        <v>9</v>
      </c>
      <c r="F20" s="98">
        <v>11.5</v>
      </c>
      <c r="G20" s="98">
        <v>11.5</v>
      </c>
      <c r="H20" s="99">
        <v>5.8</v>
      </c>
      <c r="I20" s="98">
        <v>36.246000000000002</v>
      </c>
      <c r="J20" s="100">
        <v>28.452999999999999</v>
      </c>
      <c r="K20" s="98">
        <v>2570</v>
      </c>
      <c r="L20" s="97">
        <v>176</v>
      </c>
      <c r="M20" s="97">
        <v>326</v>
      </c>
      <c r="N20" s="101">
        <v>8.42</v>
      </c>
      <c r="O20" s="98">
        <v>2.21</v>
      </c>
      <c r="P20" s="97">
        <v>234</v>
      </c>
      <c r="Q20" s="99">
        <v>30.1</v>
      </c>
      <c r="R20" s="108">
        <v>2.0299999999999998</v>
      </c>
    </row>
    <row r="21" spans="1:18" x14ac:dyDescent="0.35">
      <c r="A21" s="102" t="s">
        <v>601</v>
      </c>
      <c r="B21" s="96" t="str">
        <f t="shared" si="0"/>
        <v>C240x78x7.0x12.0#</v>
      </c>
      <c r="C21" s="97">
        <v>240</v>
      </c>
      <c r="D21" s="97">
        <v>78</v>
      </c>
      <c r="E21" s="99">
        <v>7</v>
      </c>
      <c r="F21" s="99">
        <v>12</v>
      </c>
      <c r="G21" s="99">
        <v>12</v>
      </c>
      <c r="H21" s="99">
        <v>6</v>
      </c>
      <c r="I21" s="100">
        <v>34.216999999999999</v>
      </c>
      <c r="J21" s="98">
        <v>26.86</v>
      </c>
      <c r="K21" s="98">
        <v>3050</v>
      </c>
      <c r="L21" s="97">
        <v>174</v>
      </c>
      <c r="M21" s="97">
        <v>325</v>
      </c>
      <c r="N21" s="101">
        <v>9.4499999999999993</v>
      </c>
      <c r="O21" s="98">
        <v>2.25</v>
      </c>
      <c r="P21" s="97">
        <v>254</v>
      </c>
      <c r="Q21" s="99">
        <v>30.5</v>
      </c>
      <c r="R21" s="90">
        <v>2.1</v>
      </c>
    </row>
    <row r="22" spans="1:18" x14ac:dyDescent="0.35">
      <c r="A22" s="102" t="s">
        <v>602</v>
      </c>
      <c r="B22" s="96" t="str">
        <f t="shared" si="0"/>
        <v>C240x80x9.0x12.0#</v>
      </c>
      <c r="C22" s="97">
        <v>240</v>
      </c>
      <c r="D22" s="97">
        <v>80</v>
      </c>
      <c r="E22" s="99">
        <v>9</v>
      </c>
      <c r="F22" s="99">
        <v>12</v>
      </c>
      <c r="G22" s="99">
        <v>12</v>
      </c>
      <c r="H22" s="99">
        <v>6</v>
      </c>
      <c r="I22" s="100">
        <v>39.017000000000003</v>
      </c>
      <c r="J22" s="100">
        <v>30.628</v>
      </c>
      <c r="K22" s="98">
        <v>3280</v>
      </c>
      <c r="L22" s="97">
        <v>194</v>
      </c>
      <c r="M22" s="97">
        <v>355</v>
      </c>
      <c r="N22" s="98">
        <v>9.17</v>
      </c>
      <c r="O22" s="98">
        <v>2.23</v>
      </c>
      <c r="P22" s="97">
        <v>274</v>
      </c>
      <c r="Q22" s="99">
        <v>32.5</v>
      </c>
      <c r="R22" s="90">
        <v>2.0299999999999998</v>
      </c>
    </row>
    <row r="23" spans="1:18" x14ac:dyDescent="0.35">
      <c r="A23" s="102" t="s">
        <v>603</v>
      </c>
      <c r="B23" s="96" t="str">
        <f t="shared" si="0"/>
        <v>C240x82x11.0x12.0#</v>
      </c>
      <c r="C23" s="97">
        <v>240</v>
      </c>
      <c r="D23" s="97">
        <v>82</v>
      </c>
      <c r="E23" s="98">
        <v>11</v>
      </c>
      <c r="F23" s="99">
        <v>12</v>
      </c>
      <c r="G23" s="99">
        <v>12</v>
      </c>
      <c r="H23" s="99">
        <v>6</v>
      </c>
      <c r="I23" s="98">
        <v>43.817</v>
      </c>
      <c r="J23" s="100">
        <v>34.396000000000001</v>
      </c>
      <c r="K23" s="98">
        <v>3510</v>
      </c>
      <c r="L23" s="97">
        <v>213</v>
      </c>
      <c r="M23" s="97">
        <v>388</v>
      </c>
      <c r="N23" s="101">
        <v>8.9600000000000009</v>
      </c>
      <c r="O23" s="98">
        <v>2.21</v>
      </c>
      <c r="P23" s="97">
        <v>293</v>
      </c>
      <c r="Q23" s="99">
        <v>34.4</v>
      </c>
      <c r="R23" s="90">
        <v>2</v>
      </c>
    </row>
    <row r="24" spans="1:18" x14ac:dyDescent="0.35">
      <c r="A24" s="102" t="s">
        <v>604</v>
      </c>
      <c r="B24" s="96" t="str">
        <f t="shared" si="0"/>
        <v>C250x78x7.0x12.0#</v>
      </c>
      <c r="C24" s="97">
        <v>250</v>
      </c>
      <c r="D24" s="97">
        <v>78</v>
      </c>
      <c r="E24" s="98">
        <v>7</v>
      </c>
      <c r="F24" s="99">
        <v>12</v>
      </c>
      <c r="G24" s="99">
        <v>12</v>
      </c>
      <c r="H24" s="99">
        <v>6</v>
      </c>
      <c r="I24" s="98">
        <v>34.917000000000002</v>
      </c>
      <c r="J24" s="98">
        <v>27.41</v>
      </c>
      <c r="K24" s="98">
        <v>3370</v>
      </c>
      <c r="L24" s="97">
        <v>176</v>
      </c>
      <c r="M24" s="97">
        <v>322</v>
      </c>
      <c r="N24" s="98">
        <v>9.82</v>
      </c>
      <c r="O24" s="98">
        <v>2.2400000000000002</v>
      </c>
      <c r="P24" s="97">
        <v>270</v>
      </c>
      <c r="Q24" s="99">
        <v>30.6</v>
      </c>
      <c r="R24" s="90">
        <v>2.0699999999999998</v>
      </c>
    </row>
    <row r="25" spans="1:18" x14ac:dyDescent="0.35">
      <c r="A25" s="102" t="s">
        <v>605</v>
      </c>
      <c r="B25" s="96" t="str">
        <f t="shared" si="0"/>
        <v>C250x80x9.0x12.0#</v>
      </c>
      <c r="C25" s="97">
        <v>250</v>
      </c>
      <c r="D25" s="97">
        <v>80</v>
      </c>
      <c r="E25" s="99">
        <v>9</v>
      </c>
      <c r="F25" s="99">
        <v>12</v>
      </c>
      <c r="G25" s="99">
        <v>12</v>
      </c>
      <c r="H25" s="99">
        <v>6</v>
      </c>
      <c r="I25" s="100">
        <v>39.917000000000002</v>
      </c>
      <c r="J25" s="100">
        <v>31.335000000000001</v>
      </c>
      <c r="K25" s="98">
        <v>3530</v>
      </c>
      <c r="L25" s="97">
        <v>196</v>
      </c>
      <c r="M25" s="97">
        <v>353</v>
      </c>
      <c r="N25" s="101">
        <v>9.41</v>
      </c>
      <c r="O25" s="101">
        <v>2.2200000000000002</v>
      </c>
      <c r="P25" s="97">
        <v>282</v>
      </c>
      <c r="Q25" s="98">
        <v>32.700000000000003</v>
      </c>
      <c r="R25" s="90">
        <v>1.98</v>
      </c>
    </row>
    <row r="26" spans="1:18" x14ac:dyDescent="0.35">
      <c r="A26" s="102" t="s">
        <v>606</v>
      </c>
      <c r="B26" s="96" t="str">
        <f t="shared" si="0"/>
        <v>C250x82x11.0x12.0#</v>
      </c>
      <c r="C26" s="97">
        <v>250</v>
      </c>
      <c r="D26" s="97">
        <v>82</v>
      </c>
      <c r="E26" s="98">
        <v>11</v>
      </c>
      <c r="F26" s="99">
        <v>12</v>
      </c>
      <c r="G26" s="99">
        <v>12</v>
      </c>
      <c r="H26" s="99">
        <v>6</v>
      </c>
      <c r="I26" s="98">
        <v>44.917000000000002</v>
      </c>
      <c r="J26" s="98">
        <v>35.26</v>
      </c>
      <c r="K26" s="98">
        <v>3690</v>
      </c>
      <c r="L26" s="97">
        <v>218</v>
      </c>
      <c r="M26" s="97">
        <v>384</v>
      </c>
      <c r="N26" s="101">
        <v>9.07</v>
      </c>
      <c r="O26" s="101">
        <v>2.21</v>
      </c>
      <c r="P26" s="97">
        <v>295</v>
      </c>
      <c r="Q26" s="99">
        <v>35.9</v>
      </c>
      <c r="R26" s="90">
        <v>1.92</v>
      </c>
    </row>
    <row r="27" spans="1:18" x14ac:dyDescent="0.35">
      <c r="A27" s="102" t="s">
        <v>607</v>
      </c>
      <c r="B27" s="96" t="str">
        <f t="shared" si="0"/>
        <v>C270x82x7.5x12.5#</v>
      </c>
      <c r="C27" s="97">
        <v>270</v>
      </c>
      <c r="D27" s="97">
        <v>82</v>
      </c>
      <c r="E27" s="99">
        <v>7.5</v>
      </c>
      <c r="F27" s="98">
        <v>12.5</v>
      </c>
      <c r="G27" s="98">
        <v>12.5</v>
      </c>
      <c r="H27" s="98">
        <v>6.2</v>
      </c>
      <c r="I27" s="98">
        <v>39.283999999999999</v>
      </c>
      <c r="J27" s="98">
        <v>30.838000000000001</v>
      </c>
      <c r="K27" s="98">
        <v>4360</v>
      </c>
      <c r="L27" s="97">
        <v>216</v>
      </c>
      <c r="M27" s="97">
        <v>393</v>
      </c>
      <c r="N27" s="98">
        <v>10.5</v>
      </c>
      <c r="O27" s="101">
        <v>2.34</v>
      </c>
      <c r="P27" s="97">
        <v>323</v>
      </c>
      <c r="Q27" s="99">
        <v>35.5</v>
      </c>
      <c r="R27" s="90">
        <v>2.13</v>
      </c>
    </row>
    <row r="28" spans="1:18" x14ac:dyDescent="0.35">
      <c r="A28" s="102" t="s">
        <v>608</v>
      </c>
      <c r="B28" s="96" t="str">
        <f t="shared" si="0"/>
        <v>C270x84x9.5x12.5#</v>
      </c>
      <c r="C28" s="97">
        <v>270</v>
      </c>
      <c r="D28" s="97">
        <v>84</v>
      </c>
      <c r="E28" s="98">
        <v>9.5</v>
      </c>
      <c r="F28" s="98">
        <v>12.5</v>
      </c>
      <c r="G28" s="98">
        <v>12.5</v>
      </c>
      <c r="H28" s="98">
        <v>6.2</v>
      </c>
      <c r="I28" s="98">
        <v>44.683999999999997</v>
      </c>
      <c r="J28" s="100">
        <v>35.076999999999998</v>
      </c>
      <c r="K28" s="98">
        <v>4690</v>
      </c>
      <c r="L28" s="97">
        <v>239</v>
      </c>
      <c r="M28" s="97">
        <v>428</v>
      </c>
      <c r="N28" s="98">
        <v>10.3</v>
      </c>
      <c r="O28" s="98">
        <v>2.31</v>
      </c>
      <c r="P28" s="97">
        <v>347</v>
      </c>
      <c r="Q28" s="98">
        <v>37.700000000000003</v>
      </c>
      <c r="R28" s="90">
        <v>2.06</v>
      </c>
    </row>
    <row r="29" spans="1:18" x14ac:dyDescent="0.35">
      <c r="A29" s="102" t="s">
        <v>609</v>
      </c>
      <c r="B29" s="96" t="str">
        <f t="shared" si="0"/>
        <v>C270x86x11.5x12.5#</v>
      </c>
      <c r="C29" s="97">
        <v>270</v>
      </c>
      <c r="D29" s="97">
        <v>86</v>
      </c>
      <c r="E29" s="106">
        <v>11.5</v>
      </c>
      <c r="F29" s="98">
        <v>12.5</v>
      </c>
      <c r="G29" s="98">
        <v>12.5</v>
      </c>
      <c r="H29" s="98">
        <v>6.2</v>
      </c>
      <c r="I29" s="98">
        <v>50.084000000000003</v>
      </c>
      <c r="J29" s="98">
        <v>39.316000000000003</v>
      </c>
      <c r="K29" s="98">
        <v>5020</v>
      </c>
      <c r="L29" s="97">
        <v>261</v>
      </c>
      <c r="M29" s="97">
        <v>467</v>
      </c>
      <c r="N29" s="98">
        <v>10.1</v>
      </c>
      <c r="O29" s="98">
        <v>2.2799999999999998</v>
      </c>
      <c r="P29" s="97">
        <v>372</v>
      </c>
      <c r="Q29" s="98">
        <v>39.799999999999997</v>
      </c>
      <c r="R29" s="90">
        <v>2.0299999999999998</v>
      </c>
    </row>
    <row r="30" spans="1:18" x14ac:dyDescent="0.35">
      <c r="A30" s="102" t="s">
        <v>610</v>
      </c>
      <c r="B30" s="96" t="str">
        <f t="shared" si="0"/>
        <v>C280x82x7.5x12.5#</v>
      </c>
      <c r="C30" s="97">
        <v>280</v>
      </c>
      <c r="D30" s="97">
        <v>82</v>
      </c>
      <c r="E30" s="98">
        <v>7.5</v>
      </c>
      <c r="F30" s="98">
        <v>12.5</v>
      </c>
      <c r="G30" s="98">
        <v>12.5</v>
      </c>
      <c r="H30" s="98">
        <v>6.2</v>
      </c>
      <c r="I30" s="100">
        <v>40.033999999999999</v>
      </c>
      <c r="J30" s="98">
        <v>31.427</v>
      </c>
      <c r="K30" s="98">
        <v>4760</v>
      </c>
      <c r="L30" s="97">
        <v>218</v>
      </c>
      <c r="M30" s="97">
        <v>388</v>
      </c>
      <c r="N30" s="98">
        <v>10.9</v>
      </c>
      <c r="O30" s="98">
        <v>2.33</v>
      </c>
      <c r="P30" s="97">
        <v>340</v>
      </c>
      <c r="Q30" s="98">
        <v>35.700000000000003</v>
      </c>
      <c r="R30" s="90">
        <v>2.1</v>
      </c>
    </row>
    <row r="31" spans="1:18" x14ac:dyDescent="0.35">
      <c r="A31" s="102" t="s">
        <v>611</v>
      </c>
      <c r="B31" s="96" t="str">
        <f t="shared" si="0"/>
        <v>C280x84x9.5x12.5#</v>
      </c>
      <c r="C31" s="97">
        <v>280</v>
      </c>
      <c r="D31" s="97">
        <v>84</v>
      </c>
      <c r="E31" s="98">
        <v>9.5</v>
      </c>
      <c r="F31" s="98">
        <v>12.5</v>
      </c>
      <c r="G31" s="98">
        <v>12.5</v>
      </c>
      <c r="H31" s="98">
        <v>6.2</v>
      </c>
      <c r="I31" s="98">
        <v>45.634</v>
      </c>
      <c r="J31" s="100">
        <v>35.823</v>
      </c>
      <c r="K31" s="98">
        <v>5130</v>
      </c>
      <c r="L31" s="97">
        <v>242</v>
      </c>
      <c r="M31" s="97">
        <v>428</v>
      </c>
      <c r="N31" s="98">
        <v>10.6</v>
      </c>
      <c r="O31" s="98">
        <v>2.2999999999999998</v>
      </c>
      <c r="P31" s="97">
        <v>366</v>
      </c>
      <c r="Q31" s="98">
        <v>37.9</v>
      </c>
      <c r="R31" s="90">
        <v>2.02</v>
      </c>
    </row>
    <row r="32" spans="1:18" x14ac:dyDescent="0.35">
      <c r="A32" s="102" t="s">
        <v>612</v>
      </c>
      <c r="B32" s="96" t="str">
        <f t="shared" si="0"/>
        <v>C280x86x11.5x12.5#</v>
      </c>
      <c r="C32" s="97">
        <v>280</v>
      </c>
      <c r="D32" s="97">
        <v>86</v>
      </c>
      <c r="E32" s="98">
        <v>11.5</v>
      </c>
      <c r="F32" s="98">
        <v>12.5</v>
      </c>
      <c r="G32" s="98">
        <v>12.5</v>
      </c>
      <c r="H32" s="98">
        <v>6.2</v>
      </c>
      <c r="I32" s="98">
        <v>51.234000000000002</v>
      </c>
      <c r="J32" s="98">
        <v>40.219000000000001</v>
      </c>
      <c r="K32" s="98">
        <v>5500</v>
      </c>
      <c r="L32" s="97">
        <v>268</v>
      </c>
      <c r="M32" s="97">
        <v>463</v>
      </c>
      <c r="N32" s="98">
        <v>10.4</v>
      </c>
      <c r="O32" s="98">
        <v>2.29</v>
      </c>
      <c r="P32" s="97">
        <v>393</v>
      </c>
      <c r="Q32" s="98">
        <v>40.299999999999997</v>
      </c>
      <c r="R32" s="90">
        <v>1.95</v>
      </c>
    </row>
    <row r="33" spans="1:18" x14ac:dyDescent="0.35">
      <c r="A33" s="102" t="s">
        <v>613</v>
      </c>
      <c r="B33" s="96" t="str">
        <f t="shared" si="0"/>
        <v>C300x85x7.5x13.5#</v>
      </c>
      <c r="C33" s="97">
        <v>300</v>
      </c>
      <c r="D33" s="97">
        <v>85</v>
      </c>
      <c r="E33" s="99">
        <v>7.5</v>
      </c>
      <c r="F33" s="99">
        <v>13.5</v>
      </c>
      <c r="G33" s="99">
        <v>13.5</v>
      </c>
      <c r="H33" s="98">
        <v>6.8</v>
      </c>
      <c r="I33" s="100">
        <v>43.902000000000001</v>
      </c>
      <c r="J33" s="98">
        <v>34.463000000000001</v>
      </c>
      <c r="K33" s="98">
        <v>6050</v>
      </c>
      <c r="L33" s="97">
        <v>260</v>
      </c>
      <c r="M33" s="97">
        <v>467</v>
      </c>
      <c r="N33" s="98">
        <v>11.7</v>
      </c>
      <c r="O33" s="98">
        <v>2.4300000000000002</v>
      </c>
      <c r="P33" s="97">
        <v>403</v>
      </c>
      <c r="Q33" s="99">
        <v>41.1</v>
      </c>
      <c r="R33" s="90">
        <v>2.17</v>
      </c>
    </row>
    <row r="34" spans="1:18" x14ac:dyDescent="0.35">
      <c r="A34" s="102" t="s">
        <v>614</v>
      </c>
      <c r="B34" s="96" t="str">
        <f t="shared" si="0"/>
        <v>C300x87x9.5x13.5#</v>
      </c>
      <c r="C34" s="97">
        <v>300</v>
      </c>
      <c r="D34" s="97">
        <v>87</v>
      </c>
      <c r="E34" s="99">
        <v>9.5</v>
      </c>
      <c r="F34" s="99">
        <v>13.5</v>
      </c>
      <c r="G34" s="99">
        <v>13.5</v>
      </c>
      <c r="H34" s="98">
        <v>6.8</v>
      </c>
      <c r="I34" s="98">
        <v>49.902000000000001</v>
      </c>
      <c r="J34" s="98">
        <v>39.173000000000002</v>
      </c>
      <c r="K34" s="98">
        <v>6500</v>
      </c>
      <c r="L34" s="97">
        <v>289</v>
      </c>
      <c r="M34" s="97">
        <v>515</v>
      </c>
      <c r="N34" s="98">
        <v>11.4</v>
      </c>
      <c r="O34" s="101">
        <v>2.41</v>
      </c>
      <c r="P34" s="97">
        <v>433</v>
      </c>
      <c r="Q34" s="99">
        <v>44</v>
      </c>
      <c r="R34" s="90">
        <v>2.13</v>
      </c>
    </row>
    <row r="35" spans="1:18" x14ac:dyDescent="0.35">
      <c r="A35" s="102" t="s">
        <v>615</v>
      </c>
      <c r="B35" s="96" t="str">
        <f t="shared" si="0"/>
        <v>C300x89x11.5x13.5#</v>
      </c>
      <c r="C35" s="97">
        <v>300</v>
      </c>
      <c r="D35" s="97">
        <v>89</v>
      </c>
      <c r="E35" s="98">
        <v>11.5</v>
      </c>
      <c r="F35" s="99">
        <v>13.5</v>
      </c>
      <c r="G35" s="99">
        <v>13.5</v>
      </c>
      <c r="H35" s="98">
        <v>6.8</v>
      </c>
      <c r="I35" s="98">
        <v>55.902000000000001</v>
      </c>
      <c r="J35" s="98">
        <v>43.883000000000003</v>
      </c>
      <c r="K35" s="98">
        <v>6950</v>
      </c>
      <c r="L35" s="97">
        <v>316</v>
      </c>
      <c r="M35" s="97">
        <v>560</v>
      </c>
      <c r="N35" s="98">
        <v>11.2</v>
      </c>
      <c r="O35" s="98">
        <v>2.38</v>
      </c>
      <c r="P35" s="97">
        <v>463</v>
      </c>
      <c r="Q35" s="106">
        <v>46.4</v>
      </c>
      <c r="R35" s="108">
        <v>2.09</v>
      </c>
    </row>
    <row r="36" spans="1:18" x14ac:dyDescent="0.35">
      <c r="A36" s="102" t="s">
        <v>616</v>
      </c>
      <c r="B36" s="96" t="str">
        <f t="shared" si="0"/>
        <v>C320x88x8.0x14.0#</v>
      </c>
      <c r="C36" s="97">
        <v>320</v>
      </c>
      <c r="D36" s="97">
        <v>88</v>
      </c>
      <c r="E36" s="98">
        <v>8</v>
      </c>
      <c r="F36" s="98">
        <v>14</v>
      </c>
      <c r="G36" s="98">
        <v>14</v>
      </c>
      <c r="H36" s="98">
        <v>7</v>
      </c>
      <c r="I36" s="98">
        <v>48.512999999999998</v>
      </c>
      <c r="J36" s="100">
        <v>38.082999999999998</v>
      </c>
      <c r="K36" s="98">
        <v>7600</v>
      </c>
      <c r="L36" s="97">
        <v>305</v>
      </c>
      <c r="M36" s="97">
        <v>552</v>
      </c>
      <c r="N36" s="98">
        <v>12.5</v>
      </c>
      <c r="O36" s="101">
        <v>2.5</v>
      </c>
      <c r="P36" s="97">
        <v>475</v>
      </c>
      <c r="Q36" s="98">
        <v>46.5</v>
      </c>
      <c r="R36" s="90">
        <v>2.2400000000000002</v>
      </c>
    </row>
    <row r="37" spans="1:18" x14ac:dyDescent="0.35">
      <c r="A37" s="102" t="s">
        <v>617</v>
      </c>
      <c r="B37" s="96" t="str">
        <f t="shared" si="0"/>
        <v>C320x90x10.0x14.0#</v>
      </c>
      <c r="C37" s="97">
        <v>320</v>
      </c>
      <c r="D37" s="97">
        <v>90</v>
      </c>
      <c r="E37" s="98">
        <v>10</v>
      </c>
      <c r="F37" s="98">
        <v>14</v>
      </c>
      <c r="G37" s="98">
        <v>14</v>
      </c>
      <c r="H37" s="98">
        <v>7</v>
      </c>
      <c r="I37" s="98">
        <v>54.912999999999997</v>
      </c>
      <c r="J37" s="98">
        <v>43.106999999999999</v>
      </c>
      <c r="K37" s="97">
        <v>8140</v>
      </c>
      <c r="L37" s="97">
        <v>336</v>
      </c>
      <c r="M37" s="97">
        <v>593</v>
      </c>
      <c r="N37" s="98">
        <v>12.2</v>
      </c>
      <c r="O37" s="98">
        <v>2.4700000000000002</v>
      </c>
      <c r="P37" s="97">
        <v>509</v>
      </c>
      <c r="Q37" s="98">
        <v>49.2</v>
      </c>
      <c r="R37" s="90">
        <v>2.16</v>
      </c>
    </row>
    <row r="38" spans="1:18" x14ac:dyDescent="0.35">
      <c r="A38" s="102" t="s">
        <v>618</v>
      </c>
      <c r="B38" s="96" t="str">
        <f t="shared" si="0"/>
        <v>C320x92x12.0x14.0#</v>
      </c>
      <c r="C38" s="97">
        <v>320</v>
      </c>
      <c r="D38" s="97">
        <v>92</v>
      </c>
      <c r="E38" s="98">
        <v>12</v>
      </c>
      <c r="F38" s="98">
        <v>14</v>
      </c>
      <c r="G38" s="98">
        <v>14</v>
      </c>
      <c r="H38" s="98">
        <v>7</v>
      </c>
      <c r="I38" s="98">
        <v>61.313000000000002</v>
      </c>
      <c r="J38" s="98">
        <v>48.131</v>
      </c>
      <c r="K38" s="98">
        <v>8690</v>
      </c>
      <c r="L38" s="97">
        <v>374</v>
      </c>
      <c r="M38" s="97">
        <v>643</v>
      </c>
      <c r="N38" s="98">
        <v>11.9</v>
      </c>
      <c r="O38" s="98">
        <v>2.4700000000000002</v>
      </c>
      <c r="P38" s="97">
        <v>543</v>
      </c>
      <c r="Q38" s="98">
        <v>52.6</v>
      </c>
      <c r="R38" s="108">
        <v>2.09</v>
      </c>
    </row>
    <row r="39" spans="1:18" x14ac:dyDescent="0.35">
      <c r="A39" s="102" t="s">
        <v>619</v>
      </c>
      <c r="B39" s="96" t="str">
        <f t="shared" si="0"/>
        <v>C360x96x9.0x16.0#</v>
      </c>
      <c r="C39" s="97">
        <v>360</v>
      </c>
      <c r="D39" s="97">
        <v>96</v>
      </c>
      <c r="E39" s="98">
        <v>9</v>
      </c>
      <c r="F39" s="98">
        <v>16</v>
      </c>
      <c r="G39" s="99">
        <v>16</v>
      </c>
      <c r="H39" s="99">
        <v>8</v>
      </c>
      <c r="I39" s="100">
        <v>60.91</v>
      </c>
      <c r="J39" s="98">
        <v>47.814</v>
      </c>
      <c r="K39" s="98">
        <v>11900</v>
      </c>
      <c r="L39" s="98">
        <v>455</v>
      </c>
      <c r="M39" s="97">
        <v>818</v>
      </c>
      <c r="N39" s="98">
        <v>14</v>
      </c>
      <c r="O39" s="98">
        <v>2.73</v>
      </c>
      <c r="P39" s="97">
        <v>660</v>
      </c>
      <c r="Q39" s="98">
        <v>63.5</v>
      </c>
      <c r="R39" s="108">
        <v>2.44</v>
      </c>
    </row>
    <row r="40" spans="1:18" x14ac:dyDescent="0.35">
      <c r="A40" s="102" t="s">
        <v>620</v>
      </c>
      <c r="B40" s="96" t="str">
        <f t="shared" si="0"/>
        <v>C360x98x11.0x16.0#</v>
      </c>
      <c r="C40" s="97">
        <v>360</v>
      </c>
      <c r="D40" s="97">
        <v>98</v>
      </c>
      <c r="E40" s="98">
        <v>11</v>
      </c>
      <c r="F40" s="98">
        <v>16</v>
      </c>
      <c r="G40" s="99">
        <v>16</v>
      </c>
      <c r="H40" s="99">
        <v>8</v>
      </c>
      <c r="I40" s="100">
        <v>68.11</v>
      </c>
      <c r="J40" s="98">
        <v>53.466000000000001</v>
      </c>
      <c r="K40" s="98">
        <v>12700</v>
      </c>
      <c r="L40" s="97">
        <v>497</v>
      </c>
      <c r="M40" s="97">
        <v>880</v>
      </c>
      <c r="N40" s="98">
        <v>13.6</v>
      </c>
      <c r="O40" s="98">
        <v>2.7</v>
      </c>
      <c r="P40" s="97">
        <v>703</v>
      </c>
      <c r="Q40" s="98">
        <v>66.900000000000006</v>
      </c>
      <c r="R40" s="90">
        <v>2.37</v>
      </c>
    </row>
    <row r="41" spans="1:18" x14ac:dyDescent="0.35">
      <c r="A41" s="102" t="s">
        <v>621</v>
      </c>
      <c r="B41" s="96" t="str">
        <f t="shared" si="0"/>
        <v>C360x100x13.0x16.0#</v>
      </c>
      <c r="C41" s="97">
        <v>360</v>
      </c>
      <c r="D41" s="97">
        <v>100</v>
      </c>
      <c r="E41" s="99">
        <v>13</v>
      </c>
      <c r="F41" s="98">
        <v>16</v>
      </c>
      <c r="G41" s="99">
        <v>16</v>
      </c>
      <c r="H41" s="99">
        <v>8</v>
      </c>
      <c r="I41" s="100">
        <v>75.31</v>
      </c>
      <c r="J41" s="98">
        <v>59.118000000000002</v>
      </c>
      <c r="K41" s="98">
        <v>13400</v>
      </c>
      <c r="L41" s="97">
        <v>536</v>
      </c>
      <c r="M41" s="97">
        <v>948</v>
      </c>
      <c r="N41" s="98">
        <v>13.4</v>
      </c>
      <c r="O41" s="101">
        <v>2.67</v>
      </c>
      <c r="P41" s="97">
        <v>746</v>
      </c>
      <c r="Q41" s="99">
        <v>70</v>
      </c>
      <c r="R41" s="90">
        <v>2.34</v>
      </c>
    </row>
    <row r="42" spans="1:18" x14ac:dyDescent="0.35">
      <c r="A42" s="102" t="s">
        <v>622</v>
      </c>
      <c r="B42" s="96" t="str">
        <f t="shared" si="0"/>
        <v>C400x100x10.5x18.0#</v>
      </c>
      <c r="C42" s="97">
        <v>400</v>
      </c>
      <c r="D42" s="103">
        <v>100</v>
      </c>
      <c r="E42" s="106">
        <v>10.5</v>
      </c>
      <c r="F42" s="99">
        <v>18</v>
      </c>
      <c r="G42" s="99">
        <v>18</v>
      </c>
      <c r="H42" s="99">
        <v>9</v>
      </c>
      <c r="I42" s="100">
        <v>75.067999999999998</v>
      </c>
      <c r="J42" s="98">
        <v>58.927999999999997</v>
      </c>
      <c r="K42" s="98">
        <v>17600</v>
      </c>
      <c r="L42" s="97">
        <v>592</v>
      </c>
      <c r="M42" s="97">
        <v>1070</v>
      </c>
      <c r="N42" s="98">
        <v>15.3</v>
      </c>
      <c r="O42" s="98">
        <v>2.81</v>
      </c>
      <c r="P42" s="97">
        <v>879</v>
      </c>
      <c r="Q42" s="99">
        <v>78.8</v>
      </c>
      <c r="R42" s="108">
        <v>2.4900000000000002</v>
      </c>
    </row>
    <row r="43" spans="1:18" x14ac:dyDescent="0.35">
      <c r="A43" s="102" t="s">
        <v>623</v>
      </c>
      <c r="B43" s="96" t="str">
        <f t="shared" si="0"/>
        <v>C400x102x12.5x18.0#</v>
      </c>
      <c r="C43" s="97">
        <v>400</v>
      </c>
      <c r="D43" s="97">
        <v>102</v>
      </c>
      <c r="E43" s="98">
        <v>12.5</v>
      </c>
      <c r="F43" s="99">
        <v>18</v>
      </c>
      <c r="G43" s="99">
        <v>18</v>
      </c>
      <c r="H43" s="99">
        <v>9</v>
      </c>
      <c r="I43" s="98">
        <v>83.067999999999998</v>
      </c>
      <c r="J43" s="100">
        <v>65.207999999999998</v>
      </c>
      <c r="K43" s="97">
        <v>18600</v>
      </c>
      <c r="L43" s="97">
        <v>640</v>
      </c>
      <c r="M43" s="97">
        <v>114</v>
      </c>
      <c r="N43" s="106">
        <v>15</v>
      </c>
      <c r="O43" s="98">
        <v>2.78</v>
      </c>
      <c r="P43" s="97">
        <v>932</v>
      </c>
      <c r="Q43" s="99">
        <v>82.5</v>
      </c>
      <c r="R43" s="108">
        <v>2.44</v>
      </c>
    </row>
    <row r="44" spans="1:18" x14ac:dyDescent="0.35">
      <c r="A44" s="102" t="s">
        <v>624</v>
      </c>
      <c r="B44" s="96" t="str">
        <f t="shared" si="0"/>
        <v>C400x104x14.5x18.0#</v>
      </c>
      <c r="C44" s="97">
        <v>400</v>
      </c>
      <c r="D44" s="97">
        <v>104</v>
      </c>
      <c r="E44" s="98">
        <v>14.5</v>
      </c>
      <c r="F44" s="99">
        <v>18</v>
      </c>
      <c r="G44" s="99">
        <v>18</v>
      </c>
      <c r="H44" s="99">
        <v>9</v>
      </c>
      <c r="I44" s="98">
        <v>91.067999999999998</v>
      </c>
      <c r="J44" s="98">
        <v>71.488</v>
      </c>
      <c r="K44" s="106">
        <v>19700</v>
      </c>
      <c r="L44" s="97">
        <v>688</v>
      </c>
      <c r="M44" s="97">
        <v>1220</v>
      </c>
      <c r="N44" s="106">
        <v>14.7</v>
      </c>
      <c r="O44" s="98">
        <v>2.75</v>
      </c>
      <c r="P44" s="97">
        <v>986</v>
      </c>
      <c r="Q44" s="98">
        <v>86.2</v>
      </c>
      <c r="R44" s="108">
        <v>2.42</v>
      </c>
    </row>
  </sheetData>
  <mergeCells count="9">
    <mergeCell ref="A1:R1"/>
    <mergeCell ref="A2:A3"/>
    <mergeCell ref="B2:B3"/>
    <mergeCell ref="C2:H2"/>
    <mergeCell ref="I2:I3"/>
    <mergeCell ref="J2:J3"/>
    <mergeCell ref="K2:L2"/>
    <mergeCell ref="M2:O2"/>
    <mergeCell ref="P2:Q2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989FD-5A4A-4DD9-9B7C-60C1BFC763A7}">
  <sheetPr codeName="Sheet8"/>
  <dimension ref="A1:R117"/>
  <sheetViews>
    <sheetView workbookViewId="0">
      <selection activeCell="P87" sqref="P87"/>
    </sheetView>
  </sheetViews>
  <sheetFormatPr defaultRowHeight="14" x14ac:dyDescent="0.3"/>
  <cols>
    <col min="1" max="1" width="4.83203125" bestFit="1" customWidth="1"/>
    <col min="2" max="2" width="13.6640625" bestFit="1" customWidth="1"/>
    <col min="3" max="3" width="3.9140625" bestFit="1" customWidth="1"/>
    <col min="4" max="4" width="3" bestFit="1" customWidth="1"/>
    <col min="5" max="5" width="3.9140625" bestFit="1" customWidth="1"/>
    <col min="6" max="6" width="5.33203125" bestFit="1" customWidth="1"/>
    <col min="7" max="9" width="8.5" bestFit="1" customWidth="1"/>
    <col min="10" max="10" width="6.75" bestFit="1" customWidth="1"/>
    <col min="11" max="11" width="13.6640625" bestFit="1" customWidth="1"/>
    <col min="12" max="13" width="3.9140625" bestFit="1" customWidth="1"/>
    <col min="14" max="14" width="3" bestFit="1" customWidth="1"/>
    <col min="15" max="15" width="3.5" bestFit="1" customWidth="1"/>
    <col min="16" max="18" width="8.5" bestFit="1" customWidth="1"/>
  </cols>
  <sheetData>
    <row r="1" spans="1:18" ht="23" x14ac:dyDescent="0.3">
      <c r="A1" s="109" t="s">
        <v>644</v>
      </c>
      <c r="B1" s="110"/>
      <c r="C1" s="110"/>
      <c r="D1" s="110"/>
      <c r="E1" s="110"/>
      <c r="F1" s="110"/>
      <c r="G1" s="110"/>
      <c r="H1" s="110"/>
      <c r="I1" s="111"/>
      <c r="J1" s="109" t="s">
        <v>667</v>
      </c>
      <c r="K1" s="110"/>
      <c r="L1" s="110"/>
      <c r="M1" s="110"/>
      <c r="N1" s="110"/>
      <c r="O1" s="110"/>
      <c r="P1" s="110"/>
      <c r="Q1" s="110"/>
      <c r="R1" s="111"/>
    </row>
    <row r="2" spans="1:18" x14ac:dyDescent="0.3">
      <c r="A2" s="112" t="s">
        <v>645</v>
      </c>
      <c r="B2" s="113" t="s">
        <v>578</v>
      </c>
      <c r="C2" s="114" t="s">
        <v>646</v>
      </c>
      <c r="D2" s="114"/>
      <c r="E2" s="114"/>
      <c r="F2" s="114"/>
      <c r="G2" s="115" t="s">
        <v>647</v>
      </c>
      <c r="H2" s="115" t="s">
        <v>648</v>
      </c>
      <c r="I2" s="116" t="s">
        <v>649</v>
      </c>
      <c r="J2" s="112" t="s">
        <v>668</v>
      </c>
      <c r="K2" s="113" t="s">
        <v>578</v>
      </c>
      <c r="L2" s="114" t="s">
        <v>669</v>
      </c>
      <c r="M2" s="114"/>
      <c r="N2" s="114"/>
      <c r="O2" s="114"/>
      <c r="P2" s="115" t="s">
        <v>670</v>
      </c>
      <c r="Q2" s="115" t="s">
        <v>671</v>
      </c>
      <c r="R2" s="116" t="s">
        <v>672</v>
      </c>
    </row>
    <row r="3" spans="1:18" ht="17" x14ac:dyDescent="0.3">
      <c r="A3" s="112"/>
      <c r="B3" s="113"/>
      <c r="C3" s="117" t="s">
        <v>650</v>
      </c>
      <c r="D3" s="117" t="s">
        <v>651</v>
      </c>
      <c r="E3" s="117" t="s">
        <v>583</v>
      </c>
      <c r="F3" s="117" t="s">
        <v>652</v>
      </c>
      <c r="G3" s="115" t="s">
        <v>653</v>
      </c>
      <c r="H3" s="115" t="s">
        <v>654</v>
      </c>
      <c r="I3" s="116" t="s">
        <v>655</v>
      </c>
      <c r="J3" s="112"/>
      <c r="K3" s="113"/>
      <c r="L3" s="115" t="s">
        <v>92</v>
      </c>
      <c r="M3" s="115" t="s">
        <v>650</v>
      </c>
      <c r="N3" s="115" t="s">
        <v>651</v>
      </c>
      <c r="O3" s="115" t="s">
        <v>583</v>
      </c>
      <c r="P3" s="115" t="s">
        <v>653</v>
      </c>
      <c r="Q3" s="115" t="s">
        <v>654</v>
      </c>
      <c r="R3" s="116" t="s">
        <v>655</v>
      </c>
    </row>
    <row r="4" spans="1:18" x14ac:dyDescent="0.3">
      <c r="A4" s="118">
        <v>2</v>
      </c>
      <c r="B4" s="119" t="str">
        <f xml:space="preserve"> "L" &amp; C4 &amp; "x" &amp; C4 &amp; "x" &amp; TEXT(D4, "0.0")</f>
        <v>L20x20x3.0</v>
      </c>
      <c r="C4" s="115">
        <f xml:space="preserve"> A4 * 10</f>
        <v>20</v>
      </c>
      <c r="D4" s="115">
        <v>3</v>
      </c>
      <c r="E4" s="115">
        <v>3.5</v>
      </c>
      <c r="F4" s="120">
        <f xml:space="preserve"> 1 / 3 / D4</f>
        <v>0.1111111111111111</v>
      </c>
      <c r="G4" s="121">
        <v>1.1319999999999999</v>
      </c>
      <c r="H4" s="122">
        <v>0.88900000000000001</v>
      </c>
      <c r="I4" s="123">
        <v>7.8E-2</v>
      </c>
      <c r="J4" s="131" t="s">
        <v>673</v>
      </c>
      <c r="K4" s="119" t="str">
        <f xml:space="preserve"> "L" &amp; L4 &amp; "x" &amp; M4 &amp; "x" &amp; TEXT(N4, "0.0")</f>
        <v>L25x16x3.0</v>
      </c>
      <c r="L4" s="77">
        <v>25</v>
      </c>
      <c r="M4" s="77">
        <v>16</v>
      </c>
      <c r="N4" s="132">
        <v>3</v>
      </c>
      <c r="O4" s="78">
        <v>3.5</v>
      </c>
      <c r="P4" s="132">
        <v>1.1619999999999999</v>
      </c>
      <c r="Q4" s="79">
        <v>0.91200000000000003</v>
      </c>
      <c r="R4" s="133">
        <v>0.08</v>
      </c>
    </row>
    <row r="5" spans="1:18" x14ac:dyDescent="0.3">
      <c r="A5" s="118">
        <v>2</v>
      </c>
      <c r="B5" s="119" t="str">
        <f t="shared" ref="B5:B68" si="0" xml:space="preserve"> "L" &amp; C5 &amp; "x" &amp; C5 &amp; "x" &amp; TEXT(D5, "0.0")</f>
        <v>L20x20x4.0</v>
      </c>
      <c r="C5" s="115">
        <f t="shared" ref="C5:C38" si="1" xml:space="preserve"> A5 * 10</f>
        <v>20</v>
      </c>
      <c r="D5" s="115">
        <v>4</v>
      </c>
      <c r="E5" s="115">
        <v>3.5</v>
      </c>
      <c r="F5" s="120">
        <f t="shared" ref="F5:F68" si="2" xml:space="preserve"> 1 / 3 / D5</f>
        <v>8.3333333333333329E-2</v>
      </c>
      <c r="G5" s="122">
        <v>1.4590000000000001</v>
      </c>
      <c r="H5" s="121">
        <v>1.145</v>
      </c>
      <c r="I5" s="124">
        <v>7.6999999999999999E-2</v>
      </c>
      <c r="J5" s="131" t="s">
        <v>673</v>
      </c>
      <c r="K5" s="119" t="str">
        <f t="shared" ref="K5:K68" si="3" xml:space="preserve"> "L" &amp; L5 &amp; "x" &amp; M5 &amp; "x" &amp; TEXT(N5, "0.0")</f>
        <v>L25x16x4.0</v>
      </c>
      <c r="L5" s="77">
        <v>25</v>
      </c>
      <c r="M5" s="77">
        <v>16</v>
      </c>
      <c r="N5" s="132">
        <v>4</v>
      </c>
      <c r="O5" s="78">
        <v>3.5</v>
      </c>
      <c r="P5" s="132">
        <v>1.4990000000000001</v>
      </c>
      <c r="Q5" s="132">
        <v>1.1759999999999999</v>
      </c>
      <c r="R5" s="133">
        <v>7.9000000000000001E-2</v>
      </c>
    </row>
    <row r="6" spans="1:18" x14ac:dyDescent="0.3">
      <c r="A6" s="118">
        <v>2.5</v>
      </c>
      <c r="B6" s="119" t="str">
        <f t="shared" si="0"/>
        <v>L25x25x3.0</v>
      </c>
      <c r="C6" s="115">
        <f t="shared" si="1"/>
        <v>25</v>
      </c>
      <c r="D6" s="115">
        <v>3</v>
      </c>
      <c r="E6" s="115">
        <v>3.5</v>
      </c>
      <c r="F6" s="120">
        <f t="shared" si="2"/>
        <v>0.1111111111111111</v>
      </c>
      <c r="G6" s="121">
        <v>1.4319999999999999</v>
      </c>
      <c r="H6" s="121">
        <v>1.1240000000000001</v>
      </c>
      <c r="I6" s="123">
        <v>9.8000000000000004E-2</v>
      </c>
      <c r="J6" s="131" t="s">
        <v>674</v>
      </c>
      <c r="K6" s="119" t="str">
        <f t="shared" si="3"/>
        <v>L32x20x3.0</v>
      </c>
      <c r="L6" s="77">
        <v>32</v>
      </c>
      <c r="M6" s="77">
        <v>20</v>
      </c>
      <c r="N6" s="132">
        <v>3</v>
      </c>
      <c r="O6" s="78">
        <v>3.5</v>
      </c>
      <c r="P6" s="132">
        <v>1.492</v>
      </c>
      <c r="Q6" s="132">
        <v>1.171</v>
      </c>
      <c r="R6" s="134">
        <v>0.10199999999999999</v>
      </c>
    </row>
    <row r="7" spans="1:18" x14ac:dyDescent="0.3">
      <c r="A7" s="118">
        <v>2.5</v>
      </c>
      <c r="B7" s="119" t="str">
        <f t="shared" si="0"/>
        <v>L25x25x4.0</v>
      </c>
      <c r="C7" s="115">
        <f t="shared" si="1"/>
        <v>25</v>
      </c>
      <c r="D7" s="115">
        <v>4</v>
      </c>
      <c r="E7" s="115">
        <v>3.5</v>
      </c>
      <c r="F7" s="120">
        <f t="shared" si="2"/>
        <v>8.3333333333333329E-2</v>
      </c>
      <c r="G7" s="121">
        <v>1.859</v>
      </c>
      <c r="H7" s="121">
        <v>1.4590000000000001</v>
      </c>
      <c r="I7" s="123">
        <v>9.7000000000000003E-2</v>
      </c>
      <c r="J7" s="131" t="s">
        <v>674</v>
      </c>
      <c r="K7" s="119" t="str">
        <f t="shared" si="3"/>
        <v>L32x20x4.0</v>
      </c>
      <c r="L7" s="77">
        <v>32</v>
      </c>
      <c r="M7" s="77">
        <v>20</v>
      </c>
      <c r="N7" s="132">
        <v>4</v>
      </c>
      <c r="O7" s="78">
        <v>3.5</v>
      </c>
      <c r="P7" s="132">
        <v>1.9390000000000001</v>
      </c>
      <c r="Q7" s="132">
        <v>1.522</v>
      </c>
      <c r="R7" s="134">
        <v>0.10100000000000001</v>
      </c>
    </row>
    <row r="8" spans="1:18" x14ac:dyDescent="0.3">
      <c r="A8" s="118">
        <v>3</v>
      </c>
      <c r="B8" s="119" t="str">
        <f t="shared" si="0"/>
        <v>L30x30x3.0</v>
      </c>
      <c r="C8" s="115">
        <f t="shared" si="1"/>
        <v>30</v>
      </c>
      <c r="D8" s="115">
        <v>3</v>
      </c>
      <c r="E8" s="115">
        <v>4.5</v>
      </c>
      <c r="F8" s="120">
        <f t="shared" si="2"/>
        <v>0.1111111111111111</v>
      </c>
      <c r="G8" s="122">
        <v>1.7490000000000001</v>
      </c>
      <c r="H8" s="121">
        <v>1.373</v>
      </c>
      <c r="I8" s="124">
        <v>0.11700000000000001</v>
      </c>
      <c r="J8" s="131" t="s">
        <v>675</v>
      </c>
      <c r="K8" s="119" t="str">
        <f t="shared" si="3"/>
        <v>L40x25x3.0</v>
      </c>
      <c r="L8" s="77">
        <v>40</v>
      </c>
      <c r="M8" s="77">
        <v>25</v>
      </c>
      <c r="N8" s="132">
        <v>3</v>
      </c>
      <c r="O8" s="77">
        <v>4</v>
      </c>
      <c r="P8" s="132">
        <v>1.89</v>
      </c>
      <c r="Q8" s="132">
        <v>1.484</v>
      </c>
      <c r="R8" s="134">
        <v>0.127</v>
      </c>
    </row>
    <row r="9" spans="1:18" x14ac:dyDescent="0.3">
      <c r="A9" s="118">
        <v>3</v>
      </c>
      <c r="B9" s="119" t="str">
        <f t="shared" si="0"/>
        <v>L30x30x4.0</v>
      </c>
      <c r="C9" s="115">
        <f t="shared" si="1"/>
        <v>30</v>
      </c>
      <c r="D9" s="115">
        <v>4</v>
      </c>
      <c r="E9" s="115">
        <v>4.5</v>
      </c>
      <c r="F9" s="120">
        <f t="shared" si="2"/>
        <v>8.3333333333333329E-2</v>
      </c>
      <c r="G9" s="122">
        <v>2.2759999999999998</v>
      </c>
      <c r="H9" s="121">
        <v>1.786</v>
      </c>
      <c r="I9" s="123">
        <v>0.11700000000000001</v>
      </c>
      <c r="J9" s="131" t="s">
        <v>676</v>
      </c>
      <c r="K9" s="119" t="str">
        <f t="shared" si="3"/>
        <v>L40x25x4.0</v>
      </c>
      <c r="L9" s="77">
        <v>40</v>
      </c>
      <c r="M9" s="77">
        <v>25</v>
      </c>
      <c r="N9" s="132">
        <v>4</v>
      </c>
      <c r="O9" s="77">
        <v>4</v>
      </c>
      <c r="P9" s="79">
        <v>2.4670000000000001</v>
      </c>
      <c r="Q9" s="132">
        <v>1.9359999999999999</v>
      </c>
      <c r="R9" s="134">
        <v>0.127</v>
      </c>
    </row>
    <row r="10" spans="1:18" x14ac:dyDescent="0.3">
      <c r="A10" s="118">
        <v>3.6</v>
      </c>
      <c r="B10" s="119" t="str">
        <f t="shared" si="0"/>
        <v>L36x36x3.0</v>
      </c>
      <c r="C10" s="115">
        <f t="shared" si="1"/>
        <v>36</v>
      </c>
      <c r="D10" s="115">
        <v>3</v>
      </c>
      <c r="E10" s="115">
        <v>4.5</v>
      </c>
      <c r="F10" s="120">
        <f t="shared" si="2"/>
        <v>0.1111111111111111</v>
      </c>
      <c r="G10" s="122">
        <v>2.109</v>
      </c>
      <c r="H10" s="121">
        <v>1.6559999999999999</v>
      </c>
      <c r="I10" s="124">
        <v>0.14099999999999999</v>
      </c>
      <c r="J10" s="131" t="s">
        <v>677</v>
      </c>
      <c r="K10" s="119" t="str">
        <f t="shared" si="3"/>
        <v>L45x28x3.0</v>
      </c>
      <c r="L10" s="77">
        <v>45</v>
      </c>
      <c r="M10" s="77">
        <v>28</v>
      </c>
      <c r="N10" s="132">
        <v>3</v>
      </c>
      <c r="O10" s="77">
        <v>5</v>
      </c>
      <c r="P10" s="79">
        <v>2.149</v>
      </c>
      <c r="Q10" s="132">
        <v>1.6870000000000001</v>
      </c>
      <c r="R10" s="134">
        <v>0.14299999999999999</v>
      </c>
    </row>
    <row r="11" spans="1:18" x14ac:dyDescent="0.3">
      <c r="A11" s="118">
        <v>3.6</v>
      </c>
      <c r="B11" s="119" t="str">
        <f t="shared" si="0"/>
        <v>L36x36x4.0</v>
      </c>
      <c r="C11" s="115">
        <f t="shared" si="1"/>
        <v>36</v>
      </c>
      <c r="D11" s="115">
        <v>4</v>
      </c>
      <c r="E11" s="115">
        <v>4.5</v>
      </c>
      <c r="F11" s="120">
        <f t="shared" si="2"/>
        <v>8.3333333333333329E-2</v>
      </c>
      <c r="G11" s="121">
        <v>2.7559999999999998</v>
      </c>
      <c r="H11" s="121">
        <v>2.1629999999999998</v>
      </c>
      <c r="I11" s="124">
        <v>0.14099999999999999</v>
      </c>
      <c r="J11" s="131" t="s">
        <v>677</v>
      </c>
      <c r="K11" s="119" t="str">
        <f t="shared" si="3"/>
        <v>L45x28x4.0</v>
      </c>
      <c r="L11" s="77">
        <v>45</v>
      </c>
      <c r="M11" s="77">
        <v>28</v>
      </c>
      <c r="N11" s="132">
        <v>4</v>
      </c>
      <c r="O11" s="77">
        <v>5</v>
      </c>
      <c r="P11" s="79">
        <v>2.806</v>
      </c>
      <c r="Q11" s="79">
        <v>2.2029999999999998</v>
      </c>
      <c r="R11" s="133">
        <v>0.14299999999999999</v>
      </c>
    </row>
    <row r="12" spans="1:18" x14ac:dyDescent="0.3">
      <c r="A12" s="118">
        <v>3.6</v>
      </c>
      <c r="B12" s="119" t="str">
        <f t="shared" si="0"/>
        <v>L36x36x5.0</v>
      </c>
      <c r="C12" s="115">
        <f t="shared" si="1"/>
        <v>36</v>
      </c>
      <c r="D12" s="115">
        <v>5</v>
      </c>
      <c r="E12" s="115">
        <v>4.5</v>
      </c>
      <c r="F12" s="120">
        <f t="shared" si="2"/>
        <v>6.6666666666666666E-2</v>
      </c>
      <c r="G12" s="121">
        <v>3.3820000000000001</v>
      </c>
      <c r="H12" s="125">
        <v>2654</v>
      </c>
      <c r="I12" s="123">
        <v>0.14099999999999999</v>
      </c>
      <c r="J12" s="131" t="s">
        <v>678</v>
      </c>
      <c r="K12" s="119" t="str">
        <f t="shared" si="3"/>
        <v>L50x32x3.0</v>
      </c>
      <c r="L12" s="77">
        <v>50</v>
      </c>
      <c r="M12" s="77">
        <v>32</v>
      </c>
      <c r="N12" s="132">
        <v>3</v>
      </c>
      <c r="O12" s="132">
        <v>5.5</v>
      </c>
      <c r="P12" s="132">
        <v>2.431</v>
      </c>
      <c r="Q12" s="132">
        <v>1.9079999999999999</v>
      </c>
      <c r="R12" s="134">
        <v>0.161</v>
      </c>
    </row>
    <row r="13" spans="1:18" x14ac:dyDescent="0.3">
      <c r="A13" s="118">
        <v>4</v>
      </c>
      <c r="B13" s="119" t="str">
        <f t="shared" si="0"/>
        <v>L40x40x3.0</v>
      </c>
      <c r="C13" s="115">
        <f t="shared" si="1"/>
        <v>40</v>
      </c>
      <c r="D13" s="115">
        <v>3</v>
      </c>
      <c r="E13" s="115">
        <v>5</v>
      </c>
      <c r="F13" s="120">
        <f t="shared" si="2"/>
        <v>0.1111111111111111</v>
      </c>
      <c r="G13" s="121">
        <v>2.359</v>
      </c>
      <c r="H13" s="122">
        <v>1.8520000000000001</v>
      </c>
      <c r="I13" s="123">
        <v>0.157</v>
      </c>
      <c r="J13" s="131" t="s">
        <v>678</v>
      </c>
      <c r="K13" s="119" t="str">
        <f t="shared" si="3"/>
        <v>L50x32x4.0</v>
      </c>
      <c r="L13" s="77">
        <v>50</v>
      </c>
      <c r="M13" s="77">
        <v>32</v>
      </c>
      <c r="N13" s="132">
        <v>4</v>
      </c>
      <c r="O13" s="132">
        <v>5.5</v>
      </c>
      <c r="P13" s="132">
        <v>3.177</v>
      </c>
      <c r="Q13" s="79">
        <v>2.4940000000000002</v>
      </c>
      <c r="R13" s="134">
        <v>0.16</v>
      </c>
    </row>
    <row r="14" spans="1:18" x14ac:dyDescent="0.3">
      <c r="A14" s="118">
        <v>4</v>
      </c>
      <c r="B14" s="119" t="str">
        <f t="shared" si="0"/>
        <v>L40x40x4.0</v>
      </c>
      <c r="C14" s="115">
        <f t="shared" si="1"/>
        <v>40</v>
      </c>
      <c r="D14" s="115">
        <v>4</v>
      </c>
      <c r="E14" s="115">
        <v>5</v>
      </c>
      <c r="F14" s="120">
        <f t="shared" si="2"/>
        <v>8.3333333333333329E-2</v>
      </c>
      <c r="G14" s="121">
        <v>3.0859999999999999</v>
      </c>
      <c r="H14" s="122">
        <v>2.4220000000000002</v>
      </c>
      <c r="I14" s="123">
        <v>0.157</v>
      </c>
      <c r="J14" s="131" t="s">
        <v>679</v>
      </c>
      <c r="K14" s="119" t="str">
        <f t="shared" si="3"/>
        <v>L56x36x3.0</v>
      </c>
      <c r="L14" s="77">
        <v>56</v>
      </c>
      <c r="M14" s="77">
        <v>36</v>
      </c>
      <c r="N14" s="132">
        <v>3</v>
      </c>
      <c r="O14" s="77">
        <v>6</v>
      </c>
      <c r="P14" s="132">
        <v>2.7429999999999999</v>
      </c>
      <c r="Q14" s="132">
        <v>2.153</v>
      </c>
      <c r="R14" s="134">
        <v>0.18099999999999999</v>
      </c>
    </row>
    <row r="15" spans="1:18" x14ac:dyDescent="0.3">
      <c r="A15" s="118">
        <v>4</v>
      </c>
      <c r="B15" s="119" t="str">
        <f t="shared" si="0"/>
        <v>L40x40x5.0</v>
      </c>
      <c r="C15" s="115">
        <f t="shared" si="1"/>
        <v>40</v>
      </c>
      <c r="D15" s="115">
        <v>5</v>
      </c>
      <c r="E15" s="115">
        <v>5</v>
      </c>
      <c r="F15" s="120">
        <f t="shared" si="2"/>
        <v>6.6666666666666666E-2</v>
      </c>
      <c r="G15" s="122">
        <v>3.7909999999999999</v>
      </c>
      <c r="H15" s="122">
        <v>2.976</v>
      </c>
      <c r="I15" s="124">
        <v>0.156</v>
      </c>
      <c r="J15" s="131" t="s">
        <v>679</v>
      </c>
      <c r="K15" s="119" t="str">
        <f t="shared" si="3"/>
        <v>L56x36x4.0</v>
      </c>
      <c r="L15" s="77">
        <v>56</v>
      </c>
      <c r="M15" s="77">
        <v>36</v>
      </c>
      <c r="N15" s="132">
        <v>4</v>
      </c>
      <c r="O15" s="77">
        <v>6</v>
      </c>
      <c r="P15" s="132">
        <v>3.59</v>
      </c>
      <c r="Q15" s="132">
        <v>2.8180000000000001</v>
      </c>
      <c r="R15" s="133">
        <v>0.18</v>
      </c>
    </row>
    <row r="16" spans="1:18" x14ac:dyDescent="0.3">
      <c r="A16" s="118">
        <v>4.5</v>
      </c>
      <c r="B16" s="119" t="str">
        <f t="shared" si="0"/>
        <v>L45x45x3.0</v>
      </c>
      <c r="C16" s="115">
        <f t="shared" si="1"/>
        <v>45</v>
      </c>
      <c r="D16" s="115">
        <v>3</v>
      </c>
      <c r="E16" s="115">
        <v>5</v>
      </c>
      <c r="F16" s="120">
        <f t="shared" si="2"/>
        <v>0.1111111111111111</v>
      </c>
      <c r="G16" s="122">
        <v>2.6589999999999998</v>
      </c>
      <c r="H16" s="122">
        <v>2.0880000000000001</v>
      </c>
      <c r="I16" s="123">
        <v>0.17699999999999999</v>
      </c>
      <c r="J16" s="131" t="s">
        <v>679</v>
      </c>
      <c r="K16" s="119" t="str">
        <f t="shared" si="3"/>
        <v>L56x36x5.0</v>
      </c>
      <c r="L16" s="77">
        <v>56</v>
      </c>
      <c r="M16" s="77">
        <v>36</v>
      </c>
      <c r="N16" s="132">
        <v>5</v>
      </c>
      <c r="O16" s="77">
        <v>6</v>
      </c>
      <c r="P16" s="135">
        <v>4.415</v>
      </c>
      <c r="Q16" s="132">
        <v>3.4660000000000002</v>
      </c>
      <c r="R16" s="134">
        <v>0.18</v>
      </c>
    </row>
    <row r="17" spans="1:18" x14ac:dyDescent="0.3">
      <c r="A17" s="118">
        <v>4.5</v>
      </c>
      <c r="B17" s="119" t="str">
        <f t="shared" si="0"/>
        <v>L45x45x4.0</v>
      </c>
      <c r="C17" s="115">
        <f t="shared" si="1"/>
        <v>45</v>
      </c>
      <c r="D17" s="115">
        <v>4</v>
      </c>
      <c r="E17" s="115">
        <v>5</v>
      </c>
      <c r="F17" s="120">
        <f t="shared" si="2"/>
        <v>8.3333333333333329E-2</v>
      </c>
      <c r="G17" s="122">
        <v>3.4860000000000002</v>
      </c>
      <c r="H17" s="121">
        <v>2.7360000000000002</v>
      </c>
      <c r="I17" s="124">
        <v>0.17699999999999999</v>
      </c>
      <c r="J17" s="131" t="s">
        <v>680</v>
      </c>
      <c r="K17" s="119" t="str">
        <f t="shared" si="3"/>
        <v>L63x40x4.0</v>
      </c>
      <c r="L17" s="77">
        <v>63</v>
      </c>
      <c r="M17" s="77">
        <v>40</v>
      </c>
      <c r="N17" s="132">
        <v>4</v>
      </c>
      <c r="O17" s="77">
        <v>7</v>
      </c>
      <c r="P17" s="79">
        <v>4.0579999999999998</v>
      </c>
      <c r="Q17" s="132">
        <v>3.1850000000000001</v>
      </c>
      <c r="R17" s="133">
        <v>0.20200000000000001</v>
      </c>
    </row>
    <row r="18" spans="1:18" x14ac:dyDescent="0.3">
      <c r="A18" s="118">
        <v>4.5</v>
      </c>
      <c r="B18" s="119" t="str">
        <f t="shared" si="0"/>
        <v>L45x45x5.0</v>
      </c>
      <c r="C18" s="115">
        <f t="shared" si="1"/>
        <v>45</v>
      </c>
      <c r="D18" s="115">
        <v>5</v>
      </c>
      <c r="E18" s="115">
        <v>5</v>
      </c>
      <c r="F18" s="120">
        <f t="shared" si="2"/>
        <v>6.6666666666666666E-2</v>
      </c>
      <c r="G18" s="121">
        <v>4.2919999999999998</v>
      </c>
      <c r="H18" s="122">
        <v>3.3690000000000002</v>
      </c>
      <c r="I18" s="124">
        <v>0.17599999999999999</v>
      </c>
      <c r="J18" s="131" t="s">
        <v>680</v>
      </c>
      <c r="K18" s="119" t="str">
        <f t="shared" si="3"/>
        <v>L63x40x5.0</v>
      </c>
      <c r="L18" s="77">
        <v>63</v>
      </c>
      <c r="M18" s="77">
        <v>40</v>
      </c>
      <c r="N18" s="132">
        <v>5</v>
      </c>
      <c r="O18" s="77">
        <v>7</v>
      </c>
      <c r="P18" s="132">
        <v>4.9930000000000003</v>
      </c>
      <c r="Q18" s="79">
        <v>3.92</v>
      </c>
      <c r="R18" s="133">
        <v>0.20200000000000001</v>
      </c>
    </row>
    <row r="19" spans="1:18" x14ac:dyDescent="0.3">
      <c r="A19" s="118">
        <v>4.5</v>
      </c>
      <c r="B19" s="119" t="str">
        <f t="shared" si="0"/>
        <v>L45x45x6.0</v>
      </c>
      <c r="C19" s="115">
        <f t="shared" si="1"/>
        <v>45</v>
      </c>
      <c r="D19" s="115">
        <v>6</v>
      </c>
      <c r="E19" s="115">
        <v>5</v>
      </c>
      <c r="F19" s="120">
        <f t="shared" si="2"/>
        <v>5.5555555555555552E-2</v>
      </c>
      <c r="G19" s="121">
        <v>5.0759999999999996</v>
      </c>
      <c r="H19" s="122">
        <v>3.9849999999999999</v>
      </c>
      <c r="I19" s="124">
        <v>0.17599999999999999</v>
      </c>
      <c r="J19" s="131" t="s">
        <v>680</v>
      </c>
      <c r="K19" s="119" t="str">
        <f t="shared" si="3"/>
        <v>L63x40x6.0</v>
      </c>
      <c r="L19" s="77">
        <v>63</v>
      </c>
      <c r="M19" s="77">
        <v>40</v>
      </c>
      <c r="N19" s="132">
        <v>6</v>
      </c>
      <c r="O19" s="77">
        <v>7</v>
      </c>
      <c r="P19" s="79">
        <v>5.9080000000000004</v>
      </c>
      <c r="Q19" s="132">
        <v>4.6379999999999999</v>
      </c>
      <c r="R19" s="133">
        <v>0.20100000000000001</v>
      </c>
    </row>
    <row r="20" spans="1:18" x14ac:dyDescent="0.3">
      <c r="A20" s="118">
        <v>5</v>
      </c>
      <c r="B20" s="119" t="str">
        <f t="shared" si="0"/>
        <v>L50x50x3.0</v>
      </c>
      <c r="C20" s="115">
        <f t="shared" si="1"/>
        <v>50</v>
      </c>
      <c r="D20" s="115">
        <v>3</v>
      </c>
      <c r="E20" s="115">
        <v>5.5</v>
      </c>
      <c r="F20" s="120">
        <f t="shared" si="2"/>
        <v>0.1111111111111111</v>
      </c>
      <c r="G20" s="121">
        <v>2.9710000000000001</v>
      </c>
      <c r="H20" s="121">
        <v>2.3319999999999999</v>
      </c>
      <c r="I20" s="124">
        <v>0.19700000000000001</v>
      </c>
      <c r="J20" s="131" t="s">
        <v>680</v>
      </c>
      <c r="K20" s="119" t="str">
        <f t="shared" si="3"/>
        <v>L63x40x7.0</v>
      </c>
      <c r="L20" s="77">
        <v>63</v>
      </c>
      <c r="M20" s="77">
        <v>40</v>
      </c>
      <c r="N20" s="132">
        <v>7</v>
      </c>
      <c r="O20" s="77">
        <v>7</v>
      </c>
      <c r="P20" s="79">
        <v>6.8019999999999996</v>
      </c>
      <c r="Q20" s="79">
        <v>5.3390000000000004</v>
      </c>
      <c r="R20" s="133">
        <v>0.20100000000000001</v>
      </c>
    </row>
    <row r="21" spans="1:18" x14ac:dyDescent="0.3">
      <c r="A21" s="118">
        <v>5</v>
      </c>
      <c r="B21" s="119" t="str">
        <f t="shared" si="0"/>
        <v>L50x50x4.0</v>
      </c>
      <c r="C21" s="115">
        <f t="shared" si="1"/>
        <v>50</v>
      </c>
      <c r="D21" s="115">
        <v>4</v>
      </c>
      <c r="E21" s="115">
        <v>5.5</v>
      </c>
      <c r="F21" s="120">
        <f t="shared" si="2"/>
        <v>8.3333333333333329E-2</v>
      </c>
      <c r="G21" s="121">
        <v>3.8969999999999998</v>
      </c>
      <c r="H21" s="122">
        <v>3.0590000000000002</v>
      </c>
      <c r="I21" s="124">
        <v>0.19700000000000001</v>
      </c>
      <c r="J21" s="131" t="s">
        <v>681</v>
      </c>
      <c r="K21" s="119" t="str">
        <f t="shared" si="3"/>
        <v>L70x45x4.0</v>
      </c>
      <c r="L21" s="77">
        <v>70</v>
      </c>
      <c r="M21" s="77">
        <v>45</v>
      </c>
      <c r="N21" s="132">
        <v>4</v>
      </c>
      <c r="O21" s="78">
        <v>7.5</v>
      </c>
      <c r="P21" s="136">
        <v>4547</v>
      </c>
      <c r="Q21" s="79">
        <v>3.57</v>
      </c>
      <c r="R21" s="133">
        <v>0.22600000000000001</v>
      </c>
    </row>
    <row r="22" spans="1:18" x14ac:dyDescent="0.3">
      <c r="A22" s="118">
        <v>5</v>
      </c>
      <c r="B22" s="119" t="str">
        <f t="shared" si="0"/>
        <v>L50x50x5.0</v>
      </c>
      <c r="C22" s="115">
        <f t="shared" si="1"/>
        <v>50</v>
      </c>
      <c r="D22" s="115">
        <v>5</v>
      </c>
      <c r="E22" s="115">
        <v>5.5</v>
      </c>
      <c r="F22" s="120">
        <f t="shared" si="2"/>
        <v>6.6666666666666666E-2</v>
      </c>
      <c r="G22" s="121">
        <v>4.8029999999999999</v>
      </c>
      <c r="H22" s="121">
        <v>3.77</v>
      </c>
      <c r="I22" s="124">
        <v>0.19600000000000001</v>
      </c>
      <c r="J22" s="131" t="s">
        <v>681</v>
      </c>
      <c r="K22" s="119" t="str">
        <f t="shared" si="3"/>
        <v>L70x45x5.0</v>
      </c>
      <c r="L22" s="77">
        <v>70</v>
      </c>
      <c r="M22" s="77">
        <v>45</v>
      </c>
      <c r="N22" s="132">
        <v>5</v>
      </c>
      <c r="O22" s="78">
        <v>7.5</v>
      </c>
      <c r="P22" s="79">
        <v>5.609</v>
      </c>
      <c r="Q22" s="132">
        <v>4.4029999999999996</v>
      </c>
      <c r="R22" s="133">
        <v>0.22500000000000001</v>
      </c>
    </row>
    <row r="23" spans="1:18" x14ac:dyDescent="0.3">
      <c r="A23" s="118">
        <v>5</v>
      </c>
      <c r="B23" s="119" t="str">
        <f t="shared" si="0"/>
        <v>L50x50x6.0</v>
      </c>
      <c r="C23" s="115">
        <f t="shared" si="1"/>
        <v>50</v>
      </c>
      <c r="D23" s="115">
        <v>6</v>
      </c>
      <c r="E23" s="115">
        <v>5.5</v>
      </c>
      <c r="F23" s="120">
        <f t="shared" si="2"/>
        <v>5.5555555555555552E-2</v>
      </c>
      <c r="G23" s="122">
        <v>5.6879999999999997</v>
      </c>
      <c r="H23" s="121">
        <v>4.4649999999999999</v>
      </c>
      <c r="I23" s="124">
        <v>0.19600000000000001</v>
      </c>
      <c r="J23" s="131" t="s">
        <v>681</v>
      </c>
      <c r="K23" s="119" t="str">
        <f t="shared" si="3"/>
        <v>L70x45x6.0</v>
      </c>
      <c r="L23" s="77">
        <v>70</v>
      </c>
      <c r="M23" s="77">
        <v>45</v>
      </c>
      <c r="N23" s="132">
        <v>6</v>
      </c>
      <c r="O23" s="78">
        <v>7.5</v>
      </c>
      <c r="P23" s="79">
        <v>6.6470000000000002</v>
      </c>
      <c r="Q23" s="132">
        <v>5.218</v>
      </c>
      <c r="R23" s="133">
        <v>0.22500000000000001</v>
      </c>
    </row>
    <row r="24" spans="1:18" x14ac:dyDescent="0.3">
      <c r="A24" s="118">
        <v>5.6</v>
      </c>
      <c r="B24" s="119" t="str">
        <f t="shared" si="0"/>
        <v>L56x56x3.0</v>
      </c>
      <c r="C24" s="115">
        <f t="shared" si="1"/>
        <v>56</v>
      </c>
      <c r="D24" s="115">
        <v>3</v>
      </c>
      <c r="E24" s="115">
        <v>6</v>
      </c>
      <c r="F24" s="120">
        <f t="shared" si="2"/>
        <v>0.1111111111111111</v>
      </c>
      <c r="G24" s="122">
        <v>3.343</v>
      </c>
      <c r="H24" s="122">
        <v>2.6240000000000001</v>
      </c>
      <c r="I24" s="124">
        <v>0.221</v>
      </c>
      <c r="J24" s="131" t="s">
        <v>681</v>
      </c>
      <c r="K24" s="119" t="str">
        <f t="shared" si="3"/>
        <v>L70x45x7.0</v>
      </c>
      <c r="L24" s="77">
        <v>70</v>
      </c>
      <c r="M24" s="77">
        <v>45</v>
      </c>
      <c r="N24" s="132">
        <v>7</v>
      </c>
      <c r="O24" s="78">
        <v>7.5</v>
      </c>
      <c r="P24" s="79">
        <v>7.657</v>
      </c>
      <c r="Q24" s="132">
        <v>6.0110000000000001</v>
      </c>
      <c r="R24" s="133">
        <v>0.22500000000000001</v>
      </c>
    </row>
    <row r="25" spans="1:18" x14ac:dyDescent="0.3">
      <c r="A25" s="118">
        <v>5.6</v>
      </c>
      <c r="B25" s="119" t="str">
        <f t="shared" si="0"/>
        <v>L56x56x4.0</v>
      </c>
      <c r="C25" s="115">
        <f t="shared" si="1"/>
        <v>56</v>
      </c>
      <c r="D25" s="115">
        <v>4</v>
      </c>
      <c r="E25" s="115">
        <v>6</v>
      </c>
      <c r="F25" s="120">
        <f t="shared" si="2"/>
        <v>8.3333333333333329E-2</v>
      </c>
      <c r="G25" s="122">
        <v>4.3899999999999997</v>
      </c>
      <c r="H25" s="122">
        <v>3.4460000000000002</v>
      </c>
      <c r="I25" s="123">
        <v>0.22</v>
      </c>
      <c r="J25" s="131" t="s">
        <v>682</v>
      </c>
      <c r="K25" s="119" t="str">
        <f t="shared" si="3"/>
        <v>L75x50x5.0</v>
      </c>
      <c r="L25" s="77">
        <v>75</v>
      </c>
      <c r="M25" s="77">
        <v>50</v>
      </c>
      <c r="N25" s="132">
        <v>5</v>
      </c>
      <c r="O25" s="77">
        <v>8</v>
      </c>
      <c r="P25" s="132">
        <v>6.125</v>
      </c>
      <c r="Q25" s="132">
        <v>4.8079999999999998</v>
      </c>
      <c r="R25" s="134">
        <v>0.245</v>
      </c>
    </row>
    <row r="26" spans="1:18" x14ac:dyDescent="0.3">
      <c r="A26" s="118">
        <v>5.6</v>
      </c>
      <c r="B26" s="119" t="str">
        <f t="shared" si="0"/>
        <v>L56x56x5.0</v>
      </c>
      <c r="C26" s="115">
        <f t="shared" si="1"/>
        <v>56</v>
      </c>
      <c r="D26" s="115">
        <v>5</v>
      </c>
      <c r="E26" s="115">
        <v>6</v>
      </c>
      <c r="F26" s="120">
        <f t="shared" si="2"/>
        <v>6.6666666666666666E-2</v>
      </c>
      <c r="G26" s="121">
        <v>5.415</v>
      </c>
      <c r="H26" s="122">
        <v>4.2510000000000003</v>
      </c>
      <c r="I26" s="123">
        <v>0.22</v>
      </c>
      <c r="J26" s="131" t="s">
        <v>682</v>
      </c>
      <c r="K26" s="119" t="str">
        <f t="shared" si="3"/>
        <v>L75x50x6.0</v>
      </c>
      <c r="L26" s="77">
        <v>75</v>
      </c>
      <c r="M26" s="77">
        <v>50</v>
      </c>
      <c r="N26" s="132">
        <v>6</v>
      </c>
      <c r="O26" s="77">
        <v>8</v>
      </c>
      <c r="P26" s="132">
        <v>7.26</v>
      </c>
      <c r="Q26" s="132">
        <v>5.6989999999999998</v>
      </c>
      <c r="R26" s="134">
        <v>0.245</v>
      </c>
    </row>
    <row r="27" spans="1:18" x14ac:dyDescent="0.3">
      <c r="A27" s="118">
        <v>5.6</v>
      </c>
      <c r="B27" s="119" t="str">
        <f t="shared" si="0"/>
        <v>L56x56x6.0</v>
      </c>
      <c r="C27" s="115">
        <f t="shared" si="1"/>
        <v>56</v>
      </c>
      <c r="D27" s="115">
        <v>6</v>
      </c>
      <c r="E27" s="115">
        <v>6</v>
      </c>
      <c r="F27" s="120">
        <f t="shared" si="2"/>
        <v>5.5555555555555552E-2</v>
      </c>
      <c r="G27" s="122">
        <v>6.42</v>
      </c>
      <c r="H27" s="122">
        <v>5.04</v>
      </c>
      <c r="I27" s="123">
        <v>0.22</v>
      </c>
      <c r="J27" s="131" t="s">
        <v>682</v>
      </c>
      <c r="K27" s="119" t="str">
        <f t="shared" si="3"/>
        <v>L75x50x8.0</v>
      </c>
      <c r="L27" s="77">
        <v>75</v>
      </c>
      <c r="M27" s="77">
        <v>50</v>
      </c>
      <c r="N27" s="132">
        <v>8</v>
      </c>
      <c r="O27" s="77">
        <v>8</v>
      </c>
      <c r="P27" s="132">
        <v>9.4670000000000005</v>
      </c>
      <c r="Q27" s="132">
        <v>7.431</v>
      </c>
      <c r="R27" s="133">
        <v>0.24399999999999999</v>
      </c>
    </row>
    <row r="28" spans="1:18" x14ac:dyDescent="0.3">
      <c r="A28" s="118">
        <v>5.6</v>
      </c>
      <c r="B28" s="119" t="str">
        <f t="shared" si="0"/>
        <v>L56x56x7.0</v>
      </c>
      <c r="C28" s="115">
        <f t="shared" si="1"/>
        <v>56</v>
      </c>
      <c r="D28" s="115">
        <v>7</v>
      </c>
      <c r="E28" s="115">
        <v>6</v>
      </c>
      <c r="F28" s="120">
        <f t="shared" si="2"/>
        <v>4.7619047619047616E-2</v>
      </c>
      <c r="G28" s="122">
        <v>7.4039999999999999</v>
      </c>
      <c r="H28" s="122">
        <v>5.8120000000000003</v>
      </c>
      <c r="I28" s="123">
        <v>0.219</v>
      </c>
      <c r="J28" s="131" t="s">
        <v>682</v>
      </c>
      <c r="K28" s="119" t="str">
        <f t="shared" si="3"/>
        <v>L75x50x10.0</v>
      </c>
      <c r="L28" s="77">
        <v>75</v>
      </c>
      <c r="M28" s="77">
        <v>50</v>
      </c>
      <c r="N28" s="132">
        <v>10</v>
      </c>
      <c r="O28" s="77">
        <v>8</v>
      </c>
      <c r="P28" s="135">
        <v>11.59</v>
      </c>
      <c r="Q28" s="79">
        <v>9.0980000000000008</v>
      </c>
      <c r="R28" s="134">
        <v>0.24399999999999999</v>
      </c>
    </row>
    <row r="29" spans="1:18" x14ac:dyDescent="0.3">
      <c r="A29" s="118">
        <v>5.6</v>
      </c>
      <c r="B29" s="119" t="str">
        <f t="shared" si="0"/>
        <v>L56x56x8.0</v>
      </c>
      <c r="C29" s="115">
        <f t="shared" si="1"/>
        <v>56</v>
      </c>
      <c r="D29" s="115">
        <v>8</v>
      </c>
      <c r="E29" s="115">
        <v>6</v>
      </c>
      <c r="F29" s="120">
        <f t="shared" si="2"/>
        <v>4.1666666666666664E-2</v>
      </c>
      <c r="G29" s="121">
        <v>8.3670000000000009</v>
      </c>
      <c r="H29" s="121">
        <v>6.5679999999999996</v>
      </c>
      <c r="I29" s="123">
        <v>0.219</v>
      </c>
      <c r="J29" s="131" t="s">
        <v>683</v>
      </c>
      <c r="K29" s="119" t="str">
        <f t="shared" si="3"/>
        <v>L80x50x5.0</v>
      </c>
      <c r="L29" s="77">
        <v>80</v>
      </c>
      <c r="M29" s="77">
        <v>50</v>
      </c>
      <c r="N29" s="132">
        <v>5</v>
      </c>
      <c r="O29" s="77">
        <v>8</v>
      </c>
      <c r="P29" s="132">
        <v>6.375</v>
      </c>
      <c r="Q29" s="79">
        <v>5.0049999999999999</v>
      </c>
      <c r="R29" s="134">
        <v>0.255</v>
      </c>
    </row>
    <row r="30" spans="1:18" x14ac:dyDescent="0.3">
      <c r="A30" s="118">
        <v>6</v>
      </c>
      <c r="B30" s="119" t="str">
        <f t="shared" si="0"/>
        <v>L60x60x5.0</v>
      </c>
      <c r="C30" s="115">
        <f t="shared" si="1"/>
        <v>60</v>
      </c>
      <c r="D30" s="115">
        <v>5</v>
      </c>
      <c r="E30" s="115">
        <v>6.5</v>
      </c>
      <c r="F30" s="120">
        <f t="shared" si="2"/>
        <v>6.6666666666666666E-2</v>
      </c>
      <c r="G30" s="122">
        <v>5.8289999999999997</v>
      </c>
      <c r="H30" s="122">
        <v>4.5759999999999996</v>
      </c>
      <c r="I30" s="124">
        <v>0.23599999999999999</v>
      </c>
      <c r="J30" s="131" t="s">
        <v>683</v>
      </c>
      <c r="K30" s="119" t="str">
        <f t="shared" si="3"/>
        <v>L80x50x6.0</v>
      </c>
      <c r="L30" s="77">
        <v>80</v>
      </c>
      <c r="M30" s="77">
        <v>50</v>
      </c>
      <c r="N30" s="132">
        <v>6</v>
      </c>
      <c r="O30" s="77">
        <v>8</v>
      </c>
      <c r="P30" s="132">
        <v>7.56</v>
      </c>
      <c r="Q30" s="132">
        <v>5.9349999999999996</v>
      </c>
      <c r="R30" s="134">
        <v>0.255</v>
      </c>
    </row>
    <row r="31" spans="1:18" x14ac:dyDescent="0.3">
      <c r="A31" s="118">
        <v>6</v>
      </c>
      <c r="B31" s="119" t="str">
        <f t="shared" si="0"/>
        <v>L60x60x6.0</v>
      </c>
      <c r="C31" s="115">
        <f t="shared" si="1"/>
        <v>60</v>
      </c>
      <c r="D31" s="115">
        <v>6</v>
      </c>
      <c r="E31" s="115">
        <v>6.5</v>
      </c>
      <c r="F31" s="120">
        <f t="shared" si="2"/>
        <v>5.5555555555555552E-2</v>
      </c>
      <c r="G31" s="121">
        <v>6.9139999999999997</v>
      </c>
      <c r="H31" s="122">
        <v>5.4269999999999996</v>
      </c>
      <c r="I31" s="124">
        <v>0.23499999999999999</v>
      </c>
      <c r="J31" s="131" t="s">
        <v>683</v>
      </c>
      <c r="K31" s="119" t="str">
        <f t="shared" si="3"/>
        <v>L80x50x7.0</v>
      </c>
      <c r="L31" s="77">
        <v>80</v>
      </c>
      <c r="M31" s="77">
        <v>50</v>
      </c>
      <c r="N31" s="132">
        <v>7</v>
      </c>
      <c r="O31" s="77">
        <v>8</v>
      </c>
      <c r="P31" s="132">
        <v>8.7240000000000002</v>
      </c>
      <c r="Q31" s="132">
        <v>6.8479999999999999</v>
      </c>
      <c r="R31" s="133">
        <v>0.255</v>
      </c>
    </row>
    <row r="32" spans="1:18" x14ac:dyDescent="0.3">
      <c r="A32" s="118">
        <v>6</v>
      </c>
      <c r="B32" s="119" t="str">
        <f t="shared" si="0"/>
        <v>L60x60x7.0</v>
      </c>
      <c r="C32" s="115">
        <f t="shared" si="1"/>
        <v>60</v>
      </c>
      <c r="D32" s="115">
        <v>7</v>
      </c>
      <c r="E32" s="115">
        <v>6.5</v>
      </c>
      <c r="F32" s="120">
        <f t="shared" si="2"/>
        <v>4.7619047619047616E-2</v>
      </c>
      <c r="G32" s="121">
        <v>7.9770000000000003</v>
      </c>
      <c r="H32" s="122">
        <v>6.2619999999999996</v>
      </c>
      <c r="I32" s="124">
        <v>0.23499999999999999</v>
      </c>
      <c r="J32" s="131" t="s">
        <v>683</v>
      </c>
      <c r="K32" s="119" t="str">
        <f t="shared" si="3"/>
        <v>L80x50x8.0</v>
      </c>
      <c r="L32" s="77">
        <v>80</v>
      </c>
      <c r="M32" s="77">
        <v>50</v>
      </c>
      <c r="N32" s="132">
        <v>8</v>
      </c>
      <c r="O32" s="77">
        <v>8</v>
      </c>
      <c r="P32" s="79">
        <v>9.8670000000000009</v>
      </c>
      <c r="Q32" s="136">
        <v>7745</v>
      </c>
      <c r="R32" s="134">
        <v>0.254</v>
      </c>
    </row>
    <row r="33" spans="1:18" x14ac:dyDescent="0.3">
      <c r="A33" s="118">
        <v>6</v>
      </c>
      <c r="B33" s="119" t="str">
        <f t="shared" si="0"/>
        <v>L60x60x8.0</v>
      </c>
      <c r="C33" s="115">
        <f t="shared" si="1"/>
        <v>60</v>
      </c>
      <c r="D33" s="115">
        <v>8</v>
      </c>
      <c r="E33" s="115">
        <v>6.5</v>
      </c>
      <c r="F33" s="120">
        <f t="shared" si="2"/>
        <v>4.1666666666666664E-2</v>
      </c>
      <c r="G33" s="122">
        <v>9.02</v>
      </c>
      <c r="H33" s="122">
        <v>7.0810000000000004</v>
      </c>
      <c r="I33" s="123">
        <v>0.23499999999999999</v>
      </c>
      <c r="J33" s="131" t="s">
        <v>684</v>
      </c>
      <c r="K33" s="119" t="str">
        <f t="shared" si="3"/>
        <v>L90x56x5.0</v>
      </c>
      <c r="L33" s="77">
        <v>90</v>
      </c>
      <c r="M33" s="77">
        <v>56</v>
      </c>
      <c r="N33" s="132">
        <v>5</v>
      </c>
      <c r="O33" s="77">
        <v>9</v>
      </c>
      <c r="P33" s="132">
        <v>7.2119999999999997</v>
      </c>
      <c r="Q33" s="132">
        <v>5.6609999999999996</v>
      </c>
      <c r="R33" s="133">
        <v>0.28699999999999998</v>
      </c>
    </row>
    <row r="34" spans="1:18" x14ac:dyDescent="0.3">
      <c r="A34" s="118">
        <v>6.3</v>
      </c>
      <c r="B34" s="119" t="str">
        <f t="shared" si="0"/>
        <v>L63x63x4.0</v>
      </c>
      <c r="C34" s="115">
        <f t="shared" si="1"/>
        <v>63</v>
      </c>
      <c r="D34" s="115">
        <v>4</v>
      </c>
      <c r="E34" s="115">
        <v>7</v>
      </c>
      <c r="F34" s="120">
        <f t="shared" si="2"/>
        <v>8.3333333333333329E-2</v>
      </c>
      <c r="G34" s="122">
        <v>4.9779999999999998</v>
      </c>
      <c r="H34" s="121">
        <v>3.907</v>
      </c>
      <c r="I34" s="123">
        <v>0.248</v>
      </c>
      <c r="J34" s="131" t="s">
        <v>684</v>
      </c>
      <c r="K34" s="119" t="str">
        <f t="shared" si="3"/>
        <v>L90x56x6.0</v>
      </c>
      <c r="L34" s="77">
        <v>90</v>
      </c>
      <c r="M34" s="77">
        <v>56</v>
      </c>
      <c r="N34" s="132">
        <v>6</v>
      </c>
      <c r="O34" s="77">
        <v>9</v>
      </c>
      <c r="P34" s="79">
        <v>8.5570000000000004</v>
      </c>
      <c r="Q34" s="132">
        <v>6.7169999999999996</v>
      </c>
      <c r="R34" s="133">
        <v>0.28599999999999998</v>
      </c>
    </row>
    <row r="35" spans="1:18" x14ac:dyDescent="0.3">
      <c r="A35" s="118">
        <v>6.3</v>
      </c>
      <c r="B35" s="119" t="str">
        <f t="shared" si="0"/>
        <v>L63x63x5.0</v>
      </c>
      <c r="C35" s="115">
        <f t="shared" si="1"/>
        <v>63</v>
      </c>
      <c r="D35" s="115">
        <v>5</v>
      </c>
      <c r="E35" s="115">
        <v>7</v>
      </c>
      <c r="F35" s="120">
        <f t="shared" si="2"/>
        <v>6.6666666666666666E-2</v>
      </c>
      <c r="G35" s="121">
        <v>6.1429999999999998</v>
      </c>
      <c r="H35" s="122">
        <v>4.8220000000000001</v>
      </c>
      <c r="I35" s="123">
        <v>0.248</v>
      </c>
      <c r="J35" s="131" t="s">
        <v>684</v>
      </c>
      <c r="K35" s="119" t="str">
        <f t="shared" si="3"/>
        <v>L90x56x7.0</v>
      </c>
      <c r="L35" s="77">
        <v>90</v>
      </c>
      <c r="M35" s="77">
        <v>56</v>
      </c>
      <c r="N35" s="132">
        <v>7</v>
      </c>
      <c r="O35" s="77">
        <v>9</v>
      </c>
      <c r="P35" s="79">
        <v>9.8800000000000008</v>
      </c>
      <c r="Q35" s="132">
        <v>7.7560000000000002</v>
      </c>
      <c r="R35" s="133">
        <v>0.28599999999999998</v>
      </c>
    </row>
    <row r="36" spans="1:18" x14ac:dyDescent="0.3">
      <c r="A36" s="118">
        <v>6.3</v>
      </c>
      <c r="B36" s="119" t="str">
        <f t="shared" si="0"/>
        <v>L63x63x6.0</v>
      </c>
      <c r="C36" s="115">
        <f t="shared" si="1"/>
        <v>63</v>
      </c>
      <c r="D36" s="115">
        <v>6</v>
      </c>
      <c r="E36" s="115">
        <v>7</v>
      </c>
      <c r="F36" s="120">
        <f t="shared" si="2"/>
        <v>5.5555555555555552E-2</v>
      </c>
      <c r="G36" s="121">
        <v>7.2880000000000003</v>
      </c>
      <c r="H36" s="121">
        <v>5.7210000000000001</v>
      </c>
      <c r="I36" s="123">
        <v>0.247</v>
      </c>
      <c r="J36" s="131" t="s">
        <v>684</v>
      </c>
      <c r="K36" s="119" t="str">
        <f t="shared" si="3"/>
        <v>L90x56x8.0</v>
      </c>
      <c r="L36" s="77">
        <v>90</v>
      </c>
      <c r="M36" s="77">
        <v>56</v>
      </c>
      <c r="N36" s="132">
        <v>8</v>
      </c>
      <c r="O36" s="77">
        <v>9</v>
      </c>
      <c r="P36" s="79">
        <v>11.183</v>
      </c>
      <c r="Q36" s="132">
        <v>8.7789999999999999</v>
      </c>
      <c r="R36" s="133">
        <v>0.28599999999999998</v>
      </c>
    </row>
    <row r="37" spans="1:18" x14ac:dyDescent="0.3">
      <c r="A37" s="118">
        <v>6.3</v>
      </c>
      <c r="B37" s="119" t="str">
        <f t="shared" si="0"/>
        <v>L63x63x7.0</v>
      </c>
      <c r="C37" s="115">
        <f t="shared" si="1"/>
        <v>63</v>
      </c>
      <c r="D37" s="115">
        <v>7</v>
      </c>
      <c r="E37" s="115">
        <v>7</v>
      </c>
      <c r="F37" s="120">
        <f t="shared" si="2"/>
        <v>4.7619047619047616E-2</v>
      </c>
      <c r="G37" s="122">
        <v>8.4120000000000008</v>
      </c>
      <c r="H37" s="121">
        <v>6.6029999999999998</v>
      </c>
      <c r="I37" s="123">
        <v>0.247</v>
      </c>
      <c r="J37" s="131" t="s">
        <v>685</v>
      </c>
      <c r="K37" s="119" t="str">
        <f t="shared" si="3"/>
        <v>L100x63x6.0</v>
      </c>
      <c r="L37" s="77">
        <v>100</v>
      </c>
      <c r="M37" s="77">
        <v>63</v>
      </c>
      <c r="N37" s="132">
        <v>6</v>
      </c>
      <c r="O37" s="80">
        <v>10</v>
      </c>
      <c r="P37" s="79">
        <v>9.6170000000000009</v>
      </c>
      <c r="Q37" s="79">
        <v>7.55</v>
      </c>
      <c r="R37" s="134">
        <v>0.32</v>
      </c>
    </row>
    <row r="38" spans="1:18" x14ac:dyDescent="0.3">
      <c r="A38" s="118">
        <v>6.3</v>
      </c>
      <c r="B38" s="119" t="str">
        <f t="shared" si="0"/>
        <v>L63x63x8.0</v>
      </c>
      <c r="C38" s="115">
        <f t="shared" si="1"/>
        <v>63</v>
      </c>
      <c r="D38" s="115">
        <v>8</v>
      </c>
      <c r="E38" s="115">
        <v>7</v>
      </c>
      <c r="F38" s="120">
        <f t="shared" si="2"/>
        <v>4.1666666666666664E-2</v>
      </c>
      <c r="G38" s="121">
        <v>9.5150000000000006</v>
      </c>
      <c r="H38" s="121">
        <v>7.4690000000000003</v>
      </c>
      <c r="I38" s="124">
        <v>0.247</v>
      </c>
      <c r="J38" s="131" t="s">
        <v>685</v>
      </c>
      <c r="K38" s="119" t="str">
        <f t="shared" si="3"/>
        <v>L100x63x7.0</v>
      </c>
      <c r="L38" s="77">
        <v>100</v>
      </c>
      <c r="M38" s="77">
        <v>63</v>
      </c>
      <c r="N38" s="132">
        <v>7</v>
      </c>
      <c r="O38" s="80">
        <v>10</v>
      </c>
      <c r="P38" s="79">
        <v>11.111000000000001</v>
      </c>
      <c r="Q38" s="132">
        <v>8.7219999999999995</v>
      </c>
      <c r="R38" s="133">
        <v>0.32</v>
      </c>
    </row>
    <row r="39" spans="1:18" x14ac:dyDescent="0.3">
      <c r="A39" s="118">
        <v>6.3</v>
      </c>
      <c r="B39" s="119" t="str">
        <f t="shared" si="0"/>
        <v>L63x63x10.0</v>
      </c>
      <c r="C39" s="115">
        <f xml:space="preserve"> A39 * 10</f>
        <v>63</v>
      </c>
      <c r="D39" s="115">
        <v>10</v>
      </c>
      <c r="E39" s="115">
        <v>7</v>
      </c>
      <c r="F39" s="120">
        <f t="shared" si="2"/>
        <v>3.3333333333333333E-2</v>
      </c>
      <c r="G39" s="121">
        <v>11.657</v>
      </c>
      <c r="H39" s="122">
        <v>9.1509999999999998</v>
      </c>
      <c r="I39" s="123">
        <v>0.246</v>
      </c>
      <c r="J39" s="131" t="s">
        <v>685</v>
      </c>
      <c r="K39" s="119" t="str">
        <f t="shared" si="3"/>
        <v>L100x63x8.0</v>
      </c>
      <c r="L39" s="77">
        <v>100</v>
      </c>
      <c r="M39" s="77">
        <v>63</v>
      </c>
      <c r="N39" s="132">
        <v>8</v>
      </c>
      <c r="O39" s="80">
        <v>10</v>
      </c>
      <c r="P39" s="135">
        <v>12.534000000000001</v>
      </c>
      <c r="Q39" s="132">
        <v>9.8780000000000001</v>
      </c>
      <c r="R39" s="134">
        <v>0.31900000000000001</v>
      </c>
    </row>
    <row r="40" spans="1:18" x14ac:dyDescent="0.3">
      <c r="A40" s="118">
        <v>7</v>
      </c>
      <c r="B40" s="119" t="str">
        <f t="shared" si="0"/>
        <v>L70x70x4.0</v>
      </c>
      <c r="C40" s="115">
        <f xml:space="preserve"> A40 * 10</f>
        <v>70</v>
      </c>
      <c r="D40" s="115">
        <v>4</v>
      </c>
      <c r="E40" s="115">
        <v>8</v>
      </c>
      <c r="F40" s="120">
        <f t="shared" si="2"/>
        <v>8.3333333333333329E-2</v>
      </c>
      <c r="G40" s="126">
        <v>5.57</v>
      </c>
      <c r="H40" s="126">
        <v>4.3719999999999999</v>
      </c>
      <c r="I40" s="127">
        <v>0.27500000000000002</v>
      </c>
      <c r="J40" s="131" t="s">
        <v>685</v>
      </c>
      <c r="K40" s="119" t="str">
        <f t="shared" si="3"/>
        <v>L100x63x10.0</v>
      </c>
      <c r="L40" s="77">
        <v>100</v>
      </c>
      <c r="M40" s="77">
        <v>63</v>
      </c>
      <c r="N40" s="132">
        <v>10</v>
      </c>
      <c r="O40" s="80">
        <v>10</v>
      </c>
      <c r="P40" s="132">
        <v>15.467000000000001</v>
      </c>
      <c r="Q40" s="132">
        <v>12.141999999999999</v>
      </c>
      <c r="R40" s="133">
        <v>0.31900000000000001</v>
      </c>
    </row>
    <row r="41" spans="1:18" x14ac:dyDescent="0.3">
      <c r="A41" s="118">
        <v>7</v>
      </c>
      <c r="B41" s="119" t="str">
        <f t="shared" si="0"/>
        <v>L70x70x5.0</v>
      </c>
      <c r="C41" s="115">
        <f t="shared" ref="C41:C104" si="4" xml:space="preserve"> A41 * 10</f>
        <v>70</v>
      </c>
      <c r="D41" s="115">
        <v>5</v>
      </c>
      <c r="E41" s="115">
        <v>8</v>
      </c>
      <c r="F41" s="120">
        <f t="shared" si="2"/>
        <v>6.6666666666666666E-2</v>
      </c>
      <c r="G41" s="126">
        <v>6.875</v>
      </c>
      <c r="H41" s="128">
        <v>5.3970000000000002</v>
      </c>
      <c r="I41" s="127">
        <v>0.27500000000000002</v>
      </c>
      <c r="J41" s="131" t="s">
        <v>686</v>
      </c>
      <c r="K41" s="119" t="str">
        <f t="shared" si="3"/>
        <v>L100x80x6.0</v>
      </c>
      <c r="L41" s="77">
        <v>100</v>
      </c>
      <c r="M41" s="77">
        <v>80</v>
      </c>
      <c r="N41" s="132">
        <v>6</v>
      </c>
      <c r="O41" s="80">
        <v>10</v>
      </c>
      <c r="P41" s="132">
        <v>10.637</v>
      </c>
      <c r="Q41" s="79">
        <v>8.35</v>
      </c>
      <c r="R41" s="134">
        <v>0.35399999999999998</v>
      </c>
    </row>
    <row r="42" spans="1:18" x14ac:dyDescent="0.3">
      <c r="A42" s="118">
        <v>7</v>
      </c>
      <c r="B42" s="119" t="str">
        <f t="shared" si="0"/>
        <v>L70x70x6.0</v>
      </c>
      <c r="C42" s="115">
        <f t="shared" si="4"/>
        <v>70</v>
      </c>
      <c r="D42" s="115">
        <v>6</v>
      </c>
      <c r="E42" s="115">
        <v>8</v>
      </c>
      <c r="F42" s="120">
        <f t="shared" si="2"/>
        <v>5.5555555555555552E-2</v>
      </c>
      <c r="G42" s="126">
        <v>8.16</v>
      </c>
      <c r="H42" s="128">
        <v>6.4059999999999997</v>
      </c>
      <c r="I42" s="127">
        <v>0.27500000000000002</v>
      </c>
      <c r="J42" s="131" t="s">
        <v>686</v>
      </c>
      <c r="K42" s="119" t="str">
        <f t="shared" si="3"/>
        <v>L100x80x7.0</v>
      </c>
      <c r="L42" s="77">
        <v>100</v>
      </c>
      <c r="M42" s="77">
        <v>80</v>
      </c>
      <c r="N42" s="132">
        <v>7</v>
      </c>
      <c r="O42" s="80">
        <v>10</v>
      </c>
      <c r="P42" s="132">
        <v>12.301</v>
      </c>
      <c r="Q42" s="79">
        <v>9.6560000000000006</v>
      </c>
      <c r="R42" s="134">
        <v>0.35399999999999998</v>
      </c>
    </row>
    <row r="43" spans="1:18" x14ac:dyDescent="0.3">
      <c r="A43" s="118">
        <v>7</v>
      </c>
      <c r="B43" s="119" t="str">
        <f t="shared" si="0"/>
        <v>L70x70x7.0</v>
      </c>
      <c r="C43" s="115">
        <f t="shared" si="4"/>
        <v>70</v>
      </c>
      <c r="D43" s="115">
        <v>7</v>
      </c>
      <c r="E43" s="115">
        <v>8</v>
      </c>
      <c r="F43" s="120">
        <f t="shared" si="2"/>
        <v>4.7619047619047616E-2</v>
      </c>
      <c r="G43" s="128">
        <v>9.4239999999999995</v>
      </c>
      <c r="H43" s="128">
        <v>7.3979999999999997</v>
      </c>
      <c r="I43" s="127">
        <v>0.27500000000000002</v>
      </c>
      <c r="J43" s="131" t="s">
        <v>686</v>
      </c>
      <c r="K43" s="119" t="str">
        <f t="shared" si="3"/>
        <v>L100x80x8.0</v>
      </c>
      <c r="L43" s="77">
        <v>100</v>
      </c>
      <c r="M43" s="77">
        <v>80</v>
      </c>
      <c r="N43" s="132">
        <v>8</v>
      </c>
      <c r="O43" s="80">
        <v>10</v>
      </c>
      <c r="P43" s="132">
        <v>13.944000000000001</v>
      </c>
      <c r="Q43" s="132">
        <v>10.946</v>
      </c>
      <c r="R43" s="134">
        <v>0.35299999999999998</v>
      </c>
    </row>
    <row r="44" spans="1:18" x14ac:dyDescent="0.3">
      <c r="A44" s="118">
        <v>7</v>
      </c>
      <c r="B44" s="119" t="str">
        <f t="shared" si="0"/>
        <v>L70x70x8.0</v>
      </c>
      <c r="C44" s="115">
        <f t="shared" si="4"/>
        <v>70</v>
      </c>
      <c r="D44" s="115">
        <v>8</v>
      </c>
      <c r="E44" s="115">
        <v>8</v>
      </c>
      <c r="F44" s="120">
        <f t="shared" si="2"/>
        <v>4.1666666666666664E-2</v>
      </c>
      <c r="G44" s="126">
        <v>10.667</v>
      </c>
      <c r="H44" s="128">
        <v>8.3729999999999993</v>
      </c>
      <c r="I44" s="129">
        <v>0.27400000000000002</v>
      </c>
      <c r="J44" s="131" t="s">
        <v>686</v>
      </c>
      <c r="K44" s="119" t="str">
        <f t="shared" si="3"/>
        <v>L100x80x10.0</v>
      </c>
      <c r="L44" s="77">
        <v>100</v>
      </c>
      <c r="M44" s="77">
        <v>80</v>
      </c>
      <c r="N44" s="132">
        <v>10</v>
      </c>
      <c r="O44" s="80">
        <v>10</v>
      </c>
      <c r="P44" s="79">
        <v>17.167000000000002</v>
      </c>
      <c r="Q44" s="135">
        <v>13.476000000000001</v>
      </c>
      <c r="R44" s="134">
        <v>0.35299999999999998</v>
      </c>
    </row>
    <row r="45" spans="1:18" x14ac:dyDescent="0.3">
      <c r="A45" s="118">
        <v>7.5</v>
      </c>
      <c r="B45" s="119" t="str">
        <f t="shared" si="0"/>
        <v>L75x75x5.0</v>
      </c>
      <c r="C45" s="115">
        <f t="shared" si="4"/>
        <v>75</v>
      </c>
      <c r="D45" s="115">
        <v>5</v>
      </c>
      <c r="E45" s="115">
        <v>9</v>
      </c>
      <c r="F45" s="120">
        <f t="shared" si="2"/>
        <v>6.6666666666666666E-2</v>
      </c>
      <c r="G45" s="126">
        <v>7.4119999999999999</v>
      </c>
      <c r="H45" s="126">
        <v>5.8179999999999996</v>
      </c>
      <c r="I45" s="127">
        <v>0.29499999999999998</v>
      </c>
      <c r="J45" s="131" t="s">
        <v>687</v>
      </c>
      <c r="K45" s="119" t="str">
        <f t="shared" si="3"/>
        <v>L110x70x6.0</v>
      </c>
      <c r="L45" s="77">
        <v>110</v>
      </c>
      <c r="M45" s="77">
        <v>70</v>
      </c>
      <c r="N45" s="132">
        <v>6</v>
      </c>
      <c r="O45" s="77">
        <v>10</v>
      </c>
      <c r="P45" s="132">
        <v>10.637</v>
      </c>
      <c r="Q45" s="132">
        <v>8.35</v>
      </c>
      <c r="R45" s="134">
        <v>0.35399999999999998</v>
      </c>
    </row>
    <row r="46" spans="1:18" x14ac:dyDescent="0.3">
      <c r="A46" s="118">
        <v>7.5</v>
      </c>
      <c r="B46" s="119" t="str">
        <f t="shared" si="0"/>
        <v>L75x75x6.0</v>
      </c>
      <c r="C46" s="115">
        <f t="shared" si="4"/>
        <v>75</v>
      </c>
      <c r="D46" s="115">
        <v>6</v>
      </c>
      <c r="E46" s="115">
        <v>9</v>
      </c>
      <c r="F46" s="120">
        <f t="shared" si="2"/>
        <v>5.5555555555555552E-2</v>
      </c>
      <c r="G46" s="126">
        <v>8.7970000000000006</v>
      </c>
      <c r="H46" s="128">
        <v>6.9050000000000002</v>
      </c>
      <c r="I46" s="127">
        <v>0.29399999999999998</v>
      </c>
      <c r="J46" s="131" t="s">
        <v>687</v>
      </c>
      <c r="K46" s="119" t="str">
        <f t="shared" si="3"/>
        <v>L110x70x7.0</v>
      </c>
      <c r="L46" s="77">
        <v>110</v>
      </c>
      <c r="M46" s="77">
        <v>70</v>
      </c>
      <c r="N46" s="132">
        <v>7</v>
      </c>
      <c r="O46" s="77">
        <v>10</v>
      </c>
      <c r="P46" s="132">
        <v>12.301</v>
      </c>
      <c r="Q46" s="137">
        <v>9656</v>
      </c>
      <c r="R46" s="134">
        <v>0.35399999999999998</v>
      </c>
    </row>
    <row r="47" spans="1:18" x14ac:dyDescent="0.3">
      <c r="A47" s="118">
        <v>7.5</v>
      </c>
      <c r="B47" s="119" t="str">
        <f t="shared" si="0"/>
        <v>L75x75x7.0</v>
      </c>
      <c r="C47" s="115">
        <f t="shared" si="4"/>
        <v>75</v>
      </c>
      <c r="D47" s="115">
        <v>7</v>
      </c>
      <c r="E47" s="115">
        <v>9</v>
      </c>
      <c r="F47" s="120">
        <f t="shared" si="2"/>
        <v>4.7619047619047616E-2</v>
      </c>
      <c r="G47" s="128">
        <v>10.16</v>
      </c>
      <c r="H47" s="126">
        <v>7.976</v>
      </c>
      <c r="I47" s="129">
        <v>0.29399999999999998</v>
      </c>
      <c r="J47" s="131" t="s">
        <v>687</v>
      </c>
      <c r="K47" s="119" t="str">
        <f t="shared" si="3"/>
        <v>L110x70x8.0</v>
      </c>
      <c r="L47" s="77">
        <v>110</v>
      </c>
      <c r="M47" s="77">
        <v>70</v>
      </c>
      <c r="N47" s="132">
        <v>8</v>
      </c>
      <c r="O47" s="77">
        <v>10</v>
      </c>
      <c r="P47" s="132">
        <v>13.944000000000001</v>
      </c>
      <c r="Q47" s="79">
        <v>10.946</v>
      </c>
      <c r="R47" s="133">
        <v>0.35299999999999998</v>
      </c>
    </row>
    <row r="48" spans="1:18" x14ac:dyDescent="0.3">
      <c r="A48" s="118">
        <v>7.5</v>
      </c>
      <c r="B48" s="119" t="str">
        <f t="shared" si="0"/>
        <v>L75x75x8.0</v>
      </c>
      <c r="C48" s="115">
        <f t="shared" si="4"/>
        <v>75</v>
      </c>
      <c r="D48" s="115">
        <v>8</v>
      </c>
      <c r="E48" s="115">
        <v>9</v>
      </c>
      <c r="F48" s="120">
        <f t="shared" si="2"/>
        <v>4.1666666666666664E-2</v>
      </c>
      <c r="G48" s="126">
        <v>11.503</v>
      </c>
      <c r="H48" s="128">
        <v>9.0299999999999994</v>
      </c>
      <c r="I48" s="129">
        <v>0.29399999999999998</v>
      </c>
      <c r="J48" s="131" t="s">
        <v>687</v>
      </c>
      <c r="K48" s="119" t="str">
        <f t="shared" si="3"/>
        <v>L110x70x10.0</v>
      </c>
      <c r="L48" s="77">
        <v>110</v>
      </c>
      <c r="M48" s="77">
        <v>70</v>
      </c>
      <c r="N48" s="132">
        <v>10</v>
      </c>
      <c r="O48" s="77">
        <v>10</v>
      </c>
      <c r="P48" s="132">
        <v>17.167000000000002</v>
      </c>
      <c r="Q48" s="79">
        <v>13.476000000000001</v>
      </c>
      <c r="R48" s="134">
        <v>0.35299999999999998</v>
      </c>
    </row>
    <row r="49" spans="1:18" x14ac:dyDescent="0.3">
      <c r="A49" s="118">
        <v>7.5</v>
      </c>
      <c r="B49" s="119" t="str">
        <f t="shared" si="0"/>
        <v>L75x75x9.0</v>
      </c>
      <c r="C49" s="115">
        <f t="shared" si="4"/>
        <v>75</v>
      </c>
      <c r="D49" s="115">
        <v>9</v>
      </c>
      <c r="E49" s="115">
        <v>9</v>
      </c>
      <c r="F49" s="120">
        <f t="shared" si="2"/>
        <v>3.7037037037037035E-2</v>
      </c>
      <c r="G49" s="126">
        <v>12.824999999999999</v>
      </c>
      <c r="H49" s="128">
        <v>10.068</v>
      </c>
      <c r="I49" s="127">
        <v>0.29399999999999998</v>
      </c>
      <c r="J49" s="131" t="s">
        <v>688</v>
      </c>
      <c r="K49" s="119" t="str">
        <f t="shared" si="3"/>
        <v>L125x80x7.0</v>
      </c>
      <c r="L49" s="77">
        <v>125</v>
      </c>
      <c r="M49" s="77">
        <v>80</v>
      </c>
      <c r="N49" s="132">
        <v>7</v>
      </c>
      <c r="O49" s="77">
        <v>11</v>
      </c>
      <c r="P49" s="132">
        <v>14.096</v>
      </c>
      <c r="Q49" s="132">
        <v>11.066000000000001</v>
      </c>
      <c r="R49" s="133">
        <v>0.40300000000000002</v>
      </c>
    </row>
    <row r="50" spans="1:18" x14ac:dyDescent="0.3">
      <c r="A50" s="118">
        <v>7.5</v>
      </c>
      <c r="B50" s="119" t="str">
        <f t="shared" si="0"/>
        <v>L75x75x10.0</v>
      </c>
      <c r="C50" s="115">
        <f t="shared" si="4"/>
        <v>75</v>
      </c>
      <c r="D50" s="115">
        <v>10</v>
      </c>
      <c r="E50" s="115">
        <v>9</v>
      </c>
      <c r="F50" s="120">
        <f t="shared" si="2"/>
        <v>3.3333333333333333E-2</v>
      </c>
      <c r="G50" s="128">
        <v>14.125999999999999</v>
      </c>
      <c r="H50" s="128">
        <v>11.089</v>
      </c>
      <c r="I50" s="129" t="s">
        <v>656</v>
      </c>
      <c r="J50" s="131" t="s">
        <v>688</v>
      </c>
      <c r="K50" s="119" t="str">
        <f t="shared" si="3"/>
        <v>L125x80x8.0</v>
      </c>
      <c r="L50" s="77">
        <v>125</v>
      </c>
      <c r="M50" s="77">
        <v>80</v>
      </c>
      <c r="N50" s="132">
        <v>8</v>
      </c>
      <c r="O50" s="77">
        <v>11</v>
      </c>
      <c r="P50" s="132">
        <v>15.989000000000001</v>
      </c>
      <c r="Q50" s="79">
        <v>12.551</v>
      </c>
      <c r="R50" s="133">
        <v>0.40300000000000002</v>
      </c>
    </row>
    <row r="51" spans="1:18" x14ac:dyDescent="0.3">
      <c r="A51" s="118">
        <v>8</v>
      </c>
      <c r="B51" s="119" t="str">
        <f t="shared" si="0"/>
        <v>L80x80x5.0</v>
      </c>
      <c r="C51" s="115">
        <f t="shared" si="4"/>
        <v>80</v>
      </c>
      <c r="D51" s="115">
        <v>5</v>
      </c>
      <c r="E51" s="115">
        <v>9</v>
      </c>
      <c r="F51" s="120">
        <f t="shared" si="2"/>
        <v>6.6666666666666666E-2</v>
      </c>
      <c r="G51" s="128">
        <v>7.9119999999999999</v>
      </c>
      <c r="H51" s="126">
        <v>6.2110000000000003</v>
      </c>
      <c r="I51" s="129">
        <v>0.315</v>
      </c>
      <c r="J51" s="131" t="s">
        <v>688</v>
      </c>
      <c r="K51" s="119" t="str">
        <f t="shared" si="3"/>
        <v>L125x80x10.0</v>
      </c>
      <c r="L51" s="77">
        <v>125</v>
      </c>
      <c r="M51" s="77">
        <v>80</v>
      </c>
      <c r="N51" s="132">
        <v>10</v>
      </c>
      <c r="O51" s="77">
        <v>11</v>
      </c>
      <c r="P51" s="132">
        <v>19.712</v>
      </c>
      <c r="Q51" s="132">
        <v>15.474</v>
      </c>
      <c r="R51" s="134">
        <v>0.40200000000000002</v>
      </c>
    </row>
    <row r="52" spans="1:18" x14ac:dyDescent="0.3">
      <c r="A52" s="118">
        <v>8</v>
      </c>
      <c r="B52" s="119" t="str">
        <f t="shared" si="0"/>
        <v>L80x80x6.0</v>
      </c>
      <c r="C52" s="115">
        <f t="shared" si="4"/>
        <v>80</v>
      </c>
      <c r="D52" s="115">
        <v>6</v>
      </c>
      <c r="E52" s="115">
        <v>9</v>
      </c>
      <c r="F52" s="120">
        <f t="shared" si="2"/>
        <v>5.5555555555555552E-2</v>
      </c>
      <c r="G52" s="128">
        <v>9.3970000000000002</v>
      </c>
      <c r="H52" s="128">
        <v>7.3760000000000003</v>
      </c>
      <c r="I52" s="129">
        <v>0.314</v>
      </c>
      <c r="J52" s="131" t="s">
        <v>688</v>
      </c>
      <c r="K52" s="119" t="str">
        <f t="shared" si="3"/>
        <v>L125x80x12.0</v>
      </c>
      <c r="L52" s="77">
        <v>125</v>
      </c>
      <c r="M52" s="77">
        <v>80</v>
      </c>
      <c r="N52" s="132">
        <v>12</v>
      </c>
      <c r="O52" s="77">
        <v>11</v>
      </c>
      <c r="P52" s="132">
        <v>23.350999999999999</v>
      </c>
      <c r="Q52" s="79">
        <v>18.329999999999998</v>
      </c>
      <c r="R52" s="134">
        <v>0.40200000000000002</v>
      </c>
    </row>
    <row r="53" spans="1:18" x14ac:dyDescent="0.3">
      <c r="A53" s="118">
        <v>8</v>
      </c>
      <c r="B53" s="119" t="str">
        <f t="shared" si="0"/>
        <v>L80x80x7.0</v>
      </c>
      <c r="C53" s="115">
        <f t="shared" si="4"/>
        <v>80</v>
      </c>
      <c r="D53" s="115">
        <v>7</v>
      </c>
      <c r="E53" s="115">
        <v>9</v>
      </c>
      <c r="F53" s="120">
        <f t="shared" si="2"/>
        <v>4.7619047619047616E-2</v>
      </c>
      <c r="G53" s="128">
        <v>10.86</v>
      </c>
      <c r="H53" s="126">
        <v>8.5250000000000004</v>
      </c>
      <c r="I53" s="129">
        <v>0.314</v>
      </c>
      <c r="J53" s="131" t="s">
        <v>689</v>
      </c>
      <c r="K53" s="119" t="str">
        <f t="shared" si="3"/>
        <v>L140x90x8.0</v>
      </c>
      <c r="L53" s="80">
        <v>140</v>
      </c>
      <c r="M53" s="77">
        <v>90</v>
      </c>
      <c r="N53" s="132">
        <v>8</v>
      </c>
      <c r="O53" s="77">
        <v>12</v>
      </c>
      <c r="P53" s="79">
        <v>18.038</v>
      </c>
      <c r="Q53" s="79">
        <v>14.16</v>
      </c>
      <c r="R53" s="133">
        <v>0.45300000000000001</v>
      </c>
    </row>
    <row r="54" spans="1:18" x14ac:dyDescent="0.3">
      <c r="A54" s="118">
        <v>8</v>
      </c>
      <c r="B54" s="119" t="str">
        <f t="shared" si="0"/>
        <v>L80x80x8.0</v>
      </c>
      <c r="C54" s="115">
        <f t="shared" si="4"/>
        <v>80</v>
      </c>
      <c r="D54" s="115">
        <v>8</v>
      </c>
      <c r="E54" s="115">
        <v>9</v>
      </c>
      <c r="F54" s="120">
        <f t="shared" si="2"/>
        <v>4.1666666666666664E-2</v>
      </c>
      <c r="G54" s="128">
        <v>12.303000000000001</v>
      </c>
      <c r="H54" s="128">
        <v>9.6579999999999995</v>
      </c>
      <c r="I54" s="129">
        <v>0.314</v>
      </c>
      <c r="J54" s="131" t="s">
        <v>689</v>
      </c>
      <c r="K54" s="119" t="str">
        <f t="shared" si="3"/>
        <v>L140x90x10.0</v>
      </c>
      <c r="L54" s="80">
        <v>140</v>
      </c>
      <c r="M54" s="77">
        <v>90</v>
      </c>
      <c r="N54" s="132">
        <v>10</v>
      </c>
      <c r="O54" s="77">
        <v>12</v>
      </c>
      <c r="P54" s="79">
        <v>22.260999999999999</v>
      </c>
      <c r="Q54" s="79">
        <v>17.475000000000001</v>
      </c>
      <c r="R54" s="133">
        <v>0.45200000000000001</v>
      </c>
    </row>
    <row r="55" spans="1:18" x14ac:dyDescent="0.3">
      <c r="A55" s="118">
        <v>8</v>
      </c>
      <c r="B55" s="119" t="str">
        <f t="shared" si="0"/>
        <v>L80x80x9.0</v>
      </c>
      <c r="C55" s="115">
        <f t="shared" si="4"/>
        <v>80</v>
      </c>
      <c r="D55" s="115">
        <v>9</v>
      </c>
      <c r="E55" s="115">
        <v>9</v>
      </c>
      <c r="F55" s="120">
        <f t="shared" si="2"/>
        <v>3.7037037037037035E-2</v>
      </c>
      <c r="G55" s="128">
        <v>13.725</v>
      </c>
      <c r="H55" s="126">
        <v>10.773999999999999</v>
      </c>
      <c r="I55" s="129">
        <v>0.314</v>
      </c>
      <c r="J55" s="131" t="s">
        <v>689</v>
      </c>
      <c r="K55" s="119" t="str">
        <f t="shared" si="3"/>
        <v>L140x90x12.0</v>
      </c>
      <c r="L55" s="80">
        <v>140</v>
      </c>
      <c r="M55" s="77">
        <v>90</v>
      </c>
      <c r="N55" s="132">
        <v>12</v>
      </c>
      <c r="O55" s="77">
        <v>12</v>
      </c>
      <c r="P55" s="79">
        <v>26.4</v>
      </c>
      <c r="Q55" s="79">
        <v>20.724</v>
      </c>
      <c r="R55" s="134">
        <v>0.45100000000000001</v>
      </c>
    </row>
    <row r="56" spans="1:18" x14ac:dyDescent="0.3">
      <c r="A56" s="118">
        <v>8</v>
      </c>
      <c r="B56" s="119" t="str">
        <f t="shared" si="0"/>
        <v>L80x80x10.0</v>
      </c>
      <c r="C56" s="115">
        <f t="shared" si="4"/>
        <v>80</v>
      </c>
      <c r="D56" s="115">
        <v>10</v>
      </c>
      <c r="E56" s="115">
        <v>9</v>
      </c>
      <c r="F56" s="120">
        <f t="shared" si="2"/>
        <v>3.3333333333333333E-2</v>
      </c>
      <c r="G56" s="126">
        <v>15.125999999999999</v>
      </c>
      <c r="H56" s="126">
        <v>11.874000000000001</v>
      </c>
      <c r="I56" s="129">
        <v>0.313</v>
      </c>
      <c r="J56" s="131" t="s">
        <v>689</v>
      </c>
      <c r="K56" s="119" t="str">
        <f t="shared" si="3"/>
        <v>L140x90x14.0</v>
      </c>
      <c r="L56" s="80">
        <v>140</v>
      </c>
      <c r="M56" s="77">
        <v>90</v>
      </c>
      <c r="N56" s="132">
        <v>14</v>
      </c>
      <c r="O56" s="77">
        <v>12</v>
      </c>
      <c r="P56" s="137">
        <v>30456</v>
      </c>
      <c r="Q56" s="132">
        <v>23.908000000000001</v>
      </c>
      <c r="R56" s="134">
        <v>0.45100000000000001</v>
      </c>
    </row>
    <row r="57" spans="1:18" x14ac:dyDescent="0.3">
      <c r="A57" s="118">
        <v>9</v>
      </c>
      <c r="B57" s="119" t="str">
        <f t="shared" si="0"/>
        <v>L90x90x6.0</v>
      </c>
      <c r="C57" s="115">
        <f t="shared" si="4"/>
        <v>90</v>
      </c>
      <c r="D57" s="115">
        <v>6</v>
      </c>
      <c r="E57" s="115">
        <v>10</v>
      </c>
      <c r="F57" s="120">
        <f t="shared" si="2"/>
        <v>5.5555555555555552E-2</v>
      </c>
      <c r="G57" s="126">
        <v>10.637</v>
      </c>
      <c r="H57" s="126">
        <v>8.35</v>
      </c>
      <c r="I57" s="129">
        <v>0.35399999999999998</v>
      </c>
      <c r="J57" s="131" t="s">
        <v>690</v>
      </c>
      <c r="K57" s="119" t="str">
        <f t="shared" si="3"/>
        <v>L150x90x8.0</v>
      </c>
      <c r="L57" s="77">
        <v>150</v>
      </c>
      <c r="M57" s="77">
        <v>90</v>
      </c>
      <c r="N57" s="132">
        <v>8</v>
      </c>
      <c r="O57" s="77">
        <v>12</v>
      </c>
      <c r="P57" s="135">
        <v>18.838999999999999</v>
      </c>
      <c r="Q57" s="132">
        <v>14.788</v>
      </c>
      <c r="R57" s="134">
        <v>0.47299999999999998</v>
      </c>
    </row>
    <row r="58" spans="1:18" x14ac:dyDescent="0.3">
      <c r="A58" s="118">
        <v>9</v>
      </c>
      <c r="B58" s="119" t="str">
        <f t="shared" si="0"/>
        <v>L90x90x7.0</v>
      </c>
      <c r="C58" s="115">
        <f t="shared" si="4"/>
        <v>90</v>
      </c>
      <c r="D58" s="115">
        <v>7</v>
      </c>
      <c r="E58" s="115">
        <v>10</v>
      </c>
      <c r="F58" s="120">
        <f t="shared" si="2"/>
        <v>4.7619047619047616E-2</v>
      </c>
      <c r="G58" s="126">
        <v>12.301</v>
      </c>
      <c r="H58" s="128">
        <v>9.6560000000000006</v>
      </c>
      <c r="I58" s="127">
        <v>0.35399999999999998</v>
      </c>
      <c r="J58" s="131" t="s">
        <v>690</v>
      </c>
      <c r="K58" s="119" t="str">
        <f t="shared" si="3"/>
        <v>L150x90x10.0</v>
      </c>
      <c r="L58" s="77">
        <v>150</v>
      </c>
      <c r="M58" s="77">
        <v>90</v>
      </c>
      <c r="N58" s="132">
        <v>10</v>
      </c>
      <c r="O58" s="77">
        <v>12</v>
      </c>
      <c r="P58" s="79">
        <v>23.260999999999999</v>
      </c>
      <c r="Q58" s="132">
        <v>18.260000000000002</v>
      </c>
      <c r="R58" s="133">
        <v>0.47199999999999998</v>
      </c>
    </row>
    <row r="59" spans="1:18" x14ac:dyDescent="0.3">
      <c r="A59" s="118">
        <v>9</v>
      </c>
      <c r="B59" s="119" t="str">
        <f t="shared" si="0"/>
        <v>L90x90x8.0</v>
      </c>
      <c r="C59" s="115">
        <f t="shared" si="4"/>
        <v>90</v>
      </c>
      <c r="D59" s="115">
        <v>8</v>
      </c>
      <c r="E59" s="115">
        <v>10</v>
      </c>
      <c r="F59" s="120">
        <f t="shared" si="2"/>
        <v>4.1666666666666664E-2</v>
      </c>
      <c r="G59" s="128">
        <v>13.944000000000001</v>
      </c>
      <c r="H59" s="126">
        <v>10.946</v>
      </c>
      <c r="I59" s="127">
        <v>0.35299999999999998</v>
      </c>
      <c r="J59" s="131" t="s">
        <v>690</v>
      </c>
      <c r="K59" s="119" t="str">
        <f t="shared" si="3"/>
        <v>L150x90x12.0</v>
      </c>
      <c r="L59" s="77">
        <v>150</v>
      </c>
      <c r="M59" s="77">
        <v>90</v>
      </c>
      <c r="N59" s="132">
        <v>12</v>
      </c>
      <c r="O59" s="77">
        <v>12</v>
      </c>
      <c r="P59" s="79">
        <v>27.6</v>
      </c>
      <c r="Q59" s="132">
        <v>21.666</v>
      </c>
      <c r="R59" s="134">
        <v>0.47099999999999997</v>
      </c>
    </row>
    <row r="60" spans="1:18" x14ac:dyDescent="0.3">
      <c r="A60" s="118">
        <v>9</v>
      </c>
      <c r="B60" s="119" t="str">
        <f t="shared" si="0"/>
        <v>L90x90x9.0</v>
      </c>
      <c r="C60" s="115">
        <f t="shared" si="4"/>
        <v>90</v>
      </c>
      <c r="D60" s="115">
        <v>9</v>
      </c>
      <c r="E60" s="115">
        <v>10</v>
      </c>
      <c r="F60" s="120">
        <f t="shared" si="2"/>
        <v>3.7037037037037035E-2</v>
      </c>
      <c r="G60" s="126">
        <v>15.566000000000001</v>
      </c>
      <c r="H60" s="126">
        <v>12.218999999999999</v>
      </c>
      <c r="I60" s="127">
        <v>0.35299999999999998</v>
      </c>
      <c r="J60" s="131" t="s">
        <v>690</v>
      </c>
      <c r="K60" s="119" t="str">
        <f t="shared" si="3"/>
        <v>L150x90x14.0</v>
      </c>
      <c r="L60" s="77">
        <v>150</v>
      </c>
      <c r="M60" s="77">
        <v>90</v>
      </c>
      <c r="N60" s="132">
        <v>14</v>
      </c>
      <c r="O60" s="77">
        <v>12</v>
      </c>
      <c r="P60" s="79">
        <v>31.856000000000002</v>
      </c>
      <c r="Q60" s="79">
        <v>25.007000000000001</v>
      </c>
      <c r="R60" s="134">
        <v>0.47099999999999997</v>
      </c>
    </row>
    <row r="61" spans="1:18" x14ac:dyDescent="0.3">
      <c r="A61" s="118">
        <v>9</v>
      </c>
      <c r="B61" s="119" t="str">
        <f t="shared" si="0"/>
        <v>L90x90x10.0</v>
      </c>
      <c r="C61" s="115">
        <f t="shared" si="4"/>
        <v>90</v>
      </c>
      <c r="D61" s="115">
        <v>10</v>
      </c>
      <c r="E61" s="115">
        <v>10</v>
      </c>
      <c r="F61" s="120">
        <f t="shared" si="2"/>
        <v>3.3333333333333333E-2</v>
      </c>
      <c r="G61" s="126">
        <v>17.167000000000002</v>
      </c>
      <c r="H61" s="126">
        <v>13.476000000000001</v>
      </c>
      <c r="I61" s="127">
        <v>0.35299999999999998</v>
      </c>
      <c r="J61" s="131" t="s">
        <v>690</v>
      </c>
      <c r="K61" s="119" t="str">
        <f t="shared" si="3"/>
        <v>L150x90x15.0</v>
      </c>
      <c r="L61" s="77">
        <v>150</v>
      </c>
      <c r="M61" s="77">
        <v>90</v>
      </c>
      <c r="N61" s="132">
        <v>15</v>
      </c>
      <c r="O61" s="77">
        <v>12</v>
      </c>
      <c r="P61" s="132">
        <v>33.951999999999998</v>
      </c>
      <c r="Q61" s="79">
        <v>26.652000000000001</v>
      </c>
      <c r="R61" s="133">
        <v>0.47099999999999997</v>
      </c>
    </row>
    <row r="62" spans="1:18" x14ac:dyDescent="0.3">
      <c r="A62" s="118">
        <v>9</v>
      </c>
      <c r="B62" s="119" t="str">
        <f t="shared" si="0"/>
        <v>L90x90x12.0</v>
      </c>
      <c r="C62" s="115">
        <f t="shared" si="4"/>
        <v>90</v>
      </c>
      <c r="D62" s="115">
        <v>12</v>
      </c>
      <c r="E62" s="115">
        <v>10</v>
      </c>
      <c r="F62" s="120">
        <f t="shared" si="2"/>
        <v>2.7777777777777776E-2</v>
      </c>
      <c r="G62" s="126">
        <v>20.306000000000001</v>
      </c>
      <c r="H62" s="126">
        <v>15.94</v>
      </c>
      <c r="I62" s="127">
        <v>0.35199999999999998</v>
      </c>
      <c r="J62" s="131" t="s">
        <v>690</v>
      </c>
      <c r="K62" s="119" t="str">
        <f t="shared" si="3"/>
        <v>L150x90x16.0</v>
      </c>
      <c r="L62" s="77">
        <v>150</v>
      </c>
      <c r="M62" s="77">
        <v>90</v>
      </c>
      <c r="N62" s="132">
        <v>16</v>
      </c>
      <c r="O62" s="77">
        <v>12</v>
      </c>
      <c r="P62" s="79">
        <v>36.027000000000001</v>
      </c>
      <c r="Q62" s="132">
        <v>28.280999999999999</v>
      </c>
      <c r="R62" s="133">
        <v>0.47</v>
      </c>
    </row>
    <row r="63" spans="1:18" x14ac:dyDescent="0.3">
      <c r="A63" s="118">
        <v>10</v>
      </c>
      <c r="B63" s="119" t="str">
        <f t="shared" si="0"/>
        <v>L100x100x6.0</v>
      </c>
      <c r="C63" s="115">
        <f t="shared" si="4"/>
        <v>100</v>
      </c>
      <c r="D63" s="115">
        <v>6</v>
      </c>
      <c r="E63" s="115">
        <v>12</v>
      </c>
      <c r="F63" s="120">
        <f t="shared" si="2"/>
        <v>5.5555555555555552E-2</v>
      </c>
      <c r="G63" s="128">
        <v>11.932</v>
      </c>
      <c r="H63" s="126">
        <v>9.3659999999999997</v>
      </c>
      <c r="I63" s="127">
        <v>0.39300000000000002</v>
      </c>
      <c r="J63" s="138" t="s">
        <v>691</v>
      </c>
      <c r="K63" s="119" t="str">
        <f t="shared" si="3"/>
        <v>L160x100x10.0</v>
      </c>
      <c r="L63" s="80">
        <v>160</v>
      </c>
      <c r="M63" s="132">
        <v>100</v>
      </c>
      <c r="N63" s="132">
        <v>10</v>
      </c>
      <c r="O63" s="77">
        <v>13</v>
      </c>
      <c r="P63" s="132">
        <v>25.315000000000001</v>
      </c>
      <c r="Q63" s="79">
        <v>19.872</v>
      </c>
      <c r="R63" s="133">
        <v>0.51200000000000001</v>
      </c>
    </row>
    <row r="64" spans="1:18" x14ac:dyDescent="0.3">
      <c r="A64" s="118">
        <v>10</v>
      </c>
      <c r="B64" s="119" t="str">
        <f t="shared" si="0"/>
        <v>L100x100x7.0</v>
      </c>
      <c r="C64" s="115">
        <f t="shared" si="4"/>
        <v>100</v>
      </c>
      <c r="D64" s="115">
        <v>7</v>
      </c>
      <c r="E64" s="115">
        <v>12</v>
      </c>
      <c r="F64" s="120">
        <f t="shared" si="2"/>
        <v>4.7619047619047616E-2</v>
      </c>
      <c r="G64" s="128">
        <v>13.795999999999999</v>
      </c>
      <c r="H64" s="128">
        <v>10.83</v>
      </c>
      <c r="I64" s="127">
        <v>0.39300000000000002</v>
      </c>
      <c r="J64" s="138" t="s">
        <v>691</v>
      </c>
      <c r="K64" s="119" t="str">
        <f t="shared" si="3"/>
        <v>L160x100x12.0</v>
      </c>
      <c r="L64" s="80">
        <v>160</v>
      </c>
      <c r="M64" s="132">
        <v>100</v>
      </c>
      <c r="N64" s="132">
        <v>12</v>
      </c>
      <c r="O64" s="77">
        <v>13</v>
      </c>
      <c r="P64" s="137">
        <v>30054</v>
      </c>
      <c r="Q64" s="79">
        <v>23.591999999999999</v>
      </c>
      <c r="R64" s="133">
        <v>0.51100000000000001</v>
      </c>
    </row>
    <row r="65" spans="1:18" x14ac:dyDescent="0.3">
      <c r="A65" s="118">
        <v>10</v>
      </c>
      <c r="B65" s="119" t="str">
        <f t="shared" si="0"/>
        <v>L100x100x8.0</v>
      </c>
      <c r="C65" s="115">
        <f t="shared" si="4"/>
        <v>100</v>
      </c>
      <c r="D65" s="115">
        <v>8</v>
      </c>
      <c r="E65" s="115">
        <v>12</v>
      </c>
      <c r="F65" s="120">
        <f t="shared" si="2"/>
        <v>4.1666666666666664E-2</v>
      </c>
      <c r="G65" s="128">
        <v>15.638</v>
      </c>
      <c r="H65" s="128">
        <v>12.276</v>
      </c>
      <c r="I65" s="127">
        <v>0.39300000000000002</v>
      </c>
      <c r="J65" s="138" t="s">
        <v>691</v>
      </c>
      <c r="K65" s="119" t="str">
        <f t="shared" si="3"/>
        <v>L160x100x14.0</v>
      </c>
      <c r="L65" s="80">
        <v>160</v>
      </c>
      <c r="M65" s="132">
        <v>100</v>
      </c>
      <c r="N65" s="132">
        <v>14</v>
      </c>
      <c r="O65" s="77">
        <v>13</v>
      </c>
      <c r="P65" s="79">
        <v>34.709000000000003</v>
      </c>
      <c r="Q65" s="132">
        <v>27.247</v>
      </c>
      <c r="R65" s="133">
        <v>0.51</v>
      </c>
    </row>
    <row r="66" spans="1:18" x14ac:dyDescent="0.3">
      <c r="A66" s="118">
        <v>10</v>
      </c>
      <c r="B66" s="119" t="str">
        <f t="shared" si="0"/>
        <v>L100x100x9.0</v>
      </c>
      <c r="C66" s="115">
        <f t="shared" si="4"/>
        <v>100</v>
      </c>
      <c r="D66" s="115">
        <v>9</v>
      </c>
      <c r="E66" s="115">
        <v>12</v>
      </c>
      <c r="F66" s="120">
        <f t="shared" si="2"/>
        <v>3.7037037037037035E-2</v>
      </c>
      <c r="G66" s="126">
        <v>17.462</v>
      </c>
      <c r="H66" s="126">
        <v>13.708</v>
      </c>
      <c r="I66" s="129">
        <v>0.39200000000000002</v>
      </c>
      <c r="J66" s="138" t="s">
        <v>691</v>
      </c>
      <c r="K66" s="119" t="str">
        <f t="shared" si="3"/>
        <v>L160x100x16.0</v>
      </c>
      <c r="L66" s="80">
        <v>160</v>
      </c>
      <c r="M66" s="132">
        <v>100</v>
      </c>
      <c r="N66" s="132">
        <v>16</v>
      </c>
      <c r="O66" s="77">
        <v>13</v>
      </c>
      <c r="P66" s="79">
        <v>29.280999999999999</v>
      </c>
      <c r="Q66" s="79">
        <v>30.835000000000001</v>
      </c>
      <c r="R66" s="134">
        <v>0.51</v>
      </c>
    </row>
    <row r="67" spans="1:18" x14ac:dyDescent="0.3">
      <c r="A67" s="118">
        <v>10</v>
      </c>
      <c r="B67" s="119" t="str">
        <f t="shared" si="0"/>
        <v>L100x100x10.0</v>
      </c>
      <c r="C67" s="115">
        <f t="shared" si="4"/>
        <v>100</v>
      </c>
      <c r="D67" s="115">
        <v>10</v>
      </c>
      <c r="E67" s="115">
        <v>12</v>
      </c>
      <c r="F67" s="120">
        <f t="shared" si="2"/>
        <v>3.3333333333333333E-2</v>
      </c>
      <c r="G67" s="126">
        <v>19.260999999999999</v>
      </c>
      <c r="H67" s="126">
        <v>15.12</v>
      </c>
      <c r="I67" s="129">
        <v>0.39200000000000002</v>
      </c>
      <c r="J67" s="138" t="s">
        <v>692</v>
      </c>
      <c r="K67" s="119" t="str">
        <f t="shared" si="3"/>
        <v>L180x110x10.0</v>
      </c>
      <c r="L67" s="80">
        <v>180</v>
      </c>
      <c r="M67" s="132">
        <v>110</v>
      </c>
      <c r="N67" s="132">
        <v>10</v>
      </c>
      <c r="O67" s="80">
        <v>14</v>
      </c>
      <c r="P67" s="79">
        <v>28.373000000000001</v>
      </c>
      <c r="Q67" s="79">
        <v>22.273</v>
      </c>
      <c r="R67" s="134">
        <v>0.57099999999999995</v>
      </c>
    </row>
    <row r="68" spans="1:18" x14ac:dyDescent="0.3">
      <c r="A68" s="118">
        <v>10</v>
      </c>
      <c r="B68" s="119" t="str">
        <f t="shared" si="0"/>
        <v>L100x100x12.0</v>
      </c>
      <c r="C68" s="115">
        <f t="shared" si="4"/>
        <v>100</v>
      </c>
      <c r="D68" s="115">
        <v>12</v>
      </c>
      <c r="E68" s="115">
        <v>12</v>
      </c>
      <c r="F68" s="120">
        <f t="shared" si="2"/>
        <v>2.7777777777777776E-2</v>
      </c>
      <c r="G68" s="128">
        <v>22.8</v>
      </c>
      <c r="H68" s="128">
        <v>17.898</v>
      </c>
      <c r="I68" s="129">
        <v>0.39100000000000001</v>
      </c>
      <c r="J68" s="138" t="s">
        <v>692</v>
      </c>
      <c r="K68" s="119" t="str">
        <f t="shared" si="3"/>
        <v>L180x110x12.0</v>
      </c>
      <c r="L68" s="80">
        <v>180</v>
      </c>
      <c r="M68" s="132">
        <v>110</v>
      </c>
      <c r="N68" s="132">
        <v>12</v>
      </c>
      <c r="O68" s="80">
        <v>14</v>
      </c>
      <c r="P68" s="79">
        <v>33.712000000000003</v>
      </c>
      <c r="Q68" s="132">
        <v>26.44</v>
      </c>
      <c r="R68" s="134">
        <v>0.57099999999999995</v>
      </c>
    </row>
    <row r="69" spans="1:18" x14ac:dyDescent="0.3">
      <c r="A69" s="118">
        <v>10</v>
      </c>
      <c r="B69" s="119" t="str">
        <f t="shared" ref="B69:B117" si="5" xml:space="preserve"> "L" &amp; C69 &amp; "x" &amp; C69 &amp; "x" &amp; TEXT(D69, "0.0")</f>
        <v>L100x100x14.0</v>
      </c>
      <c r="C69" s="115">
        <f t="shared" si="4"/>
        <v>100</v>
      </c>
      <c r="D69" s="115">
        <v>14</v>
      </c>
      <c r="E69" s="115">
        <v>12</v>
      </c>
      <c r="F69" s="120">
        <f t="shared" ref="F69:F117" si="6" xml:space="preserve"> 1 / 3 / D69</f>
        <v>2.3809523809523808E-2</v>
      </c>
      <c r="G69" s="128">
        <v>26.256</v>
      </c>
      <c r="H69" s="126">
        <v>20.611000000000001</v>
      </c>
      <c r="I69" s="127">
        <v>0.39100000000000001</v>
      </c>
      <c r="J69" s="138" t="s">
        <v>692</v>
      </c>
      <c r="K69" s="119" t="str">
        <f t="shared" ref="K69:K74" si="7" xml:space="preserve"> "L" &amp; L69 &amp; "x" &amp; M69 &amp; "x" &amp; TEXT(N69, "0.0")</f>
        <v>L180x110x14.0</v>
      </c>
      <c r="L69" s="80">
        <v>180</v>
      </c>
      <c r="M69" s="132">
        <v>110</v>
      </c>
      <c r="N69" s="132">
        <v>14</v>
      </c>
      <c r="O69" s="80">
        <v>14</v>
      </c>
      <c r="P69" s="132">
        <v>38.966999999999999</v>
      </c>
      <c r="Q69" s="79">
        <v>30.588999999999999</v>
      </c>
      <c r="R69" s="133">
        <v>0.56999999999999995</v>
      </c>
    </row>
    <row r="70" spans="1:18" x14ac:dyDescent="0.3">
      <c r="A70" s="118">
        <v>10</v>
      </c>
      <c r="B70" s="119" t="str">
        <f t="shared" si="5"/>
        <v>L100x100x16.0</v>
      </c>
      <c r="C70" s="115">
        <f t="shared" si="4"/>
        <v>100</v>
      </c>
      <c r="D70" s="115">
        <v>16</v>
      </c>
      <c r="E70" s="115">
        <v>12</v>
      </c>
      <c r="F70" s="120">
        <f t="shared" si="6"/>
        <v>2.0833333333333332E-2</v>
      </c>
      <c r="G70" s="126">
        <v>29.626999999999999</v>
      </c>
      <c r="H70" s="126">
        <v>23.257000000000001</v>
      </c>
      <c r="I70" s="127">
        <v>0.39</v>
      </c>
      <c r="J70" s="138" t="s">
        <v>692</v>
      </c>
      <c r="K70" s="119" t="str">
        <f t="shared" si="7"/>
        <v>L180x110x16.0</v>
      </c>
      <c r="L70" s="80">
        <v>180</v>
      </c>
      <c r="M70" s="132">
        <v>110</v>
      </c>
      <c r="N70" s="132">
        <v>16</v>
      </c>
      <c r="O70" s="80">
        <v>14</v>
      </c>
      <c r="P70" s="81">
        <v>44.139000000000003</v>
      </c>
      <c r="Q70" s="81">
        <v>34.649000000000001</v>
      </c>
      <c r="R70" s="133">
        <v>0.56899999999999995</v>
      </c>
    </row>
    <row r="71" spans="1:18" x14ac:dyDescent="0.3">
      <c r="A71" s="118">
        <v>11</v>
      </c>
      <c r="B71" s="119" t="str">
        <f t="shared" si="5"/>
        <v>L110x110x7.0</v>
      </c>
      <c r="C71" s="115">
        <f t="shared" si="4"/>
        <v>110</v>
      </c>
      <c r="D71" s="115">
        <v>7</v>
      </c>
      <c r="E71" s="115">
        <v>12</v>
      </c>
      <c r="F71" s="120">
        <f t="shared" si="6"/>
        <v>4.7619047619047616E-2</v>
      </c>
      <c r="G71" s="122">
        <v>15.196</v>
      </c>
      <c r="H71" s="122">
        <v>11.928000000000001</v>
      </c>
      <c r="I71" s="123">
        <v>0.433</v>
      </c>
      <c r="J71" s="131" t="s">
        <v>693</v>
      </c>
      <c r="K71" s="119" t="str">
        <f t="shared" si="7"/>
        <v>L200x125x12.0</v>
      </c>
      <c r="L71" s="77">
        <v>200</v>
      </c>
      <c r="M71" s="77">
        <v>125</v>
      </c>
      <c r="N71" s="132">
        <v>12</v>
      </c>
      <c r="O71" s="80">
        <v>14</v>
      </c>
      <c r="P71" s="79">
        <v>37.911999999999999</v>
      </c>
      <c r="Q71" s="79">
        <v>29.760999999999999</v>
      </c>
      <c r="R71" s="133">
        <v>0.64100000000000001</v>
      </c>
    </row>
    <row r="72" spans="1:18" x14ac:dyDescent="0.3">
      <c r="A72" s="118">
        <v>11</v>
      </c>
      <c r="B72" s="119" t="str">
        <f t="shared" si="5"/>
        <v>L110x110x8.0</v>
      </c>
      <c r="C72" s="115">
        <f t="shared" si="4"/>
        <v>110</v>
      </c>
      <c r="D72" s="115">
        <v>8</v>
      </c>
      <c r="E72" s="115">
        <v>12</v>
      </c>
      <c r="F72" s="120">
        <f t="shared" si="6"/>
        <v>4.1666666666666664E-2</v>
      </c>
      <c r="G72" s="128">
        <v>17.238</v>
      </c>
      <c r="H72" s="128">
        <v>13.535</v>
      </c>
      <c r="I72" s="129">
        <v>0.433</v>
      </c>
      <c r="J72" s="131" t="s">
        <v>693</v>
      </c>
      <c r="K72" s="119" t="str">
        <f t="shared" si="7"/>
        <v>L200x125x14.0</v>
      </c>
      <c r="L72" s="77">
        <v>200</v>
      </c>
      <c r="M72" s="77">
        <v>125</v>
      </c>
      <c r="N72" s="132">
        <v>14</v>
      </c>
      <c r="O72" s="80">
        <v>14</v>
      </c>
      <c r="P72" s="79">
        <v>43.686999999999998</v>
      </c>
      <c r="Q72" s="81">
        <v>34.436</v>
      </c>
      <c r="R72" s="133">
        <v>0.64</v>
      </c>
    </row>
    <row r="73" spans="1:18" x14ac:dyDescent="0.3">
      <c r="A73" s="118">
        <v>11</v>
      </c>
      <c r="B73" s="119" t="str">
        <f t="shared" si="5"/>
        <v>L110x110x10.0</v>
      </c>
      <c r="C73" s="115">
        <f t="shared" si="4"/>
        <v>110</v>
      </c>
      <c r="D73" s="115">
        <v>10</v>
      </c>
      <c r="E73" s="115">
        <v>12</v>
      </c>
      <c r="F73" s="120">
        <f t="shared" si="6"/>
        <v>3.3333333333333333E-2</v>
      </c>
      <c r="G73" s="121">
        <v>21.260999999999999</v>
      </c>
      <c r="H73" s="122">
        <v>16.690000000000001</v>
      </c>
      <c r="I73" s="123">
        <v>0.432</v>
      </c>
      <c r="J73" s="131" t="s">
        <v>693</v>
      </c>
      <c r="K73" s="119" t="str">
        <f t="shared" si="7"/>
        <v>L200x125x16.0</v>
      </c>
      <c r="L73" s="77">
        <v>200</v>
      </c>
      <c r="M73" s="77">
        <v>125</v>
      </c>
      <c r="N73" s="132">
        <v>16</v>
      </c>
      <c r="O73" s="80">
        <v>14</v>
      </c>
      <c r="P73" s="135">
        <v>49.738999999999997</v>
      </c>
      <c r="Q73" s="79">
        <v>39.045000000000002</v>
      </c>
      <c r="R73" s="133">
        <v>0.63900000000000001</v>
      </c>
    </row>
    <row r="74" spans="1:18" x14ac:dyDescent="0.3">
      <c r="A74" s="118">
        <v>11</v>
      </c>
      <c r="B74" s="119" t="str">
        <f t="shared" si="5"/>
        <v>L110x110x12.0</v>
      </c>
      <c r="C74" s="115">
        <f t="shared" si="4"/>
        <v>110</v>
      </c>
      <c r="D74" s="115">
        <v>12</v>
      </c>
      <c r="E74" s="115">
        <v>12</v>
      </c>
      <c r="F74" s="120">
        <f t="shared" si="6"/>
        <v>2.7777777777777776E-2</v>
      </c>
      <c r="G74" s="128">
        <v>25.2</v>
      </c>
      <c r="H74" s="128">
        <v>19.782</v>
      </c>
      <c r="I74" s="129">
        <v>0.43099999999999999</v>
      </c>
      <c r="J74" s="131" t="s">
        <v>693</v>
      </c>
      <c r="K74" s="119" t="str">
        <f t="shared" si="7"/>
        <v>L200x125x18.0</v>
      </c>
      <c r="L74" s="77">
        <v>200</v>
      </c>
      <c r="M74" s="77">
        <v>125</v>
      </c>
      <c r="N74" s="132">
        <v>18</v>
      </c>
      <c r="O74" s="80">
        <v>14</v>
      </c>
      <c r="P74" s="79">
        <v>55.526000000000003</v>
      </c>
      <c r="Q74" s="79">
        <v>43.588000000000001</v>
      </c>
      <c r="R74" s="133">
        <v>0.63900000000000001</v>
      </c>
    </row>
    <row r="75" spans="1:18" x14ac:dyDescent="0.3">
      <c r="A75" s="118">
        <v>11</v>
      </c>
      <c r="B75" s="119" t="str">
        <f t="shared" si="5"/>
        <v>L110x110x14.0</v>
      </c>
      <c r="C75" s="115">
        <f t="shared" si="4"/>
        <v>110</v>
      </c>
      <c r="D75" s="115">
        <v>14</v>
      </c>
      <c r="E75" s="115">
        <v>12</v>
      </c>
      <c r="F75" s="120">
        <f t="shared" si="6"/>
        <v>2.3809523809523808E-2</v>
      </c>
      <c r="G75" s="121">
        <v>29.056000000000001</v>
      </c>
      <c r="H75" s="128">
        <v>22.809000000000001</v>
      </c>
      <c r="I75" s="129">
        <v>0.43099999999999999</v>
      </c>
    </row>
    <row r="76" spans="1:18" x14ac:dyDescent="0.3">
      <c r="A76" s="118">
        <v>12.5</v>
      </c>
      <c r="B76" s="119" t="str">
        <f t="shared" si="5"/>
        <v>L125x125x8.0</v>
      </c>
      <c r="C76" s="115">
        <f t="shared" si="4"/>
        <v>125</v>
      </c>
      <c r="D76" s="115">
        <v>8</v>
      </c>
      <c r="E76" s="115">
        <v>14</v>
      </c>
      <c r="F76" s="120">
        <f t="shared" si="6"/>
        <v>4.1666666666666664E-2</v>
      </c>
      <c r="G76" s="122">
        <v>19.75</v>
      </c>
      <c r="H76" s="121">
        <v>15.504</v>
      </c>
      <c r="I76" s="123">
        <v>0.49199999999999999</v>
      </c>
    </row>
    <row r="77" spans="1:18" x14ac:dyDescent="0.3">
      <c r="A77" s="118">
        <v>12.5</v>
      </c>
      <c r="B77" s="119" t="str">
        <f t="shared" si="5"/>
        <v>L125x125x10.0</v>
      </c>
      <c r="C77" s="115">
        <f t="shared" si="4"/>
        <v>125</v>
      </c>
      <c r="D77" s="115">
        <v>10</v>
      </c>
      <c r="E77" s="115">
        <v>14</v>
      </c>
      <c r="F77" s="120">
        <f t="shared" si="6"/>
        <v>3.3333333333333333E-2</v>
      </c>
      <c r="G77" s="126">
        <v>24.373000000000001</v>
      </c>
      <c r="H77" s="128">
        <v>19.132999999999999</v>
      </c>
      <c r="I77" s="129">
        <v>0.49099999999999999</v>
      </c>
    </row>
    <row r="78" spans="1:18" x14ac:dyDescent="0.3">
      <c r="A78" s="118">
        <v>12.5</v>
      </c>
      <c r="B78" s="119" t="str">
        <f t="shared" si="5"/>
        <v>L125x125x12.0</v>
      </c>
      <c r="C78" s="115">
        <f t="shared" si="4"/>
        <v>125</v>
      </c>
      <c r="D78" s="115">
        <v>12</v>
      </c>
      <c r="E78" s="115">
        <v>14</v>
      </c>
      <c r="F78" s="120">
        <f t="shared" si="6"/>
        <v>2.7777777777777776E-2</v>
      </c>
      <c r="G78" s="126">
        <v>28.911999999999999</v>
      </c>
      <c r="H78" s="128">
        <v>22.696000000000002</v>
      </c>
      <c r="I78" s="129">
        <v>0.49099999999999999</v>
      </c>
    </row>
    <row r="79" spans="1:18" x14ac:dyDescent="0.3">
      <c r="A79" s="118">
        <v>12.5</v>
      </c>
      <c r="B79" s="119" t="str">
        <f t="shared" si="5"/>
        <v>L125x125x14.0</v>
      </c>
      <c r="C79" s="115">
        <f t="shared" si="4"/>
        <v>125</v>
      </c>
      <c r="D79" s="115">
        <v>14</v>
      </c>
      <c r="E79" s="115">
        <v>14</v>
      </c>
      <c r="F79" s="120">
        <f t="shared" si="6"/>
        <v>2.3809523809523808E-2</v>
      </c>
      <c r="G79" s="128">
        <v>33.366999999999997</v>
      </c>
      <c r="H79" s="128">
        <v>26.193000000000001</v>
      </c>
      <c r="I79" s="129">
        <v>0.49</v>
      </c>
    </row>
    <row r="80" spans="1:18" x14ac:dyDescent="0.3">
      <c r="A80" s="118">
        <v>12.5</v>
      </c>
      <c r="B80" s="119" t="str">
        <f t="shared" si="5"/>
        <v>L125x125x16.0</v>
      </c>
      <c r="C80" s="115">
        <f t="shared" si="4"/>
        <v>125</v>
      </c>
      <c r="D80" s="115">
        <v>16</v>
      </c>
      <c r="E80" s="115">
        <v>14</v>
      </c>
      <c r="F80" s="120">
        <f t="shared" si="6"/>
        <v>2.0833333333333332E-2</v>
      </c>
      <c r="G80" s="128">
        <v>37.738999999999997</v>
      </c>
      <c r="H80" s="121" t="s">
        <v>657</v>
      </c>
      <c r="I80" s="127">
        <v>0.48899999999999999</v>
      </c>
    </row>
    <row r="81" spans="1:9" x14ac:dyDescent="0.3">
      <c r="A81" s="118">
        <v>14</v>
      </c>
      <c r="B81" s="119" t="str">
        <f t="shared" si="5"/>
        <v>L140x140x10.0</v>
      </c>
      <c r="C81" s="115">
        <f t="shared" si="4"/>
        <v>140</v>
      </c>
      <c r="D81" s="115">
        <v>10</v>
      </c>
      <c r="E81" s="115">
        <v>14</v>
      </c>
      <c r="F81" s="120">
        <f t="shared" si="6"/>
        <v>3.3333333333333333E-2</v>
      </c>
      <c r="G81" s="122">
        <v>27.373000000000001</v>
      </c>
      <c r="H81" s="121">
        <v>21.488</v>
      </c>
      <c r="I81" s="124">
        <v>0.55100000000000005</v>
      </c>
    </row>
    <row r="82" spans="1:9" x14ac:dyDescent="0.3">
      <c r="A82" s="118">
        <v>14</v>
      </c>
      <c r="B82" s="119" t="str">
        <f t="shared" si="5"/>
        <v>L140x140x12.0</v>
      </c>
      <c r="C82" s="115">
        <f t="shared" si="4"/>
        <v>140</v>
      </c>
      <c r="D82" s="115">
        <v>12</v>
      </c>
      <c r="E82" s="115">
        <v>14</v>
      </c>
      <c r="F82" s="120">
        <f t="shared" si="6"/>
        <v>2.7777777777777776E-2</v>
      </c>
      <c r="G82" s="126">
        <v>32.512</v>
      </c>
      <c r="H82" s="128">
        <v>25.521999999999998</v>
      </c>
      <c r="I82" s="129">
        <v>0.55100000000000005</v>
      </c>
    </row>
    <row r="83" spans="1:9" x14ac:dyDescent="0.3">
      <c r="A83" s="118">
        <v>14</v>
      </c>
      <c r="B83" s="119" t="str">
        <f t="shared" si="5"/>
        <v>L140x140x14.0</v>
      </c>
      <c r="C83" s="115">
        <f t="shared" si="4"/>
        <v>140</v>
      </c>
      <c r="D83" s="115">
        <v>14</v>
      </c>
      <c r="E83" s="115">
        <v>14</v>
      </c>
      <c r="F83" s="120">
        <f t="shared" si="6"/>
        <v>2.3809523809523808E-2</v>
      </c>
      <c r="G83" s="128">
        <v>37.567</v>
      </c>
      <c r="H83" s="128">
        <v>29.49</v>
      </c>
      <c r="I83" s="127">
        <v>0.55000000000000004</v>
      </c>
    </row>
    <row r="84" spans="1:9" x14ac:dyDescent="0.3">
      <c r="A84" s="118">
        <v>14</v>
      </c>
      <c r="B84" s="119" t="str">
        <f t="shared" si="5"/>
        <v>L140x140x16.0</v>
      </c>
      <c r="C84" s="115">
        <f t="shared" si="4"/>
        <v>140</v>
      </c>
      <c r="D84" s="115">
        <v>16</v>
      </c>
      <c r="E84" s="115">
        <v>14</v>
      </c>
      <c r="F84" s="120">
        <f t="shared" si="6"/>
        <v>2.0833333333333332E-2</v>
      </c>
      <c r="G84" s="122">
        <v>42.539000000000001</v>
      </c>
      <c r="H84" s="122">
        <v>33.393000000000001</v>
      </c>
      <c r="I84" s="124">
        <v>0.54900000000000004</v>
      </c>
    </row>
    <row r="85" spans="1:9" x14ac:dyDescent="0.3">
      <c r="A85" s="118">
        <v>15</v>
      </c>
      <c r="B85" s="119" t="str">
        <f t="shared" si="5"/>
        <v>L150x150x8.0</v>
      </c>
      <c r="C85" s="115">
        <f t="shared" si="4"/>
        <v>150</v>
      </c>
      <c r="D85" s="115">
        <v>8</v>
      </c>
      <c r="E85" s="115">
        <v>14</v>
      </c>
      <c r="F85" s="120">
        <f t="shared" si="6"/>
        <v>4.1666666666666664E-2</v>
      </c>
      <c r="G85" s="121">
        <v>23.75</v>
      </c>
      <c r="H85" s="122">
        <v>18.643999999999998</v>
      </c>
      <c r="I85" s="123">
        <v>0.59199999999999997</v>
      </c>
    </row>
    <row r="86" spans="1:9" x14ac:dyDescent="0.3">
      <c r="A86" s="118">
        <v>15</v>
      </c>
      <c r="B86" s="119" t="str">
        <f t="shared" si="5"/>
        <v>L150x150x10.0</v>
      </c>
      <c r="C86" s="115">
        <f t="shared" si="4"/>
        <v>150</v>
      </c>
      <c r="D86" s="115">
        <v>10</v>
      </c>
      <c r="E86" s="115">
        <v>14</v>
      </c>
      <c r="F86" s="120">
        <f t="shared" si="6"/>
        <v>3.3333333333333333E-2</v>
      </c>
      <c r="G86" s="126">
        <v>29.373000000000001</v>
      </c>
      <c r="H86" s="126">
        <v>23.058</v>
      </c>
      <c r="I86" s="129">
        <v>0.59099999999999997</v>
      </c>
    </row>
    <row r="87" spans="1:9" x14ac:dyDescent="0.3">
      <c r="A87" s="118">
        <v>15</v>
      </c>
      <c r="B87" s="119" t="str">
        <f t="shared" si="5"/>
        <v>L150x150x12.0</v>
      </c>
      <c r="C87" s="115">
        <f t="shared" si="4"/>
        <v>150</v>
      </c>
      <c r="D87" s="115">
        <v>12</v>
      </c>
      <c r="E87" s="115">
        <v>14</v>
      </c>
      <c r="F87" s="120">
        <f t="shared" si="6"/>
        <v>2.7777777777777776E-2</v>
      </c>
      <c r="G87" s="122">
        <v>34.911999999999999</v>
      </c>
      <c r="H87" s="121">
        <v>27.405999999999999</v>
      </c>
      <c r="I87" s="123">
        <v>0.59099999999999997</v>
      </c>
    </row>
    <row r="88" spans="1:9" x14ac:dyDescent="0.3">
      <c r="A88" s="118">
        <v>15</v>
      </c>
      <c r="B88" s="119" t="str">
        <f t="shared" si="5"/>
        <v>L150x150x14.0</v>
      </c>
      <c r="C88" s="115">
        <f t="shared" si="4"/>
        <v>150</v>
      </c>
      <c r="D88" s="115">
        <v>14</v>
      </c>
      <c r="E88" s="115">
        <v>14</v>
      </c>
      <c r="F88" s="120">
        <f t="shared" si="6"/>
        <v>2.3809523809523808E-2</v>
      </c>
      <c r="G88" s="126">
        <v>40.366999999999997</v>
      </c>
      <c r="H88" s="128">
        <v>31.687999999999999</v>
      </c>
      <c r="I88" s="129">
        <v>0.59</v>
      </c>
    </row>
    <row r="89" spans="1:9" x14ac:dyDescent="0.3">
      <c r="A89" s="118">
        <v>15</v>
      </c>
      <c r="B89" s="119" t="str">
        <f t="shared" si="5"/>
        <v>L150x150x15.0</v>
      </c>
      <c r="C89" s="115">
        <f t="shared" si="4"/>
        <v>150</v>
      </c>
      <c r="D89" s="115">
        <v>15</v>
      </c>
      <c r="E89" s="115">
        <v>14</v>
      </c>
      <c r="F89" s="120">
        <f t="shared" si="6"/>
        <v>2.222222222222222E-2</v>
      </c>
      <c r="G89" s="122">
        <v>43.063000000000002</v>
      </c>
      <c r="H89" s="122">
        <v>33.804000000000002</v>
      </c>
      <c r="I89" s="123">
        <v>0.59</v>
      </c>
    </row>
    <row r="90" spans="1:9" x14ac:dyDescent="0.3">
      <c r="A90" s="118">
        <v>15</v>
      </c>
      <c r="B90" s="119" t="str">
        <f t="shared" si="5"/>
        <v>L150x150x16.0</v>
      </c>
      <c r="C90" s="115">
        <f t="shared" si="4"/>
        <v>150</v>
      </c>
      <c r="D90" s="115">
        <v>16</v>
      </c>
      <c r="E90" s="115">
        <v>14</v>
      </c>
      <c r="F90" s="120">
        <f t="shared" si="6"/>
        <v>2.0833333333333332E-2</v>
      </c>
      <c r="G90" s="122">
        <v>45.738999999999997</v>
      </c>
      <c r="H90" s="122">
        <v>35.905000000000001</v>
      </c>
      <c r="I90" s="123">
        <v>0.58899999999999997</v>
      </c>
    </row>
    <row r="91" spans="1:9" x14ac:dyDescent="0.3">
      <c r="A91" s="118">
        <v>16</v>
      </c>
      <c r="B91" s="119" t="str">
        <f t="shared" si="5"/>
        <v>L160x160x10.0</v>
      </c>
      <c r="C91" s="115">
        <f t="shared" si="4"/>
        <v>160</v>
      </c>
      <c r="D91" s="115">
        <v>10</v>
      </c>
      <c r="E91" s="115">
        <v>16</v>
      </c>
      <c r="F91" s="120">
        <f t="shared" si="6"/>
        <v>3.3333333333333333E-2</v>
      </c>
      <c r="G91" s="121">
        <v>31.501999999999999</v>
      </c>
      <c r="H91" s="121">
        <v>24.728999999999999</v>
      </c>
      <c r="I91" s="123">
        <v>0.63</v>
      </c>
    </row>
    <row r="92" spans="1:9" x14ac:dyDescent="0.3">
      <c r="A92" s="118">
        <v>16</v>
      </c>
      <c r="B92" s="119" t="str">
        <f t="shared" si="5"/>
        <v>L160x160x12.0</v>
      </c>
      <c r="C92" s="115">
        <f t="shared" si="4"/>
        <v>160</v>
      </c>
      <c r="D92" s="115">
        <v>12</v>
      </c>
      <c r="E92" s="115">
        <v>16</v>
      </c>
      <c r="F92" s="120">
        <f t="shared" si="6"/>
        <v>2.7777777777777776E-2</v>
      </c>
      <c r="G92" s="122">
        <v>37.441000000000003</v>
      </c>
      <c r="H92" s="121">
        <v>29.390999999999998</v>
      </c>
      <c r="I92" s="123">
        <v>0.63</v>
      </c>
    </row>
    <row r="93" spans="1:9" x14ac:dyDescent="0.3">
      <c r="A93" s="118">
        <v>16</v>
      </c>
      <c r="B93" s="119" t="str">
        <f t="shared" si="5"/>
        <v>L160x160x14.0</v>
      </c>
      <c r="C93" s="115">
        <f t="shared" si="4"/>
        <v>160</v>
      </c>
      <c r="D93" s="115">
        <v>14</v>
      </c>
      <c r="E93" s="115">
        <v>16</v>
      </c>
      <c r="F93" s="120">
        <f t="shared" si="6"/>
        <v>2.3809523809523808E-2</v>
      </c>
      <c r="G93" s="128">
        <v>43.295999999999999</v>
      </c>
      <c r="H93" s="126">
        <v>33.987000000000002</v>
      </c>
      <c r="I93" s="127">
        <v>0.629</v>
      </c>
    </row>
    <row r="94" spans="1:9" x14ac:dyDescent="0.3">
      <c r="A94" s="118">
        <v>16</v>
      </c>
      <c r="B94" s="119" t="str">
        <f t="shared" si="5"/>
        <v>L160x160x16.0</v>
      </c>
      <c r="C94" s="115">
        <f t="shared" si="4"/>
        <v>160</v>
      </c>
      <c r="D94" s="115">
        <v>16</v>
      </c>
      <c r="E94" s="115">
        <v>16</v>
      </c>
      <c r="F94" s="120">
        <f t="shared" si="6"/>
        <v>2.0833333333333332E-2</v>
      </c>
      <c r="G94" s="122">
        <v>49.067</v>
      </c>
      <c r="H94" s="121">
        <v>38.518000000000001</v>
      </c>
      <c r="I94" s="123">
        <v>0.629</v>
      </c>
    </row>
    <row r="95" spans="1:9" x14ac:dyDescent="0.3">
      <c r="A95" s="118">
        <v>18</v>
      </c>
      <c r="B95" s="119" t="str">
        <f t="shared" si="5"/>
        <v>L180x180x12.0</v>
      </c>
      <c r="C95" s="115">
        <f t="shared" si="4"/>
        <v>180</v>
      </c>
      <c r="D95" s="115">
        <v>12</v>
      </c>
      <c r="E95" s="115">
        <v>16</v>
      </c>
      <c r="F95" s="120">
        <f t="shared" si="6"/>
        <v>2.7777777777777776E-2</v>
      </c>
      <c r="G95" s="126">
        <v>42.241</v>
      </c>
      <c r="H95" s="126">
        <v>33.158999999999999</v>
      </c>
      <c r="I95" s="127">
        <v>0.71</v>
      </c>
    </row>
    <row r="96" spans="1:9" x14ac:dyDescent="0.3">
      <c r="A96" s="118">
        <v>18</v>
      </c>
      <c r="B96" s="119" t="str">
        <f t="shared" si="5"/>
        <v>L180x180x14.0</v>
      </c>
      <c r="C96" s="115">
        <f t="shared" si="4"/>
        <v>180</v>
      </c>
      <c r="D96" s="115">
        <v>14</v>
      </c>
      <c r="E96" s="115">
        <v>16</v>
      </c>
      <c r="F96" s="120">
        <f t="shared" si="6"/>
        <v>2.3809523809523808E-2</v>
      </c>
      <c r="G96" s="121">
        <v>48.896000000000001</v>
      </c>
      <c r="H96" s="121">
        <v>38.383000000000003</v>
      </c>
      <c r="I96" s="124">
        <v>0.70899999999999996</v>
      </c>
    </row>
    <row r="97" spans="1:9" x14ac:dyDescent="0.3">
      <c r="A97" s="118">
        <v>18</v>
      </c>
      <c r="B97" s="119" t="str">
        <f t="shared" si="5"/>
        <v>L180x180x16.0</v>
      </c>
      <c r="C97" s="115">
        <f t="shared" si="4"/>
        <v>180</v>
      </c>
      <c r="D97" s="115">
        <v>16</v>
      </c>
      <c r="E97" s="115">
        <v>16</v>
      </c>
      <c r="F97" s="120">
        <f t="shared" si="6"/>
        <v>2.0833333333333332E-2</v>
      </c>
      <c r="G97" s="128">
        <v>55.466999999999999</v>
      </c>
      <c r="H97" s="128">
        <v>43.542000000000002</v>
      </c>
      <c r="I97" s="129" t="s">
        <v>658</v>
      </c>
    </row>
    <row r="98" spans="1:9" x14ac:dyDescent="0.3">
      <c r="A98" s="118">
        <v>18</v>
      </c>
      <c r="B98" s="119" t="str">
        <f t="shared" si="5"/>
        <v>L180x180x18.0</v>
      </c>
      <c r="C98" s="115">
        <f t="shared" si="4"/>
        <v>180</v>
      </c>
      <c r="D98" s="115">
        <v>18</v>
      </c>
      <c r="E98" s="115">
        <v>16</v>
      </c>
      <c r="F98" s="120">
        <f t="shared" si="6"/>
        <v>1.8518518518518517E-2</v>
      </c>
      <c r="G98" s="122">
        <v>61.055</v>
      </c>
      <c r="H98" s="121">
        <v>48.634</v>
      </c>
      <c r="I98" s="124" t="s">
        <v>659</v>
      </c>
    </row>
    <row r="99" spans="1:9" x14ac:dyDescent="0.3">
      <c r="A99" s="118">
        <v>20</v>
      </c>
      <c r="B99" s="119" t="str">
        <f t="shared" si="5"/>
        <v>L200x200x14.0</v>
      </c>
      <c r="C99" s="115">
        <f t="shared" si="4"/>
        <v>200</v>
      </c>
      <c r="D99" s="115">
        <v>14</v>
      </c>
      <c r="E99" s="115">
        <v>18</v>
      </c>
      <c r="F99" s="120">
        <f t="shared" si="6"/>
        <v>2.3809523809523808E-2</v>
      </c>
      <c r="G99" s="121">
        <v>54.642000000000003</v>
      </c>
      <c r="H99" s="122">
        <v>42.893999999999998</v>
      </c>
      <c r="I99" s="124" t="s">
        <v>660</v>
      </c>
    </row>
    <row r="100" spans="1:9" x14ac:dyDescent="0.3">
      <c r="A100" s="118">
        <v>20</v>
      </c>
      <c r="B100" s="119" t="str">
        <f t="shared" si="5"/>
        <v>L200x200x16.0</v>
      </c>
      <c r="C100" s="115">
        <f t="shared" si="4"/>
        <v>200</v>
      </c>
      <c r="D100" s="115">
        <v>16</v>
      </c>
      <c r="E100" s="115">
        <v>18</v>
      </c>
      <c r="F100" s="120">
        <f t="shared" si="6"/>
        <v>2.0833333333333332E-2</v>
      </c>
      <c r="G100" s="122">
        <v>62.012999999999998</v>
      </c>
      <c r="H100" s="121">
        <v>48.68</v>
      </c>
      <c r="I100" s="124">
        <v>0.78800000000000003</v>
      </c>
    </row>
    <row r="101" spans="1:9" x14ac:dyDescent="0.3">
      <c r="A101" s="118">
        <v>20</v>
      </c>
      <c r="B101" s="119" t="str">
        <f t="shared" si="5"/>
        <v>L200x200x18.0</v>
      </c>
      <c r="C101" s="115">
        <f t="shared" si="4"/>
        <v>200</v>
      </c>
      <c r="D101" s="115">
        <v>18</v>
      </c>
      <c r="E101" s="115">
        <v>18</v>
      </c>
      <c r="F101" s="120">
        <f t="shared" si="6"/>
        <v>1.8518518518518517E-2</v>
      </c>
      <c r="G101" s="122">
        <v>69.301000000000002</v>
      </c>
      <c r="H101" s="122">
        <v>54.401000000000003</v>
      </c>
      <c r="I101" s="124">
        <v>0.78700000000000003</v>
      </c>
    </row>
    <row r="102" spans="1:9" x14ac:dyDescent="0.3">
      <c r="A102" s="118">
        <v>20</v>
      </c>
      <c r="B102" s="119" t="str">
        <f t="shared" si="5"/>
        <v>L200x200x20.0</v>
      </c>
      <c r="C102" s="115">
        <f t="shared" si="4"/>
        <v>200</v>
      </c>
      <c r="D102" s="115">
        <v>20</v>
      </c>
      <c r="E102" s="115">
        <v>18</v>
      </c>
      <c r="F102" s="120">
        <f t="shared" si="6"/>
        <v>1.6666666666666666E-2</v>
      </c>
      <c r="G102" s="122">
        <v>76.504999999999995</v>
      </c>
      <c r="H102" s="121">
        <v>60.055999999999997</v>
      </c>
      <c r="I102" s="124" t="s">
        <v>661</v>
      </c>
    </row>
    <row r="103" spans="1:9" x14ac:dyDescent="0.3">
      <c r="A103" s="118">
        <v>20</v>
      </c>
      <c r="B103" s="119" t="str">
        <f t="shared" si="5"/>
        <v>L200x200x24.0</v>
      </c>
      <c r="C103" s="115">
        <f t="shared" si="4"/>
        <v>200</v>
      </c>
      <c r="D103" s="115">
        <v>24</v>
      </c>
      <c r="E103" s="115">
        <v>18</v>
      </c>
      <c r="F103" s="120">
        <f t="shared" si="6"/>
        <v>1.3888888888888888E-2</v>
      </c>
      <c r="G103" s="122">
        <v>90.661000000000001</v>
      </c>
      <c r="H103" s="121">
        <v>71.168000000000006</v>
      </c>
      <c r="I103" s="124" t="s">
        <v>662</v>
      </c>
    </row>
    <row r="104" spans="1:9" x14ac:dyDescent="0.3">
      <c r="A104" s="118">
        <v>22</v>
      </c>
      <c r="B104" s="119" t="str">
        <f t="shared" si="5"/>
        <v>L220x220x16.0</v>
      </c>
      <c r="C104" s="115">
        <f t="shared" si="4"/>
        <v>220</v>
      </c>
      <c r="D104" s="115">
        <v>16</v>
      </c>
      <c r="E104" s="115">
        <v>21</v>
      </c>
      <c r="F104" s="120">
        <f t="shared" si="6"/>
        <v>2.0833333333333332E-2</v>
      </c>
      <c r="G104" s="122">
        <v>68.664000000000001</v>
      </c>
      <c r="H104" s="122">
        <v>53.901000000000003</v>
      </c>
      <c r="I104" s="123">
        <v>0.86599999999999999</v>
      </c>
    </row>
    <row r="105" spans="1:9" x14ac:dyDescent="0.3">
      <c r="A105" s="118">
        <v>22</v>
      </c>
      <c r="B105" s="119" t="str">
        <f t="shared" si="5"/>
        <v>L220x220x18.0</v>
      </c>
      <c r="C105" s="115">
        <f t="shared" ref="C105:C117" si="8" xml:space="preserve"> A105 * 10</f>
        <v>220</v>
      </c>
      <c r="D105" s="115">
        <v>18</v>
      </c>
      <c r="E105" s="115">
        <v>21</v>
      </c>
      <c r="F105" s="120">
        <f t="shared" si="6"/>
        <v>1.8518518518518517E-2</v>
      </c>
      <c r="G105" s="122">
        <v>76.751999999999995</v>
      </c>
      <c r="H105" s="121">
        <v>0.25</v>
      </c>
      <c r="I105" s="123">
        <v>0.86599999999999999</v>
      </c>
    </row>
    <row r="106" spans="1:9" x14ac:dyDescent="0.3">
      <c r="A106" s="118">
        <v>22</v>
      </c>
      <c r="B106" s="119" t="str">
        <f t="shared" si="5"/>
        <v>L220x220x20.0</v>
      </c>
      <c r="C106" s="115">
        <f t="shared" si="8"/>
        <v>220</v>
      </c>
      <c r="D106" s="115">
        <v>20</v>
      </c>
      <c r="E106" s="115">
        <v>21</v>
      </c>
      <c r="F106" s="120">
        <f t="shared" si="6"/>
        <v>1.6666666666666666E-2</v>
      </c>
      <c r="G106" s="122">
        <v>84.756</v>
      </c>
      <c r="H106" s="122">
        <v>66.533000000000001</v>
      </c>
      <c r="I106" s="123">
        <v>0.86499999999999999</v>
      </c>
    </row>
    <row r="107" spans="1:9" x14ac:dyDescent="0.3">
      <c r="A107" s="118">
        <v>22</v>
      </c>
      <c r="B107" s="119" t="str">
        <f t="shared" si="5"/>
        <v>L220x220x22.0</v>
      </c>
      <c r="C107" s="115">
        <f t="shared" si="8"/>
        <v>220</v>
      </c>
      <c r="D107" s="115">
        <v>22</v>
      </c>
      <c r="E107" s="115">
        <v>21</v>
      </c>
      <c r="F107" s="120">
        <f t="shared" si="6"/>
        <v>1.515151515151515E-2</v>
      </c>
      <c r="G107" s="121">
        <v>92.676000000000002</v>
      </c>
      <c r="H107" s="121" t="s">
        <v>663</v>
      </c>
      <c r="I107" s="123">
        <v>0.86499999999999999</v>
      </c>
    </row>
    <row r="108" spans="1:9" x14ac:dyDescent="0.3">
      <c r="A108" s="118">
        <v>22</v>
      </c>
      <c r="B108" s="119" t="str">
        <f t="shared" si="5"/>
        <v>L220x220x24.0</v>
      </c>
      <c r="C108" s="115">
        <f t="shared" si="8"/>
        <v>220</v>
      </c>
      <c r="D108" s="115">
        <v>24</v>
      </c>
      <c r="E108" s="115">
        <v>21</v>
      </c>
      <c r="F108" s="120">
        <f t="shared" si="6"/>
        <v>1.3888888888888888E-2</v>
      </c>
      <c r="G108" s="122">
        <v>100.512</v>
      </c>
      <c r="H108" s="121" t="s">
        <v>664</v>
      </c>
      <c r="I108" s="123">
        <v>0.86399999999999999</v>
      </c>
    </row>
    <row r="109" spans="1:9" x14ac:dyDescent="0.3">
      <c r="A109" s="118">
        <v>22</v>
      </c>
      <c r="B109" s="119" t="str">
        <f t="shared" si="5"/>
        <v>L220x220x26.0</v>
      </c>
      <c r="C109" s="115">
        <f t="shared" si="8"/>
        <v>220</v>
      </c>
      <c r="D109" s="115">
        <v>26</v>
      </c>
      <c r="E109" s="115">
        <v>21</v>
      </c>
      <c r="F109" s="120">
        <f t="shared" si="6"/>
        <v>1.282051282051282E-2</v>
      </c>
      <c r="G109" s="121">
        <v>108.264</v>
      </c>
      <c r="H109" s="122">
        <v>84.986999999999995</v>
      </c>
      <c r="I109" s="123">
        <v>0.86399999999999999</v>
      </c>
    </row>
    <row r="110" spans="1:9" x14ac:dyDescent="0.3">
      <c r="A110" s="118">
        <v>25</v>
      </c>
      <c r="B110" s="119" t="str">
        <f t="shared" si="5"/>
        <v>L250x250x18.0</v>
      </c>
      <c r="C110" s="115">
        <f t="shared" si="8"/>
        <v>250</v>
      </c>
      <c r="D110" s="115">
        <v>18</v>
      </c>
      <c r="E110" s="115">
        <v>24</v>
      </c>
      <c r="F110" s="120">
        <f t="shared" si="6"/>
        <v>1.8518518518518517E-2</v>
      </c>
      <c r="G110" s="121">
        <v>87.841999999999999</v>
      </c>
      <c r="H110" s="122">
        <v>68.956000000000003</v>
      </c>
      <c r="I110" s="124" t="s">
        <v>665</v>
      </c>
    </row>
    <row r="111" spans="1:9" x14ac:dyDescent="0.3">
      <c r="A111" s="118">
        <v>25</v>
      </c>
      <c r="B111" s="119" t="str">
        <f t="shared" si="5"/>
        <v>L250x250x20.0</v>
      </c>
      <c r="C111" s="115">
        <f t="shared" si="8"/>
        <v>250</v>
      </c>
      <c r="D111" s="115">
        <v>20</v>
      </c>
      <c r="E111" s="115">
        <v>24</v>
      </c>
      <c r="F111" s="120">
        <f t="shared" si="6"/>
        <v>1.6666666666666666E-2</v>
      </c>
      <c r="G111" s="121">
        <v>97.045000000000002</v>
      </c>
      <c r="H111" s="121">
        <v>76.180000000000007</v>
      </c>
      <c r="I111" s="123">
        <v>0.98399999999999999</v>
      </c>
    </row>
    <row r="112" spans="1:9" x14ac:dyDescent="0.3">
      <c r="A112" s="118">
        <v>25</v>
      </c>
      <c r="B112" s="119" t="str">
        <f t="shared" si="5"/>
        <v>L250x250x24.0</v>
      </c>
      <c r="C112" s="115">
        <f t="shared" si="8"/>
        <v>250</v>
      </c>
      <c r="D112" s="115">
        <v>24</v>
      </c>
      <c r="E112" s="115">
        <v>24</v>
      </c>
      <c r="F112" s="120">
        <f t="shared" si="6"/>
        <v>1.3888888888888888E-2</v>
      </c>
      <c r="G112" s="121">
        <v>115.20099999999999</v>
      </c>
      <c r="H112" s="122">
        <v>90.433000000000007</v>
      </c>
      <c r="I112" s="123">
        <v>0.98299999999999998</v>
      </c>
    </row>
    <row r="113" spans="1:9" x14ac:dyDescent="0.3">
      <c r="A113" s="118">
        <v>25</v>
      </c>
      <c r="B113" s="119" t="str">
        <f t="shared" si="5"/>
        <v>L250x250x26.0</v>
      </c>
      <c r="C113" s="115">
        <f t="shared" si="8"/>
        <v>250</v>
      </c>
      <c r="D113" s="115">
        <v>26</v>
      </c>
      <c r="E113" s="115">
        <v>24</v>
      </c>
      <c r="F113" s="120">
        <f t="shared" si="6"/>
        <v>1.282051282051282E-2</v>
      </c>
      <c r="G113" s="121" t="s">
        <v>666</v>
      </c>
      <c r="H113" s="121">
        <v>97.460999999999999</v>
      </c>
      <c r="I113" s="123">
        <v>0.98199999999999998</v>
      </c>
    </row>
    <row r="114" spans="1:9" x14ac:dyDescent="0.3">
      <c r="A114" s="118">
        <v>25</v>
      </c>
      <c r="B114" s="119" t="str">
        <f t="shared" si="5"/>
        <v>L250x250x28.0</v>
      </c>
      <c r="C114" s="115">
        <f t="shared" si="8"/>
        <v>250</v>
      </c>
      <c r="D114" s="115">
        <v>28</v>
      </c>
      <c r="E114" s="115">
        <v>24</v>
      </c>
      <c r="F114" s="120">
        <f t="shared" si="6"/>
        <v>1.1904761904761904E-2</v>
      </c>
      <c r="G114" s="121">
        <v>133.02199999999999</v>
      </c>
      <c r="H114" s="122">
        <v>104.422</v>
      </c>
      <c r="I114" s="123">
        <v>0.98199999999999998</v>
      </c>
    </row>
    <row r="115" spans="1:9" x14ac:dyDescent="0.3">
      <c r="A115" s="118">
        <v>25</v>
      </c>
      <c r="B115" s="119" t="str">
        <f t="shared" si="5"/>
        <v>L250x250x30.0</v>
      </c>
      <c r="C115" s="115">
        <f t="shared" si="8"/>
        <v>250</v>
      </c>
      <c r="D115" s="115">
        <v>30</v>
      </c>
      <c r="E115" s="115">
        <v>24</v>
      </c>
      <c r="F115" s="120">
        <f t="shared" si="6"/>
        <v>1.111111111111111E-2</v>
      </c>
      <c r="G115" s="121">
        <v>141.80699999999999</v>
      </c>
      <c r="H115" s="130">
        <v>111318</v>
      </c>
      <c r="I115" s="123">
        <v>0.98099999999999998</v>
      </c>
    </row>
    <row r="116" spans="1:9" x14ac:dyDescent="0.3">
      <c r="A116" s="118">
        <v>25</v>
      </c>
      <c r="B116" s="119" t="str">
        <f t="shared" si="5"/>
        <v>L250x250x32.0</v>
      </c>
      <c r="C116" s="115">
        <f t="shared" si="8"/>
        <v>250</v>
      </c>
      <c r="D116" s="115">
        <v>32</v>
      </c>
      <c r="E116" s="115">
        <v>24</v>
      </c>
      <c r="F116" s="120">
        <f t="shared" si="6"/>
        <v>1.0416666666666666E-2</v>
      </c>
      <c r="G116" s="121">
        <v>150.50800000000001</v>
      </c>
      <c r="H116" s="122">
        <v>118.149</v>
      </c>
      <c r="I116" s="124">
        <v>0.98099999999999998</v>
      </c>
    </row>
    <row r="117" spans="1:9" x14ac:dyDescent="0.3">
      <c r="A117" s="118">
        <v>25</v>
      </c>
      <c r="B117" s="119" t="str">
        <f t="shared" si="5"/>
        <v>L250x250x35.0</v>
      </c>
      <c r="C117" s="115">
        <f t="shared" si="8"/>
        <v>250</v>
      </c>
      <c r="D117" s="115">
        <v>35</v>
      </c>
      <c r="E117" s="115">
        <v>24</v>
      </c>
      <c r="F117" s="120">
        <f t="shared" si="6"/>
        <v>9.5238095238095229E-3</v>
      </c>
      <c r="G117" s="121">
        <v>163.40199999999999</v>
      </c>
      <c r="H117" s="121">
        <v>128.27099999999999</v>
      </c>
      <c r="I117" s="124">
        <v>0.98</v>
      </c>
    </row>
  </sheetData>
  <mergeCells count="8">
    <mergeCell ref="A1:I1"/>
    <mergeCell ref="A2:A3"/>
    <mergeCell ref="B2:B3"/>
    <mergeCell ref="C2:F2"/>
    <mergeCell ref="J1:R1"/>
    <mergeCell ref="J2:J3"/>
    <mergeCell ref="K2:K3"/>
    <mergeCell ref="L2:O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立柱截面汇总</vt:lpstr>
      <vt:lpstr>主梁截面汇总</vt:lpstr>
      <vt:lpstr>热轧H型钢</vt:lpstr>
      <vt:lpstr>高频焊H型钢</vt:lpstr>
      <vt:lpstr>美标W型钢</vt:lpstr>
      <vt:lpstr>圆钢管</vt:lpstr>
      <vt:lpstr>热轧槽钢</vt:lpstr>
      <vt:lpstr>热轧角钢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JinNan</dc:creator>
  <cp:lastModifiedBy>南 金</cp:lastModifiedBy>
  <dcterms:created xsi:type="dcterms:W3CDTF">2015-06-05T18:19:34Z</dcterms:created>
  <dcterms:modified xsi:type="dcterms:W3CDTF">2024-02-28T10:18:51Z</dcterms:modified>
</cp:coreProperties>
</file>